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D MASTER DR SAL" sheetId="1" state="visible" r:id="rId3"/>
    <sheet name="TO MAS DODIG" sheetId="2" state="visible" r:id="rId4"/>
    <sheet name="Master Product Tipe" sheetId="3" state="visible" r:id="rId5"/>
    <sheet name="Master Produk" sheetId="4" state="visible" r:id="rId6"/>
    <sheet name="Master Unit" sheetId="5" state="visible" r:id="rId7"/>
    <sheet name="Master Produk Satuan" sheetId="6" state="visible" r:id="rId8"/>
    <sheet name="Master Price List" sheetId="7" state="visible" r:id="rId9"/>
    <sheet name="Master Product Price" sheetId="8" state="visible" r:id="rId10"/>
    <sheet name="Master Product Discount" sheetId="9" state="visible" r:id="rId11"/>
    <sheet name="Master Product Free Good" sheetId="10" state="visible" r:id="rId12"/>
    <sheet name="Master Provinsi" sheetId="11" state="visible" r:id="rId13"/>
    <sheet name="Master Kota" sheetId="12" state="visible" r:id="rId14"/>
    <sheet name="Master Vendor Category" sheetId="13" state="visible" r:id="rId15"/>
    <sheet name="Master Vendor atau Principal" sheetId="14" state="visible" r:id="rId16"/>
    <sheet name="Master Karyawan" sheetId="15" state="visible" r:id="rId17"/>
  </sheets>
  <definedNames>
    <definedName function="false" hidden="true" localSheetId="0" name="_xlnm._FilterDatabase" vbProcedure="false">'TEMPLATED MASTER DR SAL'!$A$18:$BB$544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Acer:
</t>
        </r>
        <r>
          <rPr>
            <sz val="9"/>
            <color rgb="FF000000"/>
            <rFont val="Tahoma"/>
            <family val="0"/>
            <charset val="1"/>
          </rPr>
          <t xml:space="preserve">DI ISI MR. DODIG</t>
        </r>
      </text>
    </comment>
    <comment ref="L1" authorId="0">
      <text>
        <r>
          <rPr>
            <sz val="10"/>
            <rFont val="Arial"/>
            <family val="2"/>
          </rPr>
          <t xml:space="preserve">Acer:
</t>
        </r>
        <r>
          <rPr>
            <sz val="9"/>
            <color rgb="FF000000"/>
            <rFont val="Tahoma"/>
            <family val="0"/>
            <charset val="1"/>
          </rPr>
          <t xml:space="preserve">DI ISI MR. DODIG</t>
        </r>
      </text>
    </comment>
    <comment ref="M1" authorId="0">
      <text>
        <r>
          <rPr>
            <sz val="10"/>
            <rFont val="Arial"/>
            <family val="2"/>
          </rPr>
          <t xml:space="preserve">Acer:
</t>
        </r>
        <r>
          <rPr>
            <sz val="9"/>
            <color rgb="FF000000"/>
            <rFont val="Tahoma"/>
            <family val="0"/>
            <charset val="1"/>
          </rPr>
          <t xml:space="preserve">DI ISI MR. DODIG</t>
        </r>
      </text>
    </comment>
  </commentList>
</comments>
</file>

<file path=xl/sharedStrings.xml><?xml version="1.0" encoding="utf-8"?>
<sst xmlns="http://schemas.openxmlformats.org/spreadsheetml/2006/main" count="5923" uniqueCount="511">
  <si>
    <t xml:space="preserve">ISI ID SATUAN</t>
  </si>
  <si>
    <t xml:space="preserve">↓↓</t>
  </si>
  <si>
    <t xml:space="preserve">ID SATUAN</t>
  </si>
  <si>
    <t xml:space="preserve">SATUAN BESAR</t>
  </si>
  <si>
    <t xml:space="preserve">SATUAN PECAH</t>
  </si>
  <si>
    <t xml:space="preserve">KODE LEVEL SATUAN</t>
  </si>
  <si>
    <t xml:space="preserve">LEVEL SATUAN</t>
  </si>
  <si>
    <t xml:space="preserve">In Carton</t>
  </si>
  <si>
    <t xml:space="preserve">Carton</t>
  </si>
  <si>
    <t xml:space="preserve">large</t>
  </si>
  <si>
    <t xml:space="preserve">Karung</t>
  </si>
  <si>
    <t xml:space="preserve">In Pack</t>
  </si>
  <si>
    <t xml:space="preserve">Pack</t>
  </si>
  <si>
    <t xml:space="preserve">Box</t>
  </si>
  <si>
    <t xml:space="preserve">Toples</t>
  </si>
  <si>
    <t xml:space="preserve">Isi Satuan</t>
  </si>
  <si>
    <t xml:space="preserve">Hanger</t>
  </si>
  <si>
    <t xml:space="preserve">ID STATUS PRINCIPLE</t>
  </si>
  <si>
    <t xml:space="preserve"> STATUS PRINCIPLE :</t>
  </si>
  <si>
    <t xml:space="preserve">NOTED : CHANNEL DISTRIBUSI ADA :</t>
  </si>
  <si>
    <t xml:space="preserve">Ball</t>
  </si>
  <si>
    <t xml:space="preserve">DISTRIBUTOR</t>
  </si>
  <si>
    <t xml:space="preserve">MT</t>
  </si>
  <si>
    <t xml:space="preserve">In Renceng</t>
  </si>
  <si>
    <t xml:space="preserve">Renceng</t>
  </si>
  <si>
    <t xml:space="preserve">SUB DISTRIBUTOR</t>
  </si>
  <si>
    <t xml:space="preserve">GT</t>
  </si>
  <si>
    <t xml:space="preserve">In Pcs</t>
  </si>
  <si>
    <t xml:space="preserve">Pcs</t>
  </si>
  <si>
    <t xml:space="preserve">small</t>
  </si>
  <si>
    <t xml:space="preserve">NON DISTRIBUTOR</t>
  </si>
  <si>
    <t xml:space="preserve">ALL CHANNEL</t>
  </si>
  <si>
    <t xml:space="preserve">Sachet</t>
  </si>
  <si>
    <t xml:space="preserve">NKA</t>
  </si>
  <si>
    <t xml:space="preserve">Botol</t>
  </si>
  <si>
    <t xml:space="preserve">FOOD SERVICE</t>
  </si>
  <si>
    <t xml:space="preserve">In Caton</t>
  </si>
  <si>
    <t xml:space="preserve">Satuan Harga Beli (DBP) Before Tax</t>
  </si>
  <si>
    <t xml:space="preserve">Satuan Harga Beli (DBP) Include Tax</t>
  </si>
  <si>
    <t xml:space="preserve">Satuan Harga Jual (RBP) Before Tax</t>
  </si>
  <si>
    <t xml:space="preserve">Satuan Harga Jual (RBP) Include Tax</t>
  </si>
  <si>
    <t xml:space="preserve">No</t>
  </si>
  <si>
    <t xml:space="preserve">Kode #Produk SAL</t>
  </si>
  <si>
    <t xml:space="preserve">KODE PRODUK NEW SISTEM</t>
  </si>
  <si>
    <t xml:space="preserve">Kode Produk Principle</t>
  </si>
  <si>
    <t xml:space="preserve">Nama Barang</t>
  </si>
  <si>
    <t xml:space="preserve">SKU Name</t>
  </si>
  <si>
    <t xml:space="preserve">Kategori Barang (SKU)</t>
  </si>
  <si>
    <t xml:space="preserve">Nama Principle</t>
  </si>
  <si>
    <t xml:space="preserve">Nama Vendor/Distributor</t>
  </si>
  <si>
    <t xml:space="preserve">ID Status Principle</t>
  </si>
  <si>
    <t xml:space="preserve">Status Principle</t>
  </si>
  <si>
    <t xml:space="preserve">Channel Distribusi</t>
  </si>
  <si>
    <t xml:space="preserve">ID LEVEL SATUAN</t>
  </si>
  <si>
    <t xml:space="preserve">ISI SATUAN</t>
  </si>
  <si>
    <t xml:space="preserve">HARGA JUAL+PPN</t>
  </si>
  <si>
    <t xml:space="preserve">HARGA JUAL (NON PPN)</t>
  </si>
  <si>
    <t xml:space="preserve">HARGA BELI+PPN</t>
  </si>
  <si>
    <t xml:space="preserve">HARGA BELI (NON PPN)</t>
  </si>
  <si>
    <t xml:space="preserve">RETURN NON RETUR</t>
  </si>
  <si>
    <t xml:space="preserve">1 Karton</t>
  </si>
  <si>
    <t xml:space="preserve">2 Karung</t>
  </si>
  <si>
    <t xml:space="preserve">3 Pack</t>
  </si>
  <si>
    <t xml:space="preserve">4 Box</t>
  </si>
  <si>
    <t xml:space="preserve">5 Toples</t>
  </si>
  <si>
    <t xml:space="preserve">6 Hanger</t>
  </si>
  <si>
    <t xml:space="preserve">7 Ball</t>
  </si>
  <si>
    <t xml:space="preserve">8 Renceng</t>
  </si>
  <si>
    <t xml:space="preserve">9 Pcs</t>
  </si>
  <si>
    <t xml:space="preserve">10 Sachect</t>
  </si>
  <si>
    <t xml:space="preserve">Carton/Karung</t>
  </si>
  <si>
    <t xml:space="preserve">Pack/Box/Toples/Ball</t>
  </si>
  <si>
    <t xml:space="preserve">Pcs/Sachect</t>
  </si>
  <si>
    <t xml:space="preserve">LPC BADAK BOTOL 200</t>
  </si>
  <si>
    <t xml:space="preserve">BADAK BOTOL</t>
  </si>
  <si>
    <t xml:space="preserve">SINDE (BADAK)</t>
  </si>
  <si>
    <t xml:space="preserve">PT. SINDE BUDI SENTOSA</t>
  </si>
  <si>
    <t xml:space="preserve">PT. SINARMAS DISTRIBUSI NUSANTARA</t>
  </si>
  <si>
    <t xml:space="preserve">LPC BADAK BOTOL 500</t>
  </si>
  <si>
    <t xml:space="preserve">LPC BADAK CAN 320 GRAPE</t>
  </si>
  <si>
    <t xml:space="preserve">BADAK KALENG</t>
  </si>
  <si>
    <t xml:space="preserve">LPC BADAK CAN 320 APPLE</t>
  </si>
  <si>
    <t xml:space="preserve">LPC BADAK CAN 320 GUAVA</t>
  </si>
  <si>
    <t xml:space="preserve">LPC BADAK CAN 320 ORANGE</t>
  </si>
  <si>
    <t xml:space="preserve">LPC BADAK CAN 320 LYCHEE</t>
  </si>
  <si>
    <t xml:space="preserve">LPC BADAK CAN 320 LEMON</t>
  </si>
  <si>
    <t xml:space="preserve">LPC BADAK CAN 20 MELON</t>
  </si>
  <si>
    <t xml:space="preserve">LPC BADAK CAN 320 STRAWBERRY</t>
  </si>
  <si>
    <t xml:space="preserve">UHT MILK FULL CREAM 125ML</t>
  </si>
  <si>
    <t xml:space="preserve">DIAMOND</t>
  </si>
  <si>
    <t xml:space="preserve">PT. SUKANDA DJAYA</t>
  </si>
  <si>
    <t xml:space="preserve">UHT MILK CHOCO MALT 200ML</t>
  </si>
  <si>
    <t xml:space="preserve">OVALTINE</t>
  </si>
  <si>
    <t xml:space="preserve">PT SUKANDA DJAYA</t>
  </si>
  <si>
    <t xml:space="preserve">HELLO PANDA CHOCO 42 GR</t>
  </si>
  <si>
    <t xml:space="preserve">HL PANDA</t>
  </si>
  <si>
    <t xml:space="preserve">MEIJI</t>
  </si>
  <si>
    <t xml:space="preserve">HELLO PANDA STRAW 42 GR</t>
  </si>
  <si>
    <t xml:space="preserve">HELLO PANDA COOKIES &amp; CREAM 42 GR</t>
  </si>
  <si>
    <t xml:space="preserve">HELLO PANDA MILK VANILLA 42 GR</t>
  </si>
  <si>
    <t xml:space="preserve">HELLO PANDA CARAMEL 42 GR</t>
  </si>
  <si>
    <t xml:space="preserve">HELLO PANDA DOUBLE CHOCO 42 GR</t>
  </si>
  <si>
    <t xml:space="preserve">HELLO PANDA CHOCO 25 GR</t>
  </si>
  <si>
    <t xml:space="preserve">HELLO PANDA STRAW 25 GR</t>
  </si>
  <si>
    <t xml:space="preserve">HELLO PANDA COOKIES &amp; CREAM 25 GR</t>
  </si>
  <si>
    <t xml:space="preserve">HELLO PANDA MILK 25 GR</t>
  </si>
  <si>
    <t xml:space="preserve">HELO PANDA CARAMEL 25 GR</t>
  </si>
  <si>
    <t xml:space="preserve">HELLO PANDA STICK CHOC 20 GR</t>
  </si>
  <si>
    <t xml:space="preserve">HELLO PANDA STICK STRAW 20GR</t>
  </si>
  <si>
    <t xml:space="preserve">HELLO PANDA DIP DIP CHOC 20 GR</t>
  </si>
  <si>
    <t xml:space="preserve">HELLO PANDA DIP DIP STRAW 20 GR</t>
  </si>
  <si>
    <t xml:space="preserve">MJ YAN YAN CHOCO 30 GR</t>
  </si>
  <si>
    <t xml:space="preserve">YAN YAN</t>
  </si>
  <si>
    <t xml:space="preserve">MJ YAN YAN STRAW 30 GR</t>
  </si>
  <si>
    <t xml:space="preserve">PT01</t>
  </si>
  <si>
    <t xml:space="preserve">POTAKREZ AYAM GEPREK 10 X 10</t>
  </si>
  <si>
    <t xml:space="preserve">POTAKREZ 10X10</t>
  </si>
  <si>
    <t xml:space="preserve">POTAKREZ</t>
  </si>
  <si>
    <t xml:space="preserve">PT. HOLYLAND FOOD INDONESIA</t>
  </si>
  <si>
    <t xml:space="preserve">PT02</t>
  </si>
  <si>
    <t xml:space="preserve">POTAKREZ RUMPUT LAUT 10 X 10</t>
  </si>
  <si>
    <t xml:space="preserve">POTAKREZ RUMPUT LAUT 10 X 11</t>
  </si>
  <si>
    <t xml:space="preserve">POTAKREZ RUMPUT LAUT 10 X 12</t>
  </si>
  <si>
    <t xml:space="preserve">PT03</t>
  </si>
  <si>
    <t xml:space="preserve">POTAKREZ SAPI PANGGANG 10 X 10</t>
  </si>
  <si>
    <t xml:space="preserve">POTAKREZ SAPI PANGGANG 10 X 11</t>
  </si>
  <si>
    <t xml:space="preserve">POTAKREZ SAPI PANGGANG 10 X 12</t>
  </si>
  <si>
    <t xml:space="preserve">PT05</t>
  </si>
  <si>
    <t xml:space="preserve">POTAKREZ SPICY BEEF 10 X 10</t>
  </si>
  <si>
    <t xml:space="preserve">POTAKREZ SPICY BEEF 10 X 11</t>
  </si>
  <si>
    <t xml:space="preserve">POTAKREZ SPICY BEEF 10 X 12</t>
  </si>
  <si>
    <t xml:space="preserve">RPK-008</t>
  </si>
  <si>
    <t xml:space="preserve">POTAKREZ AYAM GEPREK 10 X 10 RENCENG</t>
  </si>
  <si>
    <t xml:space="preserve">RPK-009</t>
  </si>
  <si>
    <t xml:space="preserve">POTAKREZ SPICY BEEF 10 x 10 RENCENG</t>
  </si>
  <si>
    <t xml:space="preserve">RPK-010</t>
  </si>
  <si>
    <t xml:space="preserve">POTAKREZ RUMPUT LAUT 10 X 10 RENCENG</t>
  </si>
  <si>
    <t xml:space="preserve">RPK-011</t>
  </si>
  <si>
    <t xml:space="preserve">POTAKREZ SAPI PANGGANG 10 X 10 RENCENG</t>
  </si>
  <si>
    <t xml:space="preserve">PQ01</t>
  </si>
  <si>
    <t xml:space="preserve">POTATO-Q KOREAN BBQ 5x10</t>
  </si>
  <si>
    <t xml:space="preserve">POTATO-Q 5X10</t>
  </si>
  <si>
    <t xml:space="preserve">POTATO-Q</t>
  </si>
  <si>
    <t xml:space="preserve">PQ02</t>
  </si>
  <si>
    <t xml:space="preserve">POTATO-Q RUMPUT LAUT 5x10</t>
  </si>
  <si>
    <t xml:space="preserve">PTQ004</t>
  </si>
  <si>
    <t xml:space="preserve">POTATO-Q SAMBAL DAUN JERUK 5x10</t>
  </si>
  <si>
    <t xml:space="preserve">PQ03</t>
  </si>
  <si>
    <t xml:space="preserve">POTATO-Q SOSIS JUMBO MEKSIKO 5x10</t>
  </si>
  <si>
    <t xml:space="preserve">PTQ005</t>
  </si>
  <si>
    <t xml:space="preserve">POTATO-Q PEDAS MANIS 5x10</t>
  </si>
  <si>
    <t xml:space="preserve">PTQ006</t>
  </si>
  <si>
    <t xml:space="preserve">POTATO-Q AYAM BAWANG 5x10</t>
  </si>
  <si>
    <t xml:space="preserve">KK01</t>
  </si>
  <si>
    <t xml:space="preserve">KIKOYA BARBEQUE 10X10</t>
  </si>
  <si>
    <t xml:space="preserve">KIKOYA 10X10</t>
  </si>
  <si>
    <t xml:space="preserve">KIKOYA</t>
  </si>
  <si>
    <t xml:space="preserve">KK02</t>
  </si>
  <si>
    <t xml:space="preserve">KIKOYA RUMPUT LAUT 10X10</t>
  </si>
  <si>
    <t xml:space="preserve">KK03</t>
  </si>
  <si>
    <t xml:space="preserve">KIKOYA SAMBAL BALADO 10X10</t>
  </si>
  <si>
    <t xml:space="preserve">KK04</t>
  </si>
  <si>
    <t xml:space="preserve">KIKOYA SAPI PANGGANG 10X10</t>
  </si>
  <si>
    <t xml:space="preserve">KK05</t>
  </si>
  <si>
    <t xml:space="preserve">KIKOYA SEBLAK SUNDA 10X10</t>
  </si>
  <si>
    <t xml:space="preserve">KK06</t>
  </si>
  <si>
    <t xml:space="preserve">KIKOYA TELUR ASIN 10X10</t>
  </si>
  <si>
    <t xml:space="preserve">KPQ-003</t>
  </si>
  <si>
    <t xml:space="preserve">GT POTATO-Q KOREAN BBQ 50GR - POUCH</t>
  </si>
  <si>
    <t xml:space="preserve">POTATO-Q- POUCH</t>
  </si>
  <si>
    <t xml:space="preserve">KPQ-001</t>
  </si>
  <si>
    <t xml:space="preserve">GT POTATO-Q RUMPUT LAUT 50GR - POUCH</t>
  </si>
  <si>
    <t xml:space="preserve">KPQ-002</t>
  </si>
  <si>
    <t xml:space="preserve">GT POTATO-Q SOSIS JUMBO MEKSIKO 50GR - POUCH</t>
  </si>
  <si>
    <t xml:space="preserve">75g Mini Puri Puri Jelly-5pack</t>
  </si>
  <si>
    <t xml:space="preserve">JELLY 7COSIA</t>
  </si>
  <si>
    <t xml:space="preserve">PT. COTG SUKSES MAKMUR</t>
  </si>
  <si>
    <t xml:space="preserve">75g Mini Zuru Zuru PannaCotta-5pack</t>
  </si>
  <si>
    <t xml:space="preserve">6kg Mini Puri Puri Jelly</t>
  </si>
  <si>
    <t xml:space="preserve">6kg Mini Zuru Zuru PannaCotta</t>
  </si>
  <si>
    <t xml:space="preserve">82mL Lollipop lce 12 pack</t>
  </si>
  <si>
    <t xml:space="preserve">KIDSFUN SQUEEZE JELLY YOGHURT FLAVOUR</t>
  </si>
  <si>
    <t xml:space="preserve">KIDSFUN SQUEEZE JELLY- GRAPE YOGHURT FLAVOUR</t>
  </si>
  <si>
    <t xml:space="preserve">TRUELOVE POP SQUEEZE JELLY- MIX FRUIT FLAVOUR</t>
  </si>
  <si>
    <t xml:space="preserve">TRUELOVE POP SQUEEZE JELLY- PEACH FLAVOUR</t>
  </si>
  <si>
    <t xml:space="preserve">100102024002</t>
  </si>
  <si>
    <t xml:space="preserve">POKKA JASMINE GREEN TEA 24x300ML</t>
  </si>
  <si>
    <t xml:space="preserve">POKKA</t>
  </si>
  <si>
    <t xml:space="preserve">PT. DIMA ESHAM </t>
  </si>
  <si>
    <t xml:space="preserve">202914006004</t>
  </si>
  <si>
    <t xml:space="preserve">NEW RICEPOP ORIGINAL FLAVOR 6x15G (RICE CRACKER)</t>
  </si>
  <si>
    <t xml:space="preserve">WANTWANT</t>
  </si>
  <si>
    <t xml:space="preserve">202914006006</t>
  </si>
  <si>
    <t xml:space="preserve">NEW RICEPOP ROASTED BEEF FLAVOR 6x15G (RICE CRACKER)</t>
  </si>
  <si>
    <t xml:space="preserve">202914020004</t>
  </si>
  <si>
    <t xml:space="preserve">NEW SENBEI ORIGINAL FLAVOR 20x56GR</t>
  </si>
  <si>
    <t xml:space="preserve">202914020005</t>
  </si>
  <si>
    <t xml:space="preserve">NEW SNOWY SENBEI ORIGINAL FLAVOR 20x96GR</t>
  </si>
  <si>
    <t xml:space="preserve">202914032001</t>
  </si>
  <si>
    <t xml:space="preserve">RICEPOP ORIGINAL FLAVOR 4x8x30G (RICE CRACKER)</t>
  </si>
  <si>
    <t xml:space="preserve">202914032002</t>
  </si>
  <si>
    <t xml:space="preserve">RICEPOP BARBEQUE FLAVOR 4x8x30G (RICE CRACKER)</t>
  </si>
  <si>
    <t xml:space="preserve">202914032003</t>
  </si>
  <si>
    <t xml:space="preserve">RICEPOP ROASTED BEEF FLAVOR 4x8x30G (RICE CRACKER)</t>
  </si>
  <si>
    <t xml:space="preserve">202914036001</t>
  </si>
  <si>
    <t xml:space="preserve">O PAO ORIGINAL FLAVOR 9x4x125ML</t>
  </si>
  <si>
    <t xml:space="preserve">202914036002</t>
  </si>
  <si>
    <t xml:space="preserve">O PAO STRAWBERRY FLAVOR 9x4x125ML</t>
  </si>
  <si>
    <t xml:space="preserve">202931036001</t>
  </si>
  <si>
    <t xml:space="preserve">YOGURT DRINK ORIGINAL FLAVOUR 9x4x125ML</t>
  </si>
  <si>
    <t xml:space="preserve">MIGI WAFER COCOPDN (16x10)</t>
  </si>
  <si>
    <t xml:space="preserve">MOMOGI</t>
  </si>
  <si>
    <t xml:space="preserve">SARI MURNI</t>
  </si>
  <si>
    <t xml:space="preserve">PT SUKSES MAKUR JAYA</t>
  </si>
  <si>
    <t xml:space="preserve">MIGI WAFER COKLAT (16x10)</t>
  </si>
  <si>
    <t xml:space="preserve">MIGI WAFER STW VAN (16x10)</t>
  </si>
  <si>
    <t xml:space="preserve">MIGI WAFER VAN COK (16x10)</t>
  </si>
  <si>
    <t xml:space="preserve">MOMOGI STICK CAPPUCINO 12 IN</t>
  </si>
  <si>
    <t xml:space="preserve">MOMOGI STICK COKLAT 12 IN</t>
  </si>
  <si>
    <t xml:space="preserve">MOMOGI STICK FRUTTY 12 IN</t>
  </si>
  <si>
    <t xml:space="preserve">MOMOGI STICK JG BAKAR 12 IN</t>
  </si>
  <si>
    <t xml:space="preserve">MOMOGI STICK KEJU 12 IN</t>
  </si>
  <si>
    <t xml:space="preserve">CB CHN 16 R- SNACK CHIKI BALLS CH</t>
  </si>
  <si>
    <t xml:space="preserve">INDOFOOD SNACK</t>
  </si>
  <si>
    <t xml:space="preserve">PT. INDOMARCO ADI PRIMA</t>
  </si>
  <si>
    <t xml:space="preserve">CB CHO 16 R- SNACK CHIKI BALLS CH</t>
  </si>
  <si>
    <t xml:space="preserve">JSW CHF 18 R+1 SNACK JETZ SWEET</t>
  </si>
  <si>
    <t xml:space="preserve">CBCHE16R- SNACK CHIKI BALLS CHE</t>
  </si>
  <si>
    <t xml:space="preserve">CHT ROCC22,5 R- SNACK CHIKI TWIST ROC</t>
  </si>
  <si>
    <t xml:space="preserve">CTL NOS 14G R-SNACK CHITATO LITE NOS</t>
  </si>
  <si>
    <t xml:space="preserve">CTBEB15REN-SNACK CHITATO BEB</t>
  </si>
  <si>
    <t xml:space="preserve">QTS BBQ 20G R-SNACK QTELA BBQ2 </t>
  </si>
  <si>
    <t xml:space="preserve">QTS BBQ 20G R-SNACK QTELA BBQ3</t>
  </si>
  <si>
    <t xml:space="preserve">QTS BBQ 20G R-SNACK QTELA BBQ4</t>
  </si>
  <si>
    <t xml:space="preserve">INMKSAP-SHORR MP GT 16GR AYAM PANGGANG</t>
  </si>
  <si>
    <t xml:space="preserve">FKS</t>
  </si>
  <si>
    <t xml:space="preserve">PT. FKS PANGAN NUSANTARA</t>
  </si>
  <si>
    <t xml:space="preserve">INMKSKM- SHORR MP GT 16GR KEJU MANIS</t>
  </si>
  <si>
    <t xml:space="preserve">INMKSHC-SHORR MP GT 16GR SAMBAL BALADO</t>
  </si>
  <si>
    <t xml:space="preserve">TARO NET SP 17GR POTATO BARBEQUE</t>
  </si>
  <si>
    <t xml:space="preserve">TARO NET SP 17GR SEAWEED</t>
  </si>
  <si>
    <t xml:space="preserve">TARO NET SP 8GR SEAWEED</t>
  </si>
  <si>
    <t xml:space="preserve">TARO NET MP 32GR SEAWEED</t>
  </si>
  <si>
    <t xml:space="preserve">DESAKU KETUMBAR BUBUK 8PX2RX12</t>
  </si>
  <si>
    <t xml:space="preserve">MOTASA</t>
  </si>
  <si>
    <t xml:space="preserve">CV. TIARA MAS</t>
  </si>
  <si>
    <t xml:space="preserve">DESAKU KUNYIT BUBUK 18PX2RX12</t>
  </si>
  <si>
    <t xml:space="preserve">DESAKU MARINASI 36PX1RX12</t>
  </si>
  <si>
    <t xml:space="preserve">DESAKU BAWANG PUTIH 8PX2RX12</t>
  </si>
  <si>
    <t xml:space="preserve">LADAKU SACHET 8PX6RX12</t>
  </si>
  <si>
    <t xml:space="preserve">DESAKU KARI NUSANTARA 12PX1PX10</t>
  </si>
  <si>
    <t xml:space="preserve">DESAKU CABE BUBUK </t>
  </si>
  <si>
    <t xml:space="preserve">DESAKU BALADO 12PX1PX10</t>
  </si>
  <si>
    <t xml:space="preserve">DESAKU OPOR 12PX1PX10</t>
  </si>
  <si>
    <t xml:space="preserve">MIE GEMEZ ENAAK AYAM KECAP CBP 1000@80PCS</t>
  </si>
  <si>
    <t xml:space="preserve">SIANTAR TOP</t>
  </si>
  <si>
    <t xml:space="preserve">PT. SEMESTANUSTRA DISTRINDO</t>
  </si>
  <si>
    <t xml:space="preserve">MIE GEMEZ ENAAK AYAM SPICY CBP 1000@80PCS</t>
  </si>
  <si>
    <t xml:space="preserve">SPIX MIE GORENG SAMBAL BALADO @80PCS (4BAL)</t>
  </si>
  <si>
    <t xml:space="preserve">SPIX MIE GORENG SAMBAL BALADO CBP 1000 @80P</t>
  </si>
  <si>
    <t xml:space="preserve">MISTER KENTANG GORENG CBP 2000 @40PCS (4RT</t>
  </si>
  <si>
    <t xml:space="preserve">TIC TIC BAWANG SAMBAL COLEK CBP 2000 @40PCS</t>
  </si>
  <si>
    <t xml:space="preserve">TIC TIC SPICY GARLIC CBP 2000 @40PCS (4RTG@10</t>
  </si>
  <si>
    <t xml:space="preserve">TIC TIC BAWANG CBP 2000 @40PCS (4RTG @10PCS )</t>
  </si>
  <si>
    <t xml:space="preserve">SIBOLI UBI BAKAR</t>
  </si>
  <si>
    <t xml:space="preserve">SIBOLI</t>
  </si>
  <si>
    <t xml:space="preserve">BMG SEMARANG</t>
  </si>
  <si>
    <t xml:space="preserve">SIBOLI ORIGINAL</t>
  </si>
  <si>
    <t xml:space="preserve">UMBIS</t>
  </si>
  <si>
    <t xml:space="preserve">SANTANPAS</t>
  </si>
  <si>
    <t xml:space="preserve">SANTANPAS </t>
  </si>
  <si>
    <t xml:space="preserve">KOKITOP</t>
  </si>
  <si>
    <t xml:space="preserve">CV BERKAH TRITUNGGAL ABADI</t>
  </si>
  <si>
    <t xml:space="preserve">MTK4P</t>
  </si>
  <si>
    <t xml:space="preserve">MT-Kijang 4kp PIPIH</t>
  </si>
  <si>
    <t xml:space="preserve">KIJANG</t>
  </si>
  <si>
    <t xml:space="preserve">PT. SEMI INTAN SEJAHTERA</t>
  </si>
  <si>
    <t xml:space="preserve">NTK4KB</t>
  </si>
  <si>
    <t xml:space="preserve">MT-Kijang 4kp BUNDAR</t>
  </si>
  <si>
    <t xml:space="preserve">MTK20B</t>
  </si>
  <si>
    <t xml:space="preserve">MT-Kijang 20 pack BUNDAR</t>
  </si>
  <si>
    <t xml:space="preserve">MTK20P</t>
  </si>
  <si>
    <t xml:space="preserve">MT-Kijang 20 pack PIPIH</t>
  </si>
  <si>
    <t xml:space="preserve">BJK4H</t>
  </si>
  <si>
    <t xml:space="preserve">BJ-Kijang 4 kp (Hijau)</t>
  </si>
  <si>
    <t xml:space="preserve">BJK4M</t>
  </si>
  <si>
    <t xml:space="preserve">BJ-Kijang 4 kp (Merah)</t>
  </si>
  <si>
    <t xml:space="preserve">BJK2K</t>
  </si>
  <si>
    <t xml:space="preserve">BJ-Kijang 2 kp (Kuning)</t>
  </si>
  <si>
    <t xml:space="preserve">KENANGAN SPARKS PEACH 250ML</t>
  </si>
  <si>
    <t xml:space="preserve">KOPI KENANGAN</t>
  </si>
  <si>
    <t xml:space="preserve">PT. BUMI CIPTA RASA</t>
  </si>
  <si>
    <t xml:space="preserve">KENANGAN SPARKS LYCHEE 250ML</t>
  </si>
  <si>
    <t xml:space="preserve">KOPI KENANGAN AVOCUDDLE 220ML</t>
  </si>
  <si>
    <t xml:space="preserve">KOPI KENANGAN INDONESIANO 220ML</t>
  </si>
  <si>
    <t xml:space="preserve">KOPI KENANGAN CAFFE LATTE 220ML</t>
  </si>
  <si>
    <t xml:space="preserve">KOPI KENANGAN ROYAL CHEESE 220ML</t>
  </si>
  <si>
    <t xml:space="preserve">KOPI KENANGAN MATCHA ESPRESSO 220ML</t>
  </si>
  <si>
    <t xml:space="preserve">KOPI KENANGAN BLACK AREN 220ML</t>
  </si>
  <si>
    <t xml:space="preserve">KOPI KENANGAN MANTANCHINO 220ML</t>
  </si>
  <si>
    <t xml:space="preserve">RIJAU AYAM BAWANG</t>
  </si>
  <si>
    <t xml:space="preserve">RIJAU</t>
  </si>
  <si>
    <t xml:space="preserve">PT. GLOBAL PANGAN ABADI</t>
  </si>
  <si>
    <t xml:space="preserve">RIJAU AYAM GORENG</t>
  </si>
  <si>
    <t xml:space="preserve">RIJAU BBQ</t>
  </si>
  <si>
    <t xml:space="preserve">RIJAU PEDAS</t>
  </si>
  <si>
    <t xml:space="preserve">ORIGU ROOL BALADO</t>
  </si>
  <si>
    <t xml:space="preserve">ORIGU</t>
  </si>
  <si>
    <t xml:space="preserve">ORIGU ROOL BBQ</t>
  </si>
  <si>
    <t xml:space="preserve">BAWANG PUTIH SOBASO</t>
  </si>
  <si>
    <t xml:space="preserve">SOBASO</t>
  </si>
  <si>
    <t xml:space="preserve">PT. HIMALAYA MITRA SUKSES</t>
  </si>
  <si>
    <t xml:space="preserve">TP PENGENYAL EMULSIFER 32GR</t>
  </si>
  <si>
    <t xml:space="preserve">SAOS SAMBAL PEPELEGI 500ML</t>
  </si>
  <si>
    <t xml:space="preserve">MSG SOBASO 15GR</t>
  </si>
  <si>
    <t xml:space="preserve">MSG SOBASO 250GR</t>
  </si>
  <si>
    <t xml:space="preserve">MSG SOBASO 5000</t>
  </si>
  <si>
    <t xml:space="preserve">MAIZENA 200GR</t>
  </si>
  <si>
    <t xml:space="preserve">KUAH SUM SUM 65GR</t>
  </si>
  <si>
    <t xml:space="preserve">TEPUNG ADONAN SAPI SOBASO 125GR</t>
  </si>
  <si>
    <t xml:space="preserve">PATI SAGU MERAH 500GR</t>
  </si>
  <si>
    <t xml:space="preserve">KUAH BAKSO 8GR</t>
  </si>
  <si>
    <t xml:space="preserve">TP PERENYAH PLUS 20GR</t>
  </si>
  <si>
    <t xml:space="preserve">TEPUNG ADONAN PRAKTIS 500GR</t>
  </si>
  <si>
    <t xml:space="preserve">TEPUNG ADONAN BAKSO 125GR</t>
  </si>
  <si>
    <t xml:space="preserve">SAOS SAMBAL SILIHWANGI 500GR</t>
  </si>
  <si>
    <t xml:space="preserve">KUAH SUM SUM 8GR</t>
  </si>
  <si>
    <t xml:space="preserve">TEPUNG ADONAN BAKSO NYAKRES 250GR</t>
  </si>
  <si>
    <t xml:space="preserve">TEPUNG ADONAN BAKSO IGA BAKAR 250GR</t>
  </si>
  <si>
    <t xml:space="preserve">TOBELO POP KRESS MIX</t>
  </si>
  <si>
    <t xml:space="preserve">TOBELO</t>
  </si>
  <si>
    <t xml:space="preserve">PT. BUMI TANGERANG COKLAT UTAMA</t>
  </si>
  <si>
    <t xml:space="preserve">TOBELO CHOCO TOSS</t>
  </si>
  <si>
    <t xml:space="preserve">TOBELO MOONLIGHT (BAG)</t>
  </si>
  <si>
    <t xml:space="preserve">TOBELO LOLLY COKLAT</t>
  </si>
  <si>
    <t xml:space="preserve">TOBELO LONG STICK JAR</t>
  </si>
  <si>
    <t xml:space="preserve">TOBELO LOLLY MANGGA</t>
  </si>
  <si>
    <t xml:space="preserve">TOBELO LOLLY STRAWBERRY</t>
  </si>
  <si>
    <t xml:space="preserve">NUTELLA B READY 22GR</t>
  </si>
  <si>
    <t xml:space="preserve">FERERO</t>
  </si>
  <si>
    <t xml:space="preserve">OYSTER SAUCE PANDA SACHET 30GR HANGER</t>
  </si>
  <si>
    <t xml:space="preserve">MAHSURI</t>
  </si>
  <si>
    <t xml:space="preserve">OYSTER SAUCE PANDA SACHET 30GR BOX</t>
  </si>
  <si>
    <t xml:space="preserve">MH SAUS GURIH ASAM MANIS 30GR BOX</t>
  </si>
  <si>
    <t xml:space="preserve">MH SAUS GURIH ASAM MANIS 30GR HANGER</t>
  </si>
  <si>
    <t xml:space="preserve">CRISPY SEAWEED BIG SHEET CLASSIC 3.2 GR</t>
  </si>
  <si>
    <t xml:space="preserve">TAO KAE NOI</t>
  </si>
  <si>
    <t xml:space="preserve">CRISPY SEAWEED BIG SHEET JAPANESE 3.2 G</t>
  </si>
  <si>
    <t xml:space="preserve">CRISPY SEAWEED BIG SHEET SPICY 3.2 GR10</t>
  </si>
  <si>
    <t xml:space="preserve">CRISPY SEAWEED BIG SHEET SPICY 3.2 GR11</t>
  </si>
  <si>
    <t xml:space="preserve">CRISPY SEAWEED BIG SHEET SPICY 3.2 GR12</t>
  </si>
  <si>
    <t xml:space="preserve">BIG SHEET CHILI GARLIC MAYO 3.2 G</t>
  </si>
  <si>
    <t xml:space="preserve">SEASONED LAVER ORIGINAL FLV BOX 1 GR- P</t>
  </si>
  <si>
    <t xml:space="preserve">SEASONED LAVER TERIYAKI FLV BOX 1 GR- P</t>
  </si>
  <si>
    <t xml:space="preserve">WARNA HIJAU DI ISI OM DODIG</t>
  </si>
  <si>
    <t xml:space="preserve">WARNA ORANGE DI ISI ADMIN SAL</t>
  </si>
  <si>
    <t xml:space="preserve">id</t>
  </si>
  <si>
    <t xml:space="preserve">type</t>
  </si>
  <si>
    <t xml:space="preserve">remarks</t>
  </si>
  <si>
    <t xml:space="preserve">SEBAGAI DISTRIBUTOR</t>
  </si>
  <si>
    <t xml:space="preserve">SEBAGAI SUB DIST</t>
  </si>
  <si>
    <t xml:space="preserve">SEBAGAI GROSIR/SO</t>
  </si>
  <si>
    <t xml:space="preserve">code</t>
  </si>
  <si>
    <t xml:space="preserve">name</t>
  </si>
  <si>
    <t xml:space="preserve">product_type (ambil dari id master product tipe)</t>
  </si>
  <si>
    <t xml:space="preserve">unit</t>
  </si>
  <si>
    <t xml:space="preserve">unit_name</t>
  </si>
  <si>
    <t xml:space="preserve">Kategori Barang</t>
  </si>
  <si>
    <t xml:space="preserve">model_number</t>
  </si>
  <si>
    <t xml:space="preserve">tax_sale</t>
  </si>
  <si>
    <t xml:space="preserve">tax_sale_nominal</t>
  </si>
  <si>
    <t xml:space="preserve">type_tax</t>
  </si>
  <si>
    <t xml:space="preserve">type_retur(RETUR/NON RETUR)</t>
  </si>
  <si>
    <t xml:space="preserve">test</t>
  </si>
  <si>
    <t xml:space="preserve">TES</t>
  </si>
  <si>
    <t xml:space="preserve">exclude</t>
  </si>
  <si>
    <t xml:space="preserve">RETUR</t>
  </si>
  <si>
    <t xml:space="preserve">NON RETUR</t>
  </si>
  <si>
    <t xml:space="preserve">CARTON</t>
  </si>
  <si>
    <t xml:space="preserve">KARUNG</t>
  </si>
  <si>
    <t xml:space="preserve">PACK</t>
  </si>
  <si>
    <t xml:space="preserve">BOX</t>
  </si>
  <si>
    <t xml:space="preserve">TOPLES</t>
  </si>
  <si>
    <t xml:space="preserve">HANGER</t>
  </si>
  <si>
    <t xml:space="preserve">BALL</t>
  </si>
  <si>
    <t xml:space="preserve">RENCENG</t>
  </si>
  <si>
    <t xml:space="preserve">PCS</t>
  </si>
  <si>
    <t xml:space="preserve">SACHET</t>
  </si>
  <si>
    <t xml:space="preserve">BOTOL</t>
  </si>
  <si>
    <t xml:space="preserve">product (ambil dari id master produk)</t>
  </si>
  <si>
    <t xml:space="preserve">unit_dasar</t>
  </si>
  <si>
    <t xml:space="preserve">unit_dasar_name</t>
  </si>
  <si>
    <t xml:space="preserve">unit_tujuan</t>
  </si>
  <si>
    <t xml:space="preserve">unit_tujuan_name</t>
  </si>
  <si>
    <t xml:space="preserve">nilai_konversi</t>
  </si>
  <si>
    <t xml:space="preserve">level</t>
  </si>
  <si>
    <t xml:space="preserve">state (satuan paling kecil kasih ‘small’, lalu terbesar kasih ‘large’)</t>
  </si>
  <si>
    <t xml:space="preserve">nilai_konversi_smallest</t>
  </si>
  <si>
    <t xml:space="preserve">KARTON</t>
  </si>
  <si>
    <t xml:space="preserve">RETAIL</t>
  </si>
  <si>
    <t xml:space="preserve">SEMI GROSIR</t>
  </si>
  <si>
    <t xml:space="preserve">GROSIR</t>
  </si>
  <si>
    <t xml:space="preserve">RESELLER</t>
  </si>
  <si>
    <t xml:space="preserve">STAR OUTLET</t>
  </si>
  <si>
    <t xml:space="preserve">SPECIAL PRICE</t>
  </si>
  <si>
    <t xml:space="preserve">product (ambil dari id master_product)</t>
  </si>
  <si>
    <t xml:space="preserve">price_list (ambil dari id master_price_list)</t>
  </si>
  <si>
    <t xml:space="preserve">price</t>
  </si>
  <si>
    <t xml:space="preserve">date_start (tgl berlaku mulai)</t>
  </si>
  <si>
    <t xml:space="preserve">min_qty (min pengambilan)</t>
  </si>
  <si>
    <t xml:space="preserve">max_qty (max pengambilan)</t>
  </si>
  <si>
    <t xml:space="preserve">discount_type (percent/nominal)</t>
  </si>
  <si>
    <t xml:space="preserve">discount_value</t>
  </si>
  <si>
    <t xml:space="preserve">date_start</t>
  </si>
  <si>
    <t xml:space="preserve">status_aktif</t>
  </si>
  <si>
    <t xml:space="preserve">percent</t>
  </si>
  <si>
    <t xml:space="preserve">min_qty</t>
  </si>
  <si>
    <t xml:space="preserve">max_qty</t>
  </si>
  <si>
    <t xml:space="preserve">free_product (ambil dari id master_product)</t>
  </si>
  <si>
    <t xml:space="preserve">free_unit</t>
  </si>
  <si>
    <t xml:space="preserve">free_unit_name</t>
  </si>
  <si>
    <t xml:space="preserve">free_qty</t>
  </si>
  <si>
    <t xml:space="preserve">product_uom (ambil dari id product_unit)</t>
  </si>
  <si>
    <t xml:space="preserve">product_name</t>
  </si>
  <si>
    <t xml:space="preserve">latitude</t>
  </si>
  <si>
    <t xml:space="preserve">longitude</t>
  </si>
  <si>
    <t xml:space="preserve">DI YOGYAKARTA</t>
  </si>
  <si>
    <t xml:space="preserve">PROVINSI</t>
  </si>
  <si>
    <t xml:space="preserve">parent</t>
  </si>
  <si>
    <t xml:space="preserve">KABUPATEN KULON PROGO</t>
  </si>
  <si>
    <t xml:space="preserve">KOTA</t>
  </si>
  <si>
    <t xml:space="preserve">KABUPATEN BANTUL</t>
  </si>
  <si>
    <t xml:space="preserve">KABUPATEN GUNUNG KIDUL</t>
  </si>
  <si>
    <t xml:space="preserve">KABUPATEN SLEMAN</t>
  </si>
  <si>
    <t xml:space="preserve">KOTA YOGYAKARTA</t>
  </si>
  <si>
    <t xml:space="preserve">category</t>
  </si>
  <si>
    <t xml:space="preserve">PRINCIPAL</t>
  </si>
  <si>
    <t xml:space="preserve">UMUM</t>
  </si>
  <si>
    <t xml:space="preserve">nama_vendor</t>
  </si>
  <si>
    <t xml:space="preserve">Pic / pemilik</t>
  </si>
  <si>
    <t xml:space="preserve">phone</t>
  </si>
  <si>
    <t xml:space="preserve">mobile_phone</t>
  </si>
  <si>
    <t xml:space="preserve">email</t>
  </si>
  <si>
    <t xml:space="preserve">region (ambil id dari master provinsi)</t>
  </si>
  <si>
    <t xml:space="preserve">city (ambil id dari master kota)</t>
  </si>
  <si>
    <t xml:space="preserve">address</t>
  </si>
  <si>
    <t xml:space="preserve">category (ambil id dari master vendor category)</t>
  </si>
  <si>
    <t xml:space="preserve">TES VENDOR</t>
  </si>
  <si>
    <t xml:space="preserve">dodikra8@gmail.com</t>
  </si>
  <si>
    <t xml:space="preserve">BLITAR</t>
  </si>
  <si>
    <t xml:space="preserve">nik</t>
  </si>
  <si>
    <t xml:space="preserve">nama_lengkap</t>
  </si>
  <si>
    <t xml:space="preserve">jabatan</t>
  </si>
  <si>
    <t xml:space="preserve">contact</t>
  </si>
  <si>
    <t xml:space="preserve">alamat</t>
  </si>
  <si>
    <t xml:space="preserve">nama_ortu</t>
  </si>
  <si>
    <t xml:space="preserve">contact_kerabat</t>
  </si>
  <si>
    <t xml:space="preserve">bank_name</t>
  </si>
  <si>
    <t xml:space="preserve">bank_number</t>
  </si>
  <si>
    <t xml:space="preserve">bank_complete_name</t>
  </si>
  <si>
    <t xml:space="preserve">group (samakan aja isinya ini)</t>
  </si>
  <si>
    <t xml:space="preserve">max_retur</t>
  </si>
  <si>
    <t xml:space="preserve">kode_salesman</t>
  </si>
  <si>
    <t xml:space="preserve">action</t>
  </si>
  <si>
    <t xml:space="preserve">SAL001</t>
  </si>
  <si>
    <t xml:space="preserve">QHOLIB GINANJAR</t>
  </si>
  <si>
    <t xml:space="preserve">FOUNDER &amp; KOMISARIS UTAMA</t>
  </si>
  <si>
    <t xml:space="preserve">-</t>
  </si>
  <si>
    <t xml:space="preserve">GROUP_25JAN0003</t>
  </si>
  <si>
    <t xml:space="preserve">SAL002</t>
  </si>
  <si>
    <t xml:space="preserve">AYU RIFZKITA</t>
  </si>
  <si>
    <t xml:space="preserve">DIREKTUR UTAMA</t>
  </si>
  <si>
    <t xml:space="preserve">SAL003</t>
  </si>
  <si>
    <t xml:space="preserve">AZIRAMA AL AZHAR</t>
  </si>
  <si>
    <t xml:space="preserve">SUPERVISOR SALES</t>
  </si>
  <si>
    <t xml:space="preserve">SAL004</t>
  </si>
  <si>
    <t xml:space="preserve">DITA AYU</t>
  </si>
  <si>
    <t xml:space="preserve">ADMIN LEAD</t>
  </si>
  <si>
    <t xml:space="preserve">SAL005</t>
  </si>
  <si>
    <t xml:space="preserve">EKO</t>
  </si>
  <si>
    <t xml:space="preserve">LOGISTIC&amp;WAREHOUSE COORDINATOR</t>
  </si>
  <si>
    <t xml:space="preserve">SAL006</t>
  </si>
  <si>
    <t xml:space="preserve">EBRI</t>
  </si>
  <si>
    <t xml:space="preserve">HELPER DELIVERY</t>
  </si>
  <si>
    <t xml:space="preserve">DEV-HEL-0001</t>
  </si>
  <si>
    <t xml:space="preserve">SAL007</t>
  </si>
  <si>
    <t xml:space="preserve">IPUNG</t>
  </si>
  <si>
    <t xml:space="preserve">DRIVER DELIVERY</t>
  </si>
  <si>
    <t xml:space="preserve">DEV-DRI-0001</t>
  </si>
  <si>
    <t xml:space="preserve">SAL008</t>
  </si>
  <si>
    <t xml:space="preserve">RIDWAN</t>
  </si>
  <si>
    <t xml:space="preserve">DEV-HEL-0002</t>
  </si>
  <si>
    <t xml:space="preserve">SAL009</t>
  </si>
  <si>
    <t xml:space="preserve">DIMAS</t>
  </si>
  <si>
    <t xml:space="preserve">DEV-DRI-0002</t>
  </si>
  <si>
    <t xml:space="preserve">SAL010</t>
  </si>
  <si>
    <t xml:space="preserve">MAMAN</t>
  </si>
  <si>
    <t xml:space="preserve">SALES TAKING ORDER (MIX)</t>
  </si>
  <si>
    <t xml:space="preserve">TO-MIX-0001</t>
  </si>
  <si>
    <t xml:space="preserve">SAL011</t>
  </si>
  <si>
    <t xml:space="preserve">SUGENG</t>
  </si>
  <si>
    <t xml:space="preserve">TO-MIX-0002</t>
  </si>
  <si>
    <t xml:space="preserve">SAL012</t>
  </si>
  <si>
    <t xml:space="preserve">INDAH</t>
  </si>
  <si>
    <t xml:space="preserve">TO-MIX-0003</t>
  </si>
  <si>
    <t xml:space="preserve">SAL014</t>
  </si>
  <si>
    <t xml:space="preserve">ANISA</t>
  </si>
  <si>
    <t xml:space="preserve">TO-MIX-0004</t>
  </si>
  <si>
    <t xml:space="preserve">AMIN</t>
  </si>
  <si>
    <t xml:space="preserve">SALES TAKING ORDER (EXCLUSIVE)</t>
  </si>
  <si>
    <t xml:space="preserve">TO-SE-0001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</si>
</sst>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_);_(* \(#,##0\);_(* \-??_);_(@_)"/>
    <numFmt numFmtId="166" formatCode="_(* #,##0_);_(* \(#,##0\);_(* \-_);_(@_)"/>
    <numFmt numFmtId="167" formatCode="_-* #,##0.00_-;\-* #,##0.00_-;_-* \-??_-;_-@_-"/>
    <numFmt numFmtId="168" formatCode="General"/>
    <numFmt numFmtId="169" formatCode="_(* #,##0.00_);_(* \(#,##0.00\);_(* \-??_);_(@_)"/>
    <numFmt numFmtId="170" formatCode="0.000"/>
    <numFmt numFmtId="171" formatCode="yyyy\-mm\-dd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name val="Calibri"/>
      <family val="0"/>
      <charset val="1"/>
    </font>
    <font>
      <sz val="10"/>
      <name val="Arial"/>
      <family val="0"/>
      <charset val="1"/>
    </font>
    <font>
      <b val="true"/>
      <i val="true"/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3"/>
      <name val="Arial"/>
      <family val="2"/>
      <charset val="1"/>
    </font>
    <font>
      <b val="true"/>
      <sz val="9"/>
      <color rgb="FF003366"/>
      <name val="Arial"/>
      <family val="2"/>
      <charset val="1"/>
    </font>
    <font>
      <sz val="11"/>
      <name val="Arial"/>
      <family val="2"/>
      <charset val="1"/>
    </font>
    <font>
      <sz val="10"/>
      <color theme="1"/>
      <name val="Arial"/>
      <family val="0"/>
      <charset val="134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FFC000"/>
        <bgColor rgb="FFCCCC00"/>
      </patternFill>
    </fill>
    <fill>
      <patternFill patternType="solid">
        <fgColor theme="5" tint="0.7999"/>
        <bgColor rgb="FFD9D9D9"/>
      </patternFill>
    </fill>
    <fill>
      <patternFill patternType="solid">
        <fgColor rgb="FFFFFF00"/>
        <bgColor rgb="FFCCCC00"/>
      </patternFill>
    </fill>
    <fill>
      <patternFill patternType="solid">
        <fgColor theme="0"/>
        <bgColor rgb="FFFFFFCC"/>
      </patternFill>
    </fill>
    <fill>
      <patternFill patternType="solid">
        <fgColor theme="0" tint="-0.25"/>
        <bgColor rgb="FFD9D9D9"/>
      </patternFill>
    </fill>
    <fill>
      <patternFill patternType="solid">
        <fgColor theme="0" tint="-0.15"/>
        <bgColor rgb="FFF8CFCE"/>
      </patternFill>
    </fill>
    <fill>
      <patternFill patternType="solid">
        <fgColor theme="0" tint="-0.5"/>
        <bgColor rgb="FF808000"/>
      </patternFill>
    </fill>
    <fill>
      <patternFill patternType="solid">
        <fgColor rgb="FFFF860D"/>
        <bgColor rgb="FFFFC000"/>
      </patternFill>
    </fill>
    <fill>
      <patternFill patternType="solid">
        <fgColor rgb="FF00B0F0"/>
        <bgColor rgb="FF34B3FB"/>
      </patternFill>
    </fill>
    <fill>
      <patternFill patternType="solid">
        <fgColor theme="7"/>
        <bgColor rgb="FF800080"/>
      </patternFill>
    </fill>
    <fill>
      <patternFill patternType="solid">
        <fgColor theme="4" tint="0.5999"/>
        <bgColor rgb="FF92D050"/>
      </patternFill>
    </fill>
    <fill>
      <patternFill patternType="solid">
        <fgColor theme="4" tint="0.7999"/>
        <bgColor rgb="FFCCFF99"/>
      </patternFill>
    </fill>
    <fill>
      <patternFill patternType="solid">
        <fgColor theme="5" tint="0.3999"/>
        <bgColor rgb="FF33CCFF"/>
      </patternFill>
    </fill>
    <fill>
      <patternFill patternType="solid">
        <fgColor theme="9" tint="0.5999"/>
        <bgColor rgb="FFFF9999"/>
      </patternFill>
    </fill>
    <fill>
      <patternFill patternType="solid">
        <fgColor theme="7" tint="0.7999"/>
        <bgColor rgb="FFFFCCFF"/>
      </patternFill>
    </fill>
    <fill>
      <patternFill patternType="solid">
        <fgColor theme="4" tint="0.3999"/>
        <bgColor rgb="FF89FD78"/>
      </patternFill>
    </fill>
    <fill>
      <patternFill patternType="solid">
        <fgColor theme="7" tint="0.5999"/>
        <bgColor rgb="FFCC99FF"/>
      </patternFill>
    </fill>
    <fill>
      <patternFill patternType="solid">
        <fgColor theme="5"/>
        <bgColor rgb="FF008080"/>
      </patternFill>
    </fill>
    <fill>
      <patternFill patternType="solid">
        <fgColor theme="9" tint="0.7999"/>
        <bgColor rgb="FFFFCCFF"/>
      </patternFill>
    </fill>
    <fill>
      <patternFill patternType="solid">
        <fgColor rgb="FFCC99FF"/>
        <bgColor rgb="FFEB78FD"/>
      </patternFill>
    </fill>
    <fill>
      <patternFill patternType="solid">
        <fgColor rgb="FF99CCFF"/>
        <bgColor rgb="FF78CCFD"/>
      </patternFill>
    </fill>
    <fill>
      <patternFill patternType="solid">
        <fgColor rgb="FFFFCCFF"/>
        <bgColor rgb="FFF5BBFE"/>
      </patternFill>
    </fill>
    <fill>
      <patternFill patternType="solid">
        <fgColor rgb="FF33CCFF"/>
        <bgColor rgb="FF34B3FB"/>
      </patternFill>
    </fill>
    <fill>
      <patternFill patternType="solid">
        <fgColor rgb="FFFF9999"/>
        <bgColor rgb="FFF19F9E"/>
      </patternFill>
    </fill>
    <fill>
      <patternFill patternType="solid">
        <fgColor rgb="FFCCCC00"/>
        <bgColor rgb="FFFFC000"/>
      </patternFill>
    </fill>
    <fill>
      <patternFill patternType="solid">
        <fgColor rgb="FFFFFFCC"/>
        <bgColor rgb="FFFFFFFF"/>
      </patternFill>
    </fill>
    <fill>
      <patternFill patternType="solid">
        <fgColor rgb="FFCCFF99"/>
        <bgColor rgb="FFC4FEBB"/>
      </patternFill>
    </fill>
    <fill>
      <patternFill patternType="solid">
        <fgColor theme="5" tint="0.5999"/>
        <bgColor rgb="FF99CCFF"/>
      </patternFill>
    </fill>
    <fill>
      <patternFill patternType="solid">
        <fgColor rgb="FF92D050"/>
        <bgColor rgb="FF81D41A"/>
      </patternFill>
    </fill>
    <fill>
      <patternFill patternType="solid">
        <fgColor rgb="FF127622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6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9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4" borderId="2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9" borderId="2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11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1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6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6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1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16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6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7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8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9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1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1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1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2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4" borderId="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24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4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5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6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6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6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7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7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7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7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2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2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2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27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28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8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8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9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9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9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0" fillId="2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2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2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369A3"/>
          <bgColor rgb="FF000000"/>
        </patternFill>
      </fill>
    </dxf>
    <dxf>
      <fill>
        <patternFill patternType="solid">
          <fgColor rgb="FF33CCFF"/>
          <bgColor rgb="FF000000"/>
        </patternFill>
      </fill>
    </dxf>
    <dxf>
      <fill>
        <patternFill patternType="solid">
          <fgColor rgb="FF34B3FB"/>
          <bgColor rgb="FF000000"/>
        </patternFill>
      </fill>
    </dxf>
    <dxf>
      <fill>
        <patternFill patternType="solid">
          <fgColor rgb="FF4EFB34"/>
          <bgColor rgb="FF000000"/>
        </patternFill>
      </fill>
    </dxf>
    <dxf>
      <fill>
        <patternFill patternType="solid">
          <fgColor rgb="FF78CCFD"/>
          <bgColor rgb="FF000000"/>
        </patternFill>
      </fill>
    </dxf>
    <dxf>
      <fill>
        <patternFill patternType="solid">
          <fgColor rgb="FF89FD78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C99FF"/>
          <bgColor rgb="FF000000"/>
        </patternFill>
      </fill>
    </dxf>
    <dxf>
      <fill>
        <patternFill patternType="solid">
          <fgColor rgb="FFCCCC00"/>
          <bgColor rgb="FF000000"/>
        </patternFill>
      </fill>
    </dxf>
    <dxf>
      <fill>
        <patternFill patternType="solid">
          <fgColor rgb="FFCCFF9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B78FD"/>
          <bgColor rgb="FF000000"/>
        </patternFill>
      </fill>
    </dxf>
    <dxf>
      <fill>
        <patternFill patternType="solid">
          <fgColor rgb="FFF19F9E"/>
          <bgColor rgb="FF000000"/>
        </patternFill>
      </fill>
    </dxf>
    <dxf>
      <fill>
        <patternFill patternType="solid">
          <fgColor rgb="FFF5BBFE"/>
          <bgColor rgb="FF000000"/>
        </patternFill>
      </fill>
    </dxf>
    <dxf>
      <fill>
        <patternFill patternType="solid">
          <fgColor rgb="FFF8CFCE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860D"/>
          <bgColor rgb="FF000000"/>
        </patternFill>
      </fill>
    </dxf>
    <dxf>
      <fill>
        <patternFill patternType="solid">
          <fgColor rgb="FFC4FEBB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8E03A3"/>
          <bgColor rgb="FF000000"/>
        </patternFill>
      </fill>
    </dxf>
  </dxfs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89FD78"/>
      <rgbColor rgb="FF800000"/>
      <rgbColor rgb="FF127622"/>
      <rgbColor rgb="FF000080"/>
      <rgbColor rgb="FF808000"/>
      <rgbColor rgb="FF8E03A3"/>
      <rgbColor rgb="FF008080"/>
      <rgbColor rgb="FFBFBFBF"/>
      <rgbColor rgb="FF808080"/>
      <rgbColor rgb="FF78CCFD"/>
      <rgbColor rgb="FF993366"/>
      <rgbColor rgb="FFFFFFCC"/>
      <rgbColor rgb="FFBBE6FE"/>
      <rgbColor rgb="FF660066"/>
      <rgbColor rgb="FFF19F9E"/>
      <rgbColor rgb="FF0369A3"/>
      <rgbColor rgb="FFD9D9D9"/>
      <rgbColor rgb="FF000080"/>
      <rgbColor rgb="FFFF00FF"/>
      <rgbColor rgb="FFCCCC00"/>
      <rgbColor rgb="FF00FFFF"/>
      <rgbColor rgb="FF800080"/>
      <rgbColor rgb="FF800000"/>
      <rgbColor rgb="FF008080"/>
      <rgbColor rgb="FF0000FF"/>
      <rgbColor rgb="FF00B0F0"/>
      <rgbColor rgb="FFFFCCFF"/>
      <rgbColor rgb="FFC4FEBB"/>
      <rgbColor rgb="FFCCFF99"/>
      <rgbColor rgb="FF99CCFF"/>
      <rgbColor rgb="FFFF9999"/>
      <rgbColor rgb="FFCC99FF"/>
      <rgbColor rgb="FFF8CFCE"/>
      <rgbColor rgb="FF3366FF"/>
      <rgbColor rgb="FF33CCFF"/>
      <rgbColor rgb="FF81D41A"/>
      <rgbColor rgb="FFFFC000"/>
      <rgbColor rgb="FFFF860D"/>
      <rgbColor rgb="FFF5BBFE"/>
      <rgbColor rgb="FFEB78FD"/>
      <rgbColor rgb="FF92D050"/>
      <rgbColor rgb="FF003366"/>
      <rgbColor rgb="FF34B3F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34B3FB"/>
    <pageSetUpPr fitToPage="false"/>
  </sheetPr>
  <dimension ref="A1:BB54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5" activeCellId="0" sqref="D25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5.27"/>
    <col collapsed="false" customWidth="true" hidden="false" outlineLevel="0" max="3" min="2" style="1" width="11"/>
    <col collapsed="false" customWidth="true" hidden="false" outlineLevel="0" max="4" min="4" style="1" width="17.18"/>
    <col collapsed="false" customWidth="true" hidden="false" outlineLevel="0" max="5" min="5" style="1" width="64.45"/>
    <col collapsed="false" customWidth="true" hidden="false" outlineLevel="0" max="6" min="6" style="1" width="21.73"/>
    <col collapsed="false" customWidth="true" hidden="false" outlineLevel="0" max="7" min="7" style="1" width="24.82"/>
    <col collapsed="false" customWidth="true" hidden="false" outlineLevel="0" max="8" min="8" style="1" width="40.54"/>
    <col collapsed="false" customWidth="true" hidden="false" outlineLevel="0" max="9" min="9" style="1" width="41.18"/>
    <col collapsed="false" customWidth="true" hidden="false" outlineLevel="0" max="10" min="10" style="2" width="23.73"/>
    <col collapsed="false" customWidth="true" hidden="false" outlineLevel="0" max="11" min="11" style="1" width="19.54"/>
    <col collapsed="false" customWidth="true" hidden="false" outlineLevel="0" max="12" min="12" style="1" width="35"/>
    <col collapsed="false" customWidth="true" hidden="false" outlineLevel="0" max="13" min="13" style="2" width="13.82"/>
    <col collapsed="false" customWidth="true" hidden="false" outlineLevel="0" max="15" min="14" style="1" width="19.82"/>
    <col collapsed="false" customWidth="true" hidden="false" outlineLevel="0" max="16" min="16" style="2" width="22.27"/>
    <col collapsed="false" customWidth="true" hidden="false" outlineLevel="0" max="17" min="17" style="1" width="19.27"/>
    <col collapsed="false" customWidth="true" hidden="false" outlineLevel="0" max="18" min="18" style="1" width="14.54"/>
    <col collapsed="false" customWidth="true" hidden="false" outlineLevel="0" max="19" min="19" style="3" width="23.54"/>
    <col collapsed="false" customWidth="true" hidden="false" outlineLevel="0" max="20" min="20" style="4" width="30.18"/>
    <col collapsed="false" customWidth="true" hidden="false" outlineLevel="0" max="22" min="21" style="5" width="29.45"/>
    <col collapsed="false" customWidth="true" hidden="false" outlineLevel="0" max="24" min="23" style="1" width="29.45"/>
    <col collapsed="false" customWidth="true" hidden="false" outlineLevel="0" max="25" min="25" style="1" width="27.82"/>
    <col collapsed="false" customWidth="true" hidden="false" outlineLevel="0" max="27" min="26" style="1" width="29.45"/>
    <col collapsed="false" customWidth="true" hidden="false" outlineLevel="0" max="28" min="28" style="1" width="27.82"/>
    <col collapsed="false" customWidth="true" hidden="false" outlineLevel="0" max="33" min="29" style="1" width="20.27"/>
    <col collapsed="false" customWidth="true" hidden="false" outlineLevel="0" max="36" min="34" style="1" width="24.18"/>
    <col collapsed="false" customWidth="true" hidden="false" outlineLevel="0" max="37" min="37" style="1" width="20.27"/>
    <col collapsed="false" customWidth="true" hidden="false" outlineLevel="0" max="38" min="38" style="1" width="17.18"/>
    <col collapsed="false" customWidth="true" hidden="false" outlineLevel="0" max="39" min="39" style="1" width="14.45"/>
    <col collapsed="false" customWidth="true" hidden="false" outlineLevel="0" max="40" min="40" style="1" width="26.54"/>
    <col collapsed="false" customWidth="true" hidden="false" outlineLevel="0" max="41" min="41" style="1" width="20.45"/>
    <col collapsed="false" customWidth="true" hidden="false" outlineLevel="0" max="42" min="42" style="1" width="17.18"/>
    <col collapsed="false" customWidth="true" hidden="false" outlineLevel="0" max="43" min="43" style="1" width="14.45"/>
    <col collapsed="false" customWidth="true" hidden="false" outlineLevel="0" max="44" min="44" style="1" width="26.54"/>
    <col collapsed="false" customWidth="true" hidden="false" outlineLevel="0" max="45" min="45" style="1" width="20.45"/>
    <col collapsed="false" customWidth="true" hidden="false" outlineLevel="0" max="46" min="46" style="1" width="17.18"/>
    <col collapsed="false" customWidth="true" hidden="false" outlineLevel="0" max="47" min="47" style="1" width="24.18"/>
    <col collapsed="false" customWidth="true" hidden="false" outlineLevel="0" max="48" min="48" style="1" width="26.54"/>
    <col collapsed="false" customWidth="true" hidden="false" outlineLevel="0" max="49" min="49" style="1" width="20.45"/>
    <col collapsed="false" customWidth="true" hidden="false" outlineLevel="0" max="50" min="50" style="1" width="17.18"/>
    <col collapsed="false" customWidth="true" hidden="false" outlineLevel="0" max="51" min="51" style="1" width="14.45"/>
    <col collapsed="false" customWidth="true" hidden="false" outlineLevel="0" max="52" min="52" style="1" width="26.54"/>
    <col collapsed="false" customWidth="true" hidden="false" outlineLevel="0" max="53" min="53" style="1" width="20.45"/>
    <col collapsed="false" customWidth="true" hidden="false" outlineLevel="0" max="54" min="54" style="1" width="9.82"/>
  </cols>
  <sheetData>
    <row r="1" customFormat="false" ht="13.5" hidden="false" customHeight="false" outlineLevel="0" collapsed="false">
      <c r="C1" s="1" t="n">
        <v>1</v>
      </c>
      <c r="D1" s="1" t="n">
        <v>2</v>
      </c>
      <c r="M1" s="6" t="n">
        <v>1</v>
      </c>
      <c r="N1" s="6" t="n">
        <v>2</v>
      </c>
      <c r="O1" s="6" t="n">
        <v>3</v>
      </c>
      <c r="P1" s="6" t="n">
        <v>4</v>
      </c>
      <c r="Q1" s="6" t="n">
        <v>5</v>
      </c>
      <c r="R1" s="6"/>
    </row>
    <row r="2" customFormat="false" ht="15" hidden="false" customHeight="false" outlineLevel="0" collapsed="false">
      <c r="M2" s="7" t="s">
        <v>0</v>
      </c>
      <c r="N2" s="6"/>
      <c r="O2" s="8" t="s">
        <v>1</v>
      </c>
      <c r="P2" s="6"/>
      <c r="Q2" s="6"/>
      <c r="R2" s="6"/>
    </row>
    <row r="3" customFormat="false" ht="13.5" hidden="false" customHeight="false" outlineLevel="0" collapsed="false">
      <c r="M3" s="9" t="s">
        <v>2</v>
      </c>
      <c r="N3" s="10" t="s">
        <v>3</v>
      </c>
      <c r="O3" s="10" t="s">
        <v>4</v>
      </c>
      <c r="P3" s="10" t="s">
        <v>5</v>
      </c>
      <c r="Q3" s="10" t="s">
        <v>6</v>
      </c>
      <c r="R3" s="11"/>
      <c r="S3" s="12"/>
      <c r="T3" s="13"/>
      <c r="U3" s="14"/>
      <c r="V3" s="14"/>
      <c r="W3" s="15"/>
      <c r="X3" s="15"/>
      <c r="Y3" s="15"/>
      <c r="Z3" s="15"/>
      <c r="AA3" s="15"/>
    </row>
    <row r="4" customFormat="false" ht="15" hidden="false" customHeight="false" outlineLevel="0" collapsed="false">
      <c r="M4" s="16" t="n">
        <v>1</v>
      </c>
      <c r="N4" s="17" t="s">
        <v>7</v>
      </c>
      <c r="O4" s="18" t="s">
        <v>8</v>
      </c>
      <c r="P4" s="19" t="n">
        <v>1</v>
      </c>
      <c r="Q4" s="20" t="s">
        <v>9</v>
      </c>
      <c r="S4" s="12"/>
      <c r="T4" s="13"/>
      <c r="U4" s="14"/>
      <c r="V4" s="14"/>
      <c r="W4" s="15"/>
      <c r="X4" s="15"/>
      <c r="Y4" s="15"/>
      <c r="Z4" s="15"/>
      <c r="AA4" s="15"/>
    </row>
    <row r="5" customFormat="false" ht="15" hidden="false" customHeight="false" outlineLevel="0" collapsed="false">
      <c r="M5" s="21" t="n">
        <v>2</v>
      </c>
      <c r="N5" s="22" t="s">
        <v>7</v>
      </c>
      <c r="O5" s="22" t="s">
        <v>10</v>
      </c>
      <c r="P5" s="23" t="n">
        <v>1</v>
      </c>
      <c r="Q5" s="24" t="s">
        <v>9</v>
      </c>
      <c r="S5" s="12"/>
      <c r="T5" s="13"/>
      <c r="U5" s="14"/>
      <c r="V5" s="14"/>
      <c r="W5" s="15"/>
      <c r="X5" s="15"/>
      <c r="Y5" s="15"/>
      <c r="Z5" s="15"/>
      <c r="AA5" s="15"/>
    </row>
    <row r="6" customFormat="false" ht="15" hidden="false" customHeight="false" outlineLevel="0" collapsed="false">
      <c r="M6" s="16" t="n">
        <v>3</v>
      </c>
      <c r="N6" s="17" t="s">
        <v>11</v>
      </c>
      <c r="O6" s="18" t="s">
        <v>12</v>
      </c>
      <c r="P6" s="19" t="n">
        <v>2</v>
      </c>
      <c r="Q6" s="20"/>
      <c r="S6" s="12"/>
      <c r="T6" s="13"/>
      <c r="U6" s="14"/>
      <c r="V6" s="14"/>
      <c r="W6" s="15"/>
      <c r="X6" s="15"/>
      <c r="Y6" s="15"/>
      <c r="Z6" s="15"/>
      <c r="AA6" s="15"/>
    </row>
    <row r="7" customFormat="false" ht="15" hidden="false" customHeight="false" outlineLevel="0" collapsed="false">
      <c r="H7" s="15"/>
      <c r="M7" s="21" t="n">
        <v>4</v>
      </c>
      <c r="N7" s="22" t="s">
        <v>11</v>
      </c>
      <c r="O7" s="22" t="s">
        <v>13</v>
      </c>
      <c r="P7" s="23" t="n">
        <v>2</v>
      </c>
      <c r="Q7" s="24"/>
      <c r="S7" s="12"/>
      <c r="T7" s="13"/>
      <c r="U7" s="14"/>
      <c r="V7" s="14"/>
      <c r="W7" s="15"/>
      <c r="X7" s="15"/>
      <c r="Y7" s="15"/>
      <c r="Z7" s="15"/>
      <c r="AA7" s="15"/>
    </row>
    <row r="8" customFormat="false" ht="15" hidden="false" customHeight="false" outlineLevel="0" collapsed="false">
      <c r="H8" s="15"/>
      <c r="M8" s="16" t="n">
        <v>5</v>
      </c>
      <c r="N8" s="17" t="s">
        <v>11</v>
      </c>
      <c r="O8" s="18" t="s">
        <v>14</v>
      </c>
      <c r="P8" s="19" t="n">
        <v>2</v>
      </c>
      <c r="Q8" s="20"/>
      <c r="S8" s="12"/>
      <c r="T8" s="13"/>
      <c r="U8" s="14"/>
      <c r="V8" s="14"/>
      <c r="W8" s="15"/>
      <c r="X8" s="15"/>
      <c r="Y8" s="15"/>
      <c r="Z8" s="15"/>
      <c r="AA8" s="15"/>
      <c r="AB8" s="25" t="s">
        <v>15</v>
      </c>
    </row>
    <row r="9" customFormat="false" ht="15" hidden="false" customHeight="false" outlineLevel="0" collapsed="false">
      <c r="H9" s="15"/>
      <c r="I9" s="15"/>
      <c r="M9" s="21" t="n">
        <v>6</v>
      </c>
      <c r="N9" s="22" t="s">
        <v>11</v>
      </c>
      <c r="O9" s="22" t="s">
        <v>16</v>
      </c>
      <c r="P9" s="23" t="n">
        <v>2</v>
      </c>
      <c r="Q9" s="24"/>
      <c r="S9" s="12"/>
      <c r="T9" s="13"/>
      <c r="U9" s="14"/>
      <c r="V9" s="14"/>
      <c r="W9" s="15"/>
      <c r="X9" s="15"/>
      <c r="Y9" s="15"/>
      <c r="Z9" s="15"/>
      <c r="AA9" s="15"/>
      <c r="AB9" s="26"/>
    </row>
    <row r="10" customFormat="false" ht="15" hidden="false" customHeight="false" outlineLevel="0" collapsed="false">
      <c r="H10" s="15"/>
      <c r="I10" s="15"/>
      <c r="J10" s="27" t="s">
        <v>17</v>
      </c>
      <c r="K10" s="28" t="s">
        <v>18</v>
      </c>
      <c r="L10" s="15" t="s">
        <v>19</v>
      </c>
      <c r="M10" s="16" t="n">
        <v>7</v>
      </c>
      <c r="N10" s="17" t="s">
        <v>11</v>
      </c>
      <c r="O10" s="18" t="s">
        <v>20</v>
      </c>
      <c r="P10" s="19" t="n">
        <v>2</v>
      </c>
      <c r="Q10" s="20"/>
      <c r="S10" s="12"/>
      <c r="T10" s="13"/>
      <c r="U10" s="14"/>
      <c r="V10" s="14"/>
      <c r="W10" s="15"/>
      <c r="X10" s="15"/>
      <c r="Y10" s="15"/>
      <c r="Z10" s="15"/>
      <c r="AA10" s="15"/>
      <c r="AB10" s="26"/>
    </row>
    <row r="11" customFormat="false" ht="15" hidden="false" customHeight="false" outlineLevel="0" collapsed="false">
      <c r="H11" s="15"/>
      <c r="I11" s="15"/>
      <c r="J11" s="27" t="n">
        <v>1</v>
      </c>
      <c r="K11" s="28" t="s">
        <v>21</v>
      </c>
      <c r="L11" s="15" t="s">
        <v>22</v>
      </c>
      <c r="M11" s="21" t="n">
        <v>8</v>
      </c>
      <c r="N11" s="22" t="s">
        <v>23</v>
      </c>
      <c r="O11" s="22" t="s">
        <v>24</v>
      </c>
      <c r="P11" s="23" t="n">
        <v>3</v>
      </c>
      <c r="Q11" s="24"/>
      <c r="S11" s="12"/>
      <c r="T11" s="13"/>
      <c r="U11" s="14"/>
      <c r="V11" s="14"/>
      <c r="W11" s="15"/>
      <c r="X11" s="15"/>
      <c r="Y11" s="15"/>
      <c r="Z11" s="15"/>
      <c r="AA11" s="15"/>
      <c r="AB11" s="26"/>
    </row>
    <row r="12" customFormat="false" ht="15" hidden="false" customHeight="false" outlineLevel="0" collapsed="false">
      <c r="H12" s="15"/>
      <c r="I12" s="15"/>
      <c r="J12" s="27" t="n">
        <v>2</v>
      </c>
      <c r="K12" s="28" t="s">
        <v>25</v>
      </c>
      <c r="L12" s="15" t="s">
        <v>26</v>
      </c>
      <c r="M12" s="16" t="n">
        <v>9</v>
      </c>
      <c r="N12" s="17" t="s">
        <v>27</v>
      </c>
      <c r="O12" s="18" t="s">
        <v>28</v>
      </c>
      <c r="P12" s="19" t="n">
        <v>4</v>
      </c>
      <c r="Q12" s="20" t="s">
        <v>29</v>
      </c>
      <c r="S12" s="12"/>
      <c r="T12" s="13"/>
      <c r="U12" s="14"/>
      <c r="V12" s="14"/>
      <c r="W12" s="15"/>
      <c r="X12" s="15"/>
      <c r="Y12" s="15"/>
      <c r="Z12" s="15"/>
      <c r="AA12" s="15"/>
      <c r="AB12" s="26"/>
    </row>
    <row r="13" customFormat="false" ht="15" hidden="false" customHeight="false" outlineLevel="0" collapsed="false">
      <c r="H13" s="15"/>
      <c r="I13" s="15"/>
      <c r="J13" s="27" t="n">
        <v>3</v>
      </c>
      <c r="K13" s="28" t="s">
        <v>30</v>
      </c>
      <c r="L13" s="15" t="s">
        <v>31</v>
      </c>
      <c r="M13" s="21" t="n">
        <v>10</v>
      </c>
      <c r="N13" s="22" t="s">
        <v>27</v>
      </c>
      <c r="O13" s="22" t="s">
        <v>32</v>
      </c>
      <c r="P13" s="23" t="n">
        <v>4</v>
      </c>
      <c r="Q13" s="24" t="s">
        <v>29</v>
      </c>
      <c r="S13" s="12"/>
      <c r="T13" s="13"/>
      <c r="U13" s="14"/>
      <c r="V13" s="14"/>
      <c r="W13" s="15"/>
      <c r="X13" s="15"/>
      <c r="Y13" s="15"/>
      <c r="Z13" s="15"/>
      <c r="AA13" s="15"/>
      <c r="AB13" s="26"/>
    </row>
    <row r="14" customFormat="false" ht="15" hidden="false" customHeight="false" outlineLevel="0" collapsed="false">
      <c r="H14" s="15"/>
      <c r="I14" s="15"/>
      <c r="L14" s="15" t="s">
        <v>33</v>
      </c>
      <c r="M14" s="16" t="n">
        <v>11</v>
      </c>
      <c r="N14" s="17" t="s">
        <v>27</v>
      </c>
      <c r="O14" s="18" t="s">
        <v>34</v>
      </c>
      <c r="P14" s="19" t="n">
        <v>4</v>
      </c>
      <c r="Q14" s="20" t="s">
        <v>29</v>
      </c>
      <c r="S14" s="12"/>
      <c r="T14" s="13"/>
      <c r="U14" s="14"/>
      <c r="V14" s="14"/>
      <c r="W14" s="15"/>
      <c r="X14" s="15"/>
      <c r="Y14" s="15"/>
      <c r="Z14" s="15"/>
      <c r="AA14" s="15"/>
      <c r="AB14" s="26"/>
    </row>
    <row r="15" customFormat="false" ht="15" hidden="false" customHeight="false" outlineLevel="0" collapsed="false">
      <c r="H15" s="15"/>
      <c r="I15" s="15"/>
      <c r="L15" s="15" t="s">
        <v>35</v>
      </c>
      <c r="M15" s="29"/>
      <c r="N15" s="15"/>
      <c r="O15" s="15"/>
      <c r="P15" s="15"/>
      <c r="Q15" s="15"/>
      <c r="R15" s="15"/>
      <c r="S15" s="12"/>
      <c r="T15" s="13"/>
      <c r="U15" s="14"/>
      <c r="V15" s="14"/>
      <c r="W15" s="15"/>
      <c r="X15" s="15"/>
      <c r="Y15" s="15"/>
      <c r="Z15" s="15"/>
      <c r="AA15" s="15"/>
      <c r="AB15" s="26"/>
    </row>
    <row r="16" customFormat="false" ht="15" hidden="false" customHeight="false" outlineLevel="0" collapsed="false">
      <c r="H16" s="15"/>
      <c r="I16" s="15"/>
      <c r="M16" s="29"/>
      <c r="N16" s="15"/>
      <c r="O16" s="15"/>
      <c r="P16" s="15"/>
      <c r="Q16" s="15"/>
      <c r="R16" s="15"/>
      <c r="S16" s="12"/>
      <c r="T16" s="13"/>
      <c r="U16" s="14"/>
      <c r="V16" s="14"/>
      <c r="W16" s="15"/>
      <c r="X16" s="15"/>
      <c r="Y16" s="15"/>
      <c r="Z16" s="15"/>
      <c r="AA16" s="15"/>
      <c r="AB16" s="26"/>
    </row>
    <row r="17" customFormat="false" ht="15" hidden="false" customHeight="false" outlineLevel="0" collapsed="false">
      <c r="A17" s="30"/>
      <c r="B17" s="31"/>
      <c r="C17" s="32"/>
      <c r="D17" s="31"/>
      <c r="E17" s="31" t="n">
        <v>1</v>
      </c>
      <c r="F17" s="31" t="n">
        <v>2</v>
      </c>
      <c r="G17" s="31" t="n">
        <v>3</v>
      </c>
      <c r="H17" s="31" t="n">
        <v>4</v>
      </c>
      <c r="I17" s="31" t="n">
        <v>5</v>
      </c>
      <c r="J17" s="31" t="n">
        <v>6</v>
      </c>
      <c r="K17" s="31" t="n">
        <v>7</v>
      </c>
      <c r="L17" s="31" t="n">
        <v>8</v>
      </c>
      <c r="M17" s="31" t="n">
        <v>9</v>
      </c>
      <c r="N17" s="31" t="n">
        <v>10</v>
      </c>
      <c r="O17" s="31" t="n">
        <v>11</v>
      </c>
      <c r="P17" s="31" t="n">
        <v>12</v>
      </c>
      <c r="Q17" s="31" t="n">
        <v>13</v>
      </c>
      <c r="R17" s="31" t="n">
        <v>14</v>
      </c>
      <c r="S17" s="31" t="n">
        <v>15</v>
      </c>
      <c r="T17" s="31" t="n">
        <v>16</v>
      </c>
      <c r="U17" s="31" t="n">
        <v>17</v>
      </c>
      <c r="V17" s="31" t="n">
        <v>18</v>
      </c>
      <c r="W17" s="31" t="n">
        <v>19</v>
      </c>
      <c r="X17" s="31"/>
      <c r="Y17" s="31"/>
      <c r="Z17" s="31"/>
      <c r="AA17" s="31"/>
      <c r="AB17" s="33" t="s">
        <v>36</v>
      </c>
      <c r="AC17" s="33"/>
      <c r="AD17" s="33" t="s">
        <v>11</v>
      </c>
      <c r="AE17" s="33"/>
      <c r="AF17" s="33"/>
      <c r="AG17" s="33"/>
      <c r="AH17" s="33"/>
      <c r="AI17" s="31" t="s">
        <v>23</v>
      </c>
      <c r="AJ17" s="33" t="s">
        <v>27</v>
      </c>
      <c r="AK17" s="33"/>
      <c r="AL17" s="31" t="s">
        <v>37</v>
      </c>
      <c r="AM17" s="31"/>
      <c r="AN17" s="31"/>
      <c r="AO17" s="31"/>
      <c r="AP17" s="31" t="s">
        <v>38</v>
      </c>
      <c r="AQ17" s="31"/>
      <c r="AR17" s="31"/>
      <c r="AS17" s="31"/>
      <c r="AT17" s="31" t="s">
        <v>39</v>
      </c>
      <c r="AU17" s="31"/>
      <c r="AV17" s="31"/>
      <c r="AW17" s="31"/>
      <c r="AX17" s="31" t="s">
        <v>40</v>
      </c>
      <c r="AY17" s="31"/>
      <c r="AZ17" s="31"/>
      <c r="BA17" s="31"/>
      <c r="BB17" s="34"/>
    </row>
    <row r="18" s="52" customFormat="true" ht="77.6" hidden="false" customHeight="false" outlineLevel="0" collapsed="false">
      <c r="A18" s="35" t="s">
        <v>41</v>
      </c>
      <c r="B18" s="36" t="s">
        <v>42</v>
      </c>
      <c r="C18" s="37" t="s">
        <v>43</v>
      </c>
      <c r="D18" s="38" t="s">
        <v>44</v>
      </c>
      <c r="E18" s="38" t="s">
        <v>45</v>
      </c>
      <c r="F18" s="38" t="s">
        <v>46</v>
      </c>
      <c r="G18" s="38" t="s">
        <v>47</v>
      </c>
      <c r="H18" s="38" t="s">
        <v>48</v>
      </c>
      <c r="I18" s="38" t="s">
        <v>49</v>
      </c>
      <c r="J18" s="39" t="s">
        <v>50</v>
      </c>
      <c r="K18" s="40" t="s">
        <v>51</v>
      </c>
      <c r="L18" s="38" t="s">
        <v>52</v>
      </c>
      <c r="M18" s="39" t="s">
        <v>2</v>
      </c>
      <c r="N18" s="41" t="s">
        <v>3</v>
      </c>
      <c r="O18" s="41" t="s">
        <v>4</v>
      </c>
      <c r="P18" s="41" t="s">
        <v>53</v>
      </c>
      <c r="Q18" s="41" t="s">
        <v>6</v>
      </c>
      <c r="R18" s="38" t="s">
        <v>54</v>
      </c>
      <c r="S18" s="42" t="s">
        <v>55</v>
      </c>
      <c r="T18" s="43" t="s">
        <v>56</v>
      </c>
      <c r="U18" s="44" t="s">
        <v>57</v>
      </c>
      <c r="V18" s="45" t="s">
        <v>58</v>
      </c>
      <c r="W18" s="46" t="s">
        <v>59</v>
      </c>
      <c r="X18" s="46"/>
      <c r="Y18" s="46"/>
      <c r="Z18" s="46"/>
      <c r="AA18" s="46"/>
      <c r="AB18" s="47" t="s">
        <v>60</v>
      </c>
      <c r="AC18" s="48" t="s">
        <v>61</v>
      </c>
      <c r="AD18" s="48" t="s">
        <v>62</v>
      </c>
      <c r="AE18" s="48" t="s">
        <v>63</v>
      </c>
      <c r="AF18" s="48" t="s">
        <v>64</v>
      </c>
      <c r="AG18" s="48" t="s">
        <v>65</v>
      </c>
      <c r="AH18" s="48" t="s">
        <v>66</v>
      </c>
      <c r="AI18" s="48" t="s">
        <v>67</v>
      </c>
      <c r="AJ18" s="48" t="s">
        <v>68</v>
      </c>
      <c r="AK18" s="48" t="s">
        <v>69</v>
      </c>
      <c r="AL18" s="49" t="s">
        <v>70</v>
      </c>
      <c r="AM18" s="49" t="s">
        <v>71</v>
      </c>
      <c r="AN18" s="49" t="s">
        <v>24</v>
      </c>
      <c r="AO18" s="49" t="s">
        <v>72</v>
      </c>
      <c r="AP18" s="49" t="s">
        <v>70</v>
      </c>
      <c r="AQ18" s="49" t="s">
        <v>71</v>
      </c>
      <c r="AR18" s="49" t="s">
        <v>24</v>
      </c>
      <c r="AS18" s="49" t="s">
        <v>72</v>
      </c>
      <c r="AT18" s="50" t="s">
        <v>70</v>
      </c>
      <c r="AU18" s="50" t="s">
        <v>71</v>
      </c>
      <c r="AV18" s="50" t="s">
        <v>24</v>
      </c>
      <c r="AW18" s="50" t="s">
        <v>72</v>
      </c>
      <c r="AX18" s="50" t="s">
        <v>70</v>
      </c>
      <c r="AY18" s="50" t="s">
        <v>71</v>
      </c>
      <c r="AZ18" s="50" t="s">
        <v>24</v>
      </c>
      <c r="BA18" s="50" t="s">
        <v>72</v>
      </c>
      <c r="BB18" s="51"/>
    </row>
    <row r="19" s="60" customFormat="true" ht="22.5" hidden="true" customHeight="true" outlineLevel="0" collapsed="false">
      <c r="A19" s="53" t="n">
        <v>1</v>
      </c>
      <c r="B19" s="53"/>
      <c r="C19" s="54" t="n">
        <v>1</v>
      </c>
      <c r="D19" s="54" t="n">
        <v>859288</v>
      </c>
      <c r="E19" s="54" t="s">
        <v>73</v>
      </c>
      <c r="F19" s="54" t="s">
        <v>74</v>
      </c>
      <c r="G19" s="54" t="s">
        <v>75</v>
      </c>
      <c r="H19" s="54" t="s">
        <v>76</v>
      </c>
      <c r="I19" s="54" t="s">
        <v>77</v>
      </c>
      <c r="J19" s="55" t="n">
        <v>3</v>
      </c>
      <c r="K19" s="54" t="str">
        <f aca="false">IFERROR(VLOOKUP($J19,$J$10:$K$13,2,0),"")</f>
        <v>NON DISTRIBUTOR</v>
      </c>
      <c r="L19" s="54" t="s">
        <v>26</v>
      </c>
      <c r="M19" s="55" t="n">
        <v>1</v>
      </c>
      <c r="N19" s="54" t="str">
        <f aca="false">IFERROR(VLOOKUP($M19,$M$3:$Q$14,2,0),"")</f>
        <v>In Carton</v>
      </c>
      <c r="O19" s="54" t="str">
        <f aca="false">IFERROR(VLOOKUP($M19,$M$3:$Q$14,3,0),"")</f>
        <v>Carton</v>
      </c>
      <c r="P19" s="55" t="n">
        <f aca="false">IFERROR(VLOOKUP($M19,$M$3:$Q$14,4,0),"")</f>
        <v>1</v>
      </c>
      <c r="Q19" s="54" t="str">
        <f aca="false">IFERROR(VLOOKUP($M19,$M$3:$Q$14,5,0),"")</f>
        <v>large</v>
      </c>
      <c r="R19" s="54" t="n">
        <v>1</v>
      </c>
      <c r="S19" s="56" t="n">
        <v>163200</v>
      </c>
      <c r="T19" s="57" t="n">
        <f aca="false">S19/1.11</f>
        <v>147027.027027027</v>
      </c>
      <c r="U19" s="58" t="n">
        <v>151848</v>
      </c>
      <c r="V19" s="59" t="n">
        <f aca="false">U19-(U19*11%)</f>
        <v>135144.72</v>
      </c>
      <c r="W19" s="60" t="e">
        <f aca="false">VLOOKUP($G19,#REF!,2,0)</f>
        <v>#VALUE!</v>
      </c>
      <c r="AB19" s="61" t="n">
        <v>1</v>
      </c>
      <c r="AC19" s="62"/>
      <c r="AD19" s="62"/>
      <c r="AE19" s="62"/>
      <c r="AF19" s="62"/>
      <c r="AG19" s="62" t="n">
        <v>6</v>
      </c>
      <c r="AH19" s="62"/>
      <c r="AI19" s="62"/>
      <c r="AJ19" s="62"/>
      <c r="AK19" s="62" t="n">
        <v>48</v>
      </c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</row>
    <row r="20" customFormat="false" ht="22.5" hidden="true" customHeight="true" outlineLevel="0" collapsed="false">
      <c r="A20" s="53"/>
      <c r="B20" s="53"/>
      <c r="C20" s="54" t="n">
        <v>1</v>
      </c>
      <c r="D20" s="54" t="n">
        <v>859288</v>
      </c>
      <c r="E20" s="54" t="s">
        <v>73</v>
      </c>
      <c r="F20" s="54" t="s">
        <v>74</v>
      </c>
      <c r="G20" s="54" t="s">
        <v>75</v>
      </c>
      <c r="H20" s="54" t="s">
        <v>76</v>
      </c>
      <c r="I20" s="54" t="s">
        <v>77</v>
      </c>
      <c r="J20" s="55" t="n">
        <v>3</v>
      </c>
      <c r="K20" s="54" t="str">
        <f aca="false">IFERROR(VLOOKUP($J20,$J$10:$K$13,2,0),"")</f>
        <v>NON DISTRIBUTOR</v>
      </c>
      <c r="L20" s="54" t="s">
        <v>26</v>
      </c>
      <c r="M20" s="55" t="n">
        <v>6</v>
      </c>
      <c r="N20" s="54" t="str">
        <f aca="false">IFERROR(VLOOKUP($M20,$M$3:$Q$14,2,0),"")</f>
        <v>In Pack</v>
      </c>
      <c r="O20" s="54" t="str">
        <f aca="false">IFERROR(VLOOKUP($M20,$M$3:$Q$14,3,0),"")</f>
        <v>Hanger</v>
      </c>
      <c r="P20" s="55" t="n">
        <f aca="false">IFERROR(VLOOKUP($M20,$M$3:$Q$14,4,0),"")</f>
        <v>2</v>
      </c>
      <c r="Q20" s="54" t="n">
        <f aca="false">IFERROR(VLOOKUP($M20,$M$3:$Q$14,5,0),"")</f>
        <v>0</v>
      </c>
      <c r="R20" s="54" t="n">
        <v>6</v>
      </c>
      <c r="S20" s="56" t="n">
        <v>20400</v>
      </c>
      <c r="T20" s="57" t="n">
        <f aca="false">S20/1.11</f>
        <v>18378.3783783784</v>
      </c>
      <c r="U20" s="58" t="n">
        <v>25308</v>
      </c>
      <c r="V20" s="58" t="n">
        <v>22524</v>
      </c>
      <c r="W20" s="1" t="e">
        <f aca="false">VLOOKUP($G20,#REF!,2,0)</f>
        <v>#VALUE!</v>
      </c>
    </row>
    <row r="21" customFormat="false" ht="22.5" hidden="true" customHeight="true" outlineLevel="0" collapsed="false">
      <c r="A21" s="53"/>
      <c r="B21" s="53"/>
      <c r="C21" s="54" t="n">
        <v>1</v>
      </c>
      <c r="D21" s="54" t="n">
        <v>859288</v>
      </c>
      <c r="E21" s="54" t="s">
        <v>73</v>
      </c>
      <c r="F21" s="54" t="s">
        <v>74</v>
      </c>
      <c r="G21" s="54" t="s">
        <v>75</v>
      </c>
      <c r="H21" s="54" t="s">
        <v>76</v>
      </c>
      <c r="I21" s="54" t="s">
        <v>77</v>
      </c>
      <c r="J21" s="55" t="n">
        <v>3</v>
      </c>
      <c r="K21" s="54" t="str">
        <f aca="false">IFERROR(VLOOKUP($J21,$J$10:$K$13,2,0),"")</f>
        <v>NON DISTRIBUTOR</v>
      </c>
      <c r="L21" s="54" t="s">
        <v>26</v>
      </c>
      <c r="M21" s="55" t="n">
        <v>11</v>
      </c>
      <c r="N21" s="54" t="str">
        <f aca="false">IFERROR(VLOOKUP($M21,$M$3:$Q$14,2,0),"")</f>
        <v>In Pcs</v>
      </c>
      <c r="O21" s="54" t="str">
        <f aca="false">IFERROR(VLOOKUP($M21,$M$3:$Q$14,3,0),"")</f>
        <v>Botol</v>
      </c>
      <c r="P21" s="55" t="n">
        <f aca="false">IFERROR(VLOOKUP($M21,$M$3:$Q$14,4,0),"")</f>
        <v>4</v>
      </c>
      <c r="Q21" s="54" t="str">
        <f aca="false">IFERROR(VLOOKUP($M21,$M$3:$Q$14,5,0),"")</f>
        <v>small</v>
      </c>
      <c r="R21" s="54" t="n">
        <v>48</v>
      </c>
      <c r="S21" s="56" t="n">
        <v>3400</v>
      </c>
      <c r="T21" s="57" t="n">
        <f aca="false">S21/1.11</f>
        <v>3063.06306306306</v>
      </c>
      <c r="U21" s="58" t="n">
        <v>3163</v>
      </c>
      <c r="V21" s="58" t="n">
        <v>2815</v>
      </c>
      <c r="W21" s="1" t="e">
        <f aca="false">VLOOKUP($G21,#REF!,2,0)</f>
        <v>#VALUE!</v>
      </c>
    </row>
    <row r="22" customFormat="false" ht="22.5" hidden="true" customHeight="true" outlineLevel="0" collapsed="false">
      <c r="A22" s="53"/>
      <c r="B22" s="53"/>
      <c r="C22" s="54" t="n">
        <v>3</v>
      </c>
      <c r="D22" s="54" t="n">
        <v>859290</v>
      </c>
      <c r="E22" s="54" t="s">
        <v>78</v>
      </c>
      <c r="F22" s="54" t="s">
        <v>74</v>
      </c>
      <c r="G22" s="54" t="s">
        <v>75</v>
      </c>
      <c r="H22" s="54" t="s">
        <v>76</v>
      </c>
      <c r="I22" s="54" t="s">
        <v>77</v>
      </c>
      <c r="J22" s="55" t="n">
        <v>3</v>
      </c>
      <c r="K22" s="54" t="str">
        <f aca="false">IFERROR(VLOOKUP($J22,$J$10:$K$13,2,0),"")</f>
        <v>NON DISTRIBUTOR</v>
      </c>
      <c r="L22" s="54" t="s">
        <v>26</v>
      </c>
      <c r="M22" s="55" t="n">
        <v>1</v>
      </c>
      <c r="N22" s="54" t="str">
        <f aca="false">IFERROR(VLOOKUP($M22,$M$3:$Q$14,2,0),"")</f>
        <v>In Carton</v>
      </c>
      <c r="O22" s="54" t="str">
        <f aca="false">IFERROR(VLOOKUP($M22,$M$3:$Q$14,3,0),"")</f>
        <v>Carton</v>
      </c>
      <c r="P22" s="55" t="n">
        <f aca="false">IFERROR(VLOOKUP($M22,$M$3:$Q$14,4,0),"")</f>
        <v>1</v>
      </c>
      <c r="Q22" s="54" t="str">
        <f aca="false">IFERROR(VLOOKUP($M22,$M$3:$Q$14,5,0),"")</f>
        <v>large</v>
      </c>
      <c r="R22" s="54" t="n">
        <v>1</v>
      </c>
      <c r="S22" s="56" t="n">
        <f aca="false">6900*24</f>
        <v>165600</v>
      </c>
      <c r="T22" s="57" t="n">
        <f aca="false">S22/1.11</f>
        <v>149189.189189189</v>
      </c>
      <c r="U22" s="58" t="n">
        <v>156910</v>
      </c>
      <c r="V22" s="59" t="n">
        <f aca="false">U22-(U22*11%)</f>
        <v>139649.9</v>
      </c>
      <c r="W22" s="1" t="e">
        <f aca="false">VLOOKUP($G22,#REF!,2,0)</f>
        <v>#VALUE!</v>
      </c>
    </row>
    <row r="23" customFormat="false" ht="22.5" hidden="true" customHeight="true" outlineLevel="0" collapsed="false">
      <c r="A23" s="53"/>
      <c r="B23" s="53"/>
      <c r="C23" s="54" t="n">
        <v>3</v>
      </c>
      <c r="D23" s="54" t="n">
        <v>859290</v>
      </c>
      <c r="E23" s="54" t="s">
        <v>78</v>
      </c>
      <c r="F23" s="54" t="s">
        <v>74</v>
      </c>
      <c r="G23" s="54" t="s">
        <v>75</v>
      </c>
      <c r="H23" s="54" t="s">
        <v>76</v>
      </c>
      <c r="I23" s="54" t="s">
        <v>77</v>
      </c>
      <c r="J23" s="55" t="n">
        <v>3</v>
      </c>
      <c r="K23" s="54" t="str">
        <f aca="false">IFERROR(VLOOKUP($J23,$J$10:$K$13,2,0),"")</f>
        <v>NON DISTRIBUTOR</v>
      </c>
      <c r="L23" s="54" t="s">
        <v>26</v>
      </c>
      <c r="M23" s="55" t="n">
        <v>6</v>
      </c>
      <c r="N23" s="54" t="str">
        <f aca="false">IFERROR(VLOOKUP($M23,$M$3:$Q$14,2,0),"")</f>
        <v>In Pack</v>
      </c>
      <c r="O23" s="54" t="str">
        <f aca="false">IFERROR(VLOOKUP($M23,$M$3:$Q$14,3,0),"")</f>
        <v>Hanger</v>
      </c>
      <c r="P23" s="55" t="n">
        <f aca="false">IFERROR(VLOOKUP($M23,$M$3:$Q$14,4,0),"")</f>
        <v>2</v>
      </c>
      <c r="Q23" s="54" t="n">
        <f aca="false">IFERROR(VLOOKUP($M23,$M$3:$Q$14,5,0),"")</f>
        <v>0</v>
      </c>
      <c r="R23" s="54" t="n">
        <v>4</v>
      </c>
      <c r="S23" s="56" t="n">
        <f aca="false">6900*4</f>
        <v>27600</v>
      </c>
      <c r="T23" s="57" t="n">
        <f aca="false">S23/1.11</f>
        <v>24864.8648648649</v>
      </c>
      <c r="U23" s="58" t="n">
        <v>5612</v>
      </c>
      <c r="V23" s="59" t="n">
        <v>34912</v>
      </c>
      <c r="W23" s="1" t="e">
        <f aca="false">VLOOKUP($G23,#REF!,2,0)</f>
        <v>#VALUE!</v>
      </c>
    </row>
    <row r="24" customFormat="false" ht="22.5" hidden="true" customHeight="true" outlineLevel="0" collapsed="false">
      <c r="A24" s="53"/>
      <c r="B24" s="53"/>
      <c r="C24" s="54" t="n">
        <v>3</v>
      </c>
      <c r="D24" s="54" t="n">
        <v>859290</v>
      </c>
      <c r="E24" s="54" t="s">
        <v>78</v>
      </c>
      <c r="F24" s="54" t="s">
        <v>74</v>
      </c>
      <c r="G24" s="54" t="s">
        <v>75</v>
      </c>
      <c r="H24" s="54" t="s">
        <v>76</v>
      </c>
      <c r="I24" s="54" t="s">
        <v>77</v>
      </c>
      <c r="J24" s="55" t="n">
        <v>3</v>
      </c>
      <c r="K24" s="54" t="str">
        <f aca="false">IFERROR(VLOOKUP($J24,$J$10:$K$13,2,0),"")</f>
        <v>NON DISTRIBUTOR</v>
      </c>
      <c r="L24" s="54" t="s">
        <v>26</v>
      </c>
      <c r="M24" s="55" t="n">
        <v>11</v>
      </c>
      <c r="N24" s="54" t="str">
        <f aca="false">IFERROR(VLOOKUP($M24,$M$3:$Q$14,2,0),"")</f>
        <v>In Pcs</v>
      </c>
      <c r="O24" s="54" t="str">
        <f aca="false">IFERROR(VLOOKUP($M24,$M$3:$Q$14,3,0),"")</f>
        <v>Botol</v>
      </c>
      <c r="P24" s="55" t="n">
        <f aca="false">IFERROR(VLOOKUP($M24,$M$3:$Q$14,4,0),"")</f>
        <v>4</v>
      </c>
      <c r="Q24" s="54" t="str">
        <f aca="false">IFERROR(VLOOKUP($M24,$M$3:$Q$14,5,0),"")</f>
        <v>small</v>
      </c>
      <c r="R24" s="54" t="n">
        <v>24</v>
      </c>
      <c r="S24" s="56" t="n">
        <v>6900</v>
      </c>
      <c r="T24" s="57" t="n">
        <f aca="false">S24/1.11</f>
        <v>6216.21621621622</v>
      </c>
      <c r="U24" s="58" t="n">
        <v>6537</v>
      </c>
      <c r="V24" s="59" t="n">
        <v>5818</v>
      </c>
      <c r="W24" s="1" t="e">
        <f aca="false">VLOOKUP($G24,#REF!,2,0)</f>
        <v>#VALUE!</v>
      </c>
    </row>
    <row r="25" customFormat="false" ht="22.5" hidden="false" customHeight="true" outlineLevel="0" collapsed="false">
      <c r="A25" s="53"/>
      <c r="B25" s="53"/>
      <c r="C25" s="54" t="n">
        <v>4</v>
      </c>
      <c r="D25" s="54" t="n">
        <v>859293</v>
      </c>
      <c r="E25" s="54" t="s">
        <v>79</v>
      </c>
      <c r="F25" s="54" t="s">
        <v>80</v>
      </c>
      <c r="G25" s="54" t="s">
        <v>75</v>
      </c>
      <c r="H25" s="54" t="s">
        <v>76</v>
      </c>
      <c r="I25" s="54" t="s">
        <v>77</v>
      </c>
      <c r="J25" s="55" t="n">
        <v>3</v>
      </c>
      <c r="K25" s="54" t="str">
        <f aca="false">IFERROR(VLOOKUP($J25,$J$10:$K$13,2,0),"")</f>
        <v>NON DISTRIBUTOR</v>
      </c>
      <c r="L25" s="54" t="s">
        <v>26</v>
      </c>
      <c r="M25" s="55" t="n">
        <v>1</v>
      </c>
      <c r="N25" s="54" t="str">
        <f aca="false">IFERROR(VLOOKUP($M25,$M$3:$Q$14,2,0),"")</f>
        <v>In Carton</v>
      </c>
      <c r="O25" s="54" t="str">
        <f aca="false">IFERROR(VLOOKUP($M25,$M$3:$Q$14,3,0),"")</f>
        <v>Carton</v>
      </c>
      <c r="P25" s="55" t="n">
        <f aca="false">IFERROR(VLOOKUP($M25,$M$3:$Q$14,4,0),"")</f>
        <v>1</v>
      </c>
      <c r="Q25" s="54" t="str">
        <f aca="false">IFERROR(VLOOKUP($M25,$M$3:$Q$14,5,0),"")</f>
        <v>large</v>
      </c>
      <c r="R25" s="54" t="n">
        <v>1</v>
      </c>
      <c r="S25" s="56" t="n">
        <f aca="false">6000*24</f>
        <v>144000</v>
      </c>
      <c r="T25" s="57" t="n">
        <f aca="false">S25/1.11</f>
        <v>129729.72972973</v>
      </c>
      <c r="U25" s="58" t="n">
        <v>136663</v>
      </c>
      <c r="V25" s="59" t="n">
        <f aca="false">U25-(U25*11%)</f>
        <v>121630.07</v>
      </c>
      <c r="W25" s="1" t="e">
        <f aca="false">VLOOKUP($G25,#REF!,2,0)</f>
        <v>#VALUE!</v>
      </c>
    </row>
    <row r="26" customFormat="false" ht="22.5" hidden="false" customHeight="true" outlineLevel="0" collapsed="false">
      <c r="A26" s="53"/>
      <c r="B26" s="53"/>
      <c r="C26" s="54" t="n">
        <v>4</v>
      </c>
      <c r="D26" s="54" t="n">
        <v>859293</v>
      </c>
      <c r="E26" s="54" t="s">
        <v>79</v>
      </c>
      <c r="F26" s="54" t="s">
        <v>80</v>
      </c>
      <c r="G26" s="54" t="s">
        <v>75</v>
      </c>
      <c r="H26" s="54" t="s">
        <v>76</v>
      </c>
      <c r="I26" s="54" t="s">
        <v>77</v>
      </c>
      <c r="J26" s="55" t="n">
        <v>3</v>
      </c>
      <c r="K26" s="54" t="str">
        <f aca="false">IFERROR(VLOOKUP($J26,$J$10:$K$13,2,0),"")</f>
        <v>NON DISTRIBUTOR</v>
      </c>
      <c r="L26" s="54" t="s">
        <v>26</v>
      </c>
      <c r="M26" s="55" t="n">
        <v>9</v>
      </c>
      <c r="N26" s="54" t="str">
        <f aca="false">IFERROR(VLOOKUP($M26,$M$3:$Q$14,2,0),"")</f>
        <v>In Pcs</v>
      </c>
      <c r="O26" s="54" t="str">
        <f aca="false">IFERROR(VLOOKUP($M26,$M$3:$Q$14,3,0),"")</f>
        <v>Pcs</v>
      </c>
      <c r="P26" s="55" t="n">
        <f aca="false">IFERROR(VLOOKUP($M26,$M$3:$Q$14,4,0),"")</f>
        <v>4</v>
      </c>
      <c r="Q26" s="54" t="str">
        <f aca="false">IFERROR(VLOOKUP($M26,$M$3:$Q$14,5,0),"")</f>
        <v>small</v>
      </c>
      <c r="R26" s="54" t="n">
        <v>24</v>
      </c>
      <c r="S26" s="56" t="n">
        <v>6000</v>
      </c>
      <c r="T26" s="57" t="n">
        <f aca="false">S26/1.11</f>
        <v>5405.40540540541</v>
      </c>
      <c r="U26" s="58" t="n">
        <v>5694</v>
      </c>
      <c r="V26" s="59" t="n">
        <v>5067</v>
      </c>
      <c r="W26" s="1" t="e">
        <f aca="false">VLOOKUP($G26,#REF!,2,0)</f>
        <v>#VALUE!</v>
      </c>
    </row>
    <row r="27" customFormat="false" ht="22.5" hidden="true" customHeight="true" outlineLevel="0" collapsed="false">
      <c r="A27" s="53"/>
      <c r="B27" s="53"/>
      <c r="C27" s="54" t="n">
        <v>5</v>
      </c>
      <c r="D27" s="54" t="n">
        <v>859292</v>
      </c>
      <c r="E27" s="54" t="s">
        <v>81</v>
      </c>
      <c r="F27" s="54" t="s">
        <v>80</v>
      </c>
      <c r="G27" s="54" t="s">
        <v>75</v>
      </c>
      <c r="H27" s="54" t="s">
        <v>76</v>
      </c>
      <c r="I27" s="54" t="s">
        <v>77</v>
      </c>
      <c r="J27" s="55" t="n">
        <v>3</v>
      </c>
      <c r="K27" s="54" t="str">
        <f aca="false">IFERROR(VLOOKUP($J27,$J$10:$K$13,2,0),"")</f>
        <v>NON DISTRIBUTOR</v>
      </c>
      <c r="L27" s="54" t="s">
        <v>26</v>
      </c>
      <c r="M27" s="55" t="n">
        <v>1</v>
      </c>
      <c r="N27" s="54" t="str">
        <f aca="false">IFERROR(VLOOKUP($M27,$M$3:$Q$14,2,0),"")</f>
        <v>In Carton</v>
      </c>
      <c r="O27" s="54" t="str">
        <f aca="false">IFERROR(VLOOKUP($M27,$M$3:$Q$14,3,0),"")</f>
        <v>Carton</v>
      </c>
      <c r="P27" s="55" t="n">
        <f aca="false">IFERROR(VLOOKUP($M27,$M$3:$Q$14,4,0),"")</f>
        <v>1</v>
      </c>
      <c r="Q27" s="54" t="str">
        <f aca="false">IFERROR(VLOOKUP($M27,$M$3:$Q$14,5,0),"")</f>
        <v>large</v>
      </c>
      <c r="R27" s="54" t="n">
        <v>1</v>
      </c>
      <c r="S27" s="56" t="n">
        <f aca="false">6000*24</f>
        <v>144000</v>
      </c>
      <c r="T27" s="57" t="n">
        <f aca="false">S27/1.11</f>
        <v>129729.72972973</v>
      </c>
      <c r="U27" s="58" t="n">
        <v>136663</v>
      </c>
      <c r="V27" s="59" t="n">
        <v>121630</v>
      </c>
      <c r="W27" s="1" t="e">
        <f aca="false">VLOOKUP($G27,#REF!,2,0)</f>
        <v>#VALUE!</v>
      </c>
    </row>
    <row r="28" customFormat="false" ht="22.5" hidden="true" customHeight="true" outlineLevel="0" collapsed="false">
      <c r="A28" s="53"/>
      <c r="B28" s="53"/>
      <c r="C28" s="54" t="n">
        <v>5</v>
      </c>
      <c r="D28" s="54" t="n">
        <v>859292</v>
      </c>
      <c r="E28" s="54" t="s">
        <v>81</v>
      </c>
      <c r="F28" s="54" t="s">
        <v>80</v>
      </c>
      <c r="G28" s="54" t="s">
        <v>75</v>
      </c>
      <c r="H28" s="54" t="s">
        <v>76</v>
      </c>
      <c r="I28" s="54" t="s">
        <v>77</v>
      </c>
      <c r="J28" s="55" t="n">
        <v>3</v>
      </c>
      <c r="K28" s="54" t="str">
        <f aca="false">IFERROR(VLOOKUP($J28,$J$10:$K$13,2,0),"")</f>
        <v>NON DISTRIBUTOR</v>
      </c>
      <c r="L28" s="54" t="s">
        <v>26</v>
      </c>
      <c r="M28" s="55" t="n">
        <v>9</v>
      </c>
      <c r="N28" s="54" t="str">
        <f aca="false">IFERROR(VLOOKUP($M28,$M$3:$Q$14,2,0),"")</f>
        <v>In Pcs</v>
      </c>
      <c r="O28" s="54" t="str">
        <f aca="false">IFERROR(VLOOKUP($M28,$M$3:$Q$14,3,0),"")</f>
        <v>Pcs</v>
      </c>
      <c r="P28" s="55" t="n">
        <f aca="false">IFERROR(VLOOKUP($M28,$M$3:$Q$14,4,0),"")</f>
        <v>4</v>
      </c>
      <c r="Q28" s="54" t="str">
        <f aca="false">IFERROR(VLOOKUP($M28,$M$3:$Q$14,5,0),"")</f>
        <v>small</v>
      </c>
      <c r="R28" s="54" t="n">
        <v>24</v>
      </c>
      <c r="S28" s="56" t="n">
        <v>6000</v>
      </c>
      <c r="T28" s="57" t="n">
        <f aca="false">S28/1.11</f>
        <v>5405.40540540541</v>
      </c>
      <c r="U28" s="58" t="n">
        <v>5694</v>
      </c>
      <c r="V28" s="59" t="n">
        <v>5067</v>
      </c>
      <c r="W28" s="1" t="e">
        <f aca="false">VLOOKUP($G28,#REF!,2,0)</f>
        <v>#VALUE!</v>
      </c>
    </row>
    <row r="29" customFormat="false" ht="22.5" hidden="true" customHeight="true" outlineLevel="0" collapsed="false">
      <c r="A29" s="53"/>
      <c r="B29" s="53"/>
      <c r="C29" s="54" t="n">
        <v>6</v>
      </c>
      <c r="D29" s="54" t="n">
        <v>859291</v>
      </c>
      <c r="E29" s="54" t="s">
        <v>82</v>
      </c>
      <c r="F29" s="54" t="s">
        <v>80</v>
      </c>
      <c r="G29" s="54" t="s">
        <v>75</v>
      </c>
      <c r="H29" s="54" t="s">
        <v>76</v>
      </c>
      <c r="I29" s="54" t="s">
        <v>77</v>
      </c>
      <c r="J29" s="55" t="n">
        <v>3</v>
      </c>
      <c r="K29" s="54" t="str">
        <f aca="false">IFERROR(VLOOKUP($J29,$J$10:$K$13,2,0),"")</f>
        <v>NON DISTRIBUTOR</v>
      </c>
      <c r="L29" s="54" t="s">
        <v>26</v>
      </c>
      <c r="M29" s="55" t="n">
        <v>1</v>
      </c>
      <c r="N29" s="54" t="str">
        <f aca="false">IFERROR(VLOOKUP($M29,$M$3:$Q$14,2,0),"")</f>
        <v>In Carton</v>
      </c>
      <c r="O29" s="54" t="str">
        <f aca="false">IFERROR(VLOOKUP($M29,$M$3:$Q$14,3,0),"")</f>
        <v>Carton</v>
      </c>
      <c r="P29" s="55" t="n">
        <f aca="false">IFERROR(VLOOKUP($M29,$M$3:$Q$14,4,0),"")</f>
        <v>1</v>
      </c>
      <c r="Q29" s="54" t="str">
        <f aca="false">IFERROR(VLOOKUP($M29,$M$3:$Q$14,5,0),"")</f>
        <v>large</v>
      </c>
      <c r="R29" s="54" t="n">
        <v>1</v>
      </c>
      <c r="S29" s="56" t="n">
        <f aca="false">6000*24</f>
        <v>144000</v>
      </c>
      <c r="T29" s="57" t="n">
        <f aca="false">S29/1.11</f>
        <v>129729.72972973</v>
      </c>
      <c r="U29" s="58" t="n">
        <v>136663</v>
      </c>
      <c r="V29" s="59" t="n">
        <v>121630</v>
      </c>
      <c r="W29" s="1" t="e">
        <f aca="false">VLOOKUP($G29,#REF!,2,0)</f>
        <v>#VALUE!</v>
      </c>
    </row>
    <row r="30" customFormat="false" ht="22.5" hidden="true" customHeight="true" outlineLevel="0" collapsed="false">
      <c r="A30" s="53"/>
      <c r="B30" s="53"/>
      <c r="C30" s="54" t="n">
        <v>6</v>
      </c>
      <c r="D30" s="54" t="n">
        <v>859291</v>
      </c>
      <c r="E30" s="54" t="s">
        <v>82</v>
      </c>
      <c r="F30" s="54" t="s">
        <v>80</v>
      </c>
      <c r="G30" s="54" t="s">
        <v>75</v>
      </c>
      <c r="H30" s="54" t="s">
        <v>76</v>
      </c>
      <c r="I30" s="54" t="s">
        <v>77</v>
      </c>
      <c r="J30" s="55" t="n">
        <v>3</v>
      </c>
      <c r="K30" s="54" t="str">
        <f aca="false">IFERROR(VLOOKUP($J30,$J$10:$K$13,2,0),"")</f>
        <v>NON DISTRIBUTOR</v>
      </c>
      <c r="L30" s="54" t="s">
        <v>26</v>
      </c>
      <c r="M30" s="55" t="n">
        <v>9</v>
      </c>
      <c r="N30" s="54" t="str">
        <f aca="false">IFERROR(VLOOKUP($M30,$M$3:$Q$14,2,0),"")</f>
        <v>In Pcs</v>
      </c>
      <c r="O30" s="54" t="str">
        <f aca="false">IFERROR(VLOOKUP($M30,$M$3:$Q$14,3,0),"")</f>
        <v>Pcs</v>
      </c>
      <c r="P30" s="55" t="n">
        <f aca="false">IFERROR(VLOOKUP($M30,$M$3:$Q$14,4,0),"")</f>
        <v>4</v>
      </c>
      <c r="Q30" s="54" t="str">
        <f aca="false">IFERROR(VLOOKUP($M30,$M$3:$Q$14,5,0),"")</f>
        <v>small</v>
      </c>
      <c r="R30" s="54" t="n">
        <v>24</v>
      </c>
      <c r="S30" s="56" t="n">
        <v>6000</v>
      </c>
      <c r="T30" s="57" t="n">
        <f aca="false">S30/1.11</f>
        <v>5405.40540540541</v>
      </c>
      <c r="U30" s="58" t="n">
        <v>5694</v>
      </c>
      <c r="V30" s="58" t="n">
        <v>5067</v>
      </c>
      <c r="W30" s="1" t="e">
        <f aca="false">VLOOKUP($G30,#REF!,2,0)</f>
        <v>#VALUE!</v>
      </c>
    </row>
    <row r="31" customFormat="false" ht="22.5" hidden="true" customHeight="true" outlineLevel="0" collapsed="false">
      <c r="A31" s="53"/>
      <c r="B31" s="53"/>
      <c r="C31" s="54" t="n">
        <v>7</v>
      </c>
      <c r="D31" s="54" t="n">
        <v>859301</v>
      </c>
      <c r="E31" s="54" t="s">
        <v>83</v>
      </c>
      <c r="F31" s="54" t="s">
        <v>80</v>
      </c>
      <c r="G31" s="54" t="s">
        <v>75</v>
      </c>
      <c r="H31" s="54" t="s">
        <v>76</v>
      </c>
      <c r="I31" s="54" t="s">
        <v>77</v>
      </c>
      <c r="J31" s="55" t="n">
        <v>3</v>
      </c>
      <c r="K31" s="54" t="str">
        <f aca="false">IFERROR(VLOOKUP($J31,$J$10:$K$13,2,0),"")</f>
        <v>NON DISTRIBUTOR</v>
      </c>
      <c r="L31" s="54" t="s">
        <v>26</v>
      </c>
      <c r="M31" s="55" t="n">
        <v>1</v>
      </c>
      <c r="N31" s="54" t="str">
        <f aca="false">IFERROR(VLOOKUP($M31,$M$3:$Q$14,2,0),"")</f>
        <v>In Carton</v>
      </c>
      <c r="O31" s="54" t="str">
        <f aca="false">IFERROR(VLOOKUP($M31,$M$3:$Q$14,3,0),"")</f>
        <v>Carton</v>
      </c>
      <c r="P31" s="55" t="n">
        <f aca="false">IFERROR(VLOOKUP($M31,$M$3:$Q$14,4,0),"")</f>
        <v>1</v>
      </c>
      <c r="Q31" s="54" t="str">
        <f aca="false">IFERROR(VLOOKUP($M31,$M$3:$Q$14,5,0),"")</f>
        <v>large</v>
      </c>
      <c r="R31" s="54" t="n">
        <v>1</v>
      </c>
      <c r="S31" s="56" t="n">
        <v>144000</v>
      </c>
      <c r="T31" s="57" t="n">
        <f aca="false">S31/1.11</f>
        <v>129729.72972973</v>
      </c>
      <c r="U31" s="58" t="n">
        <v>136663</v>
      </c>
      <c r="V31" s="58" t="n">
        <v>121360</v>
      </c>
      <c r="W31" s="1" t="e">
        <f aca="false">VLOOKUP($G31,#REF!,2,0)</f>
        <v>#VALUE!</v>
      </c>
    </row>
    <row r="32" customFormat="false" ht="22.5" hidden="true" customHeight="true" outlineLevel="0" collapsed="false">
      <c r="A32" s="53"/>
      <c r="B32" s="53"/>
      <c r="C32" s="54" t="n">
        <v>7</v>
      </c>
      <c r="D32" s="54" t="n">
        <v>859301</v>
      </c>
      <c r="E32" s="54" t="s">
        <v>83</v>
      </c>
      <c r="F32" s="54" t="s">
        <v>80</v>
      </c>
      <c r="G32" s="54" t="s">
        <v>75</v>
      </c>
      <c r="H32" s="54" t="s">
        <v>76</v>
      </c>
      <c r="I32" s="54" t="s">
        <v>77</v>
      </c>
      <c r="J32" s="55" t="n">
        <v>3</v>
      </c>
      <c r="K32" s="54" t="str">
        <f aca="false">IFERROR(VLOOKUP($J32,$J$10:$K$13,2,0),"")</f>
        <v>NON DISTRIBUTOR</v>
      </c>
      <c r="L32" s="54" t="s">
        <v>26</v>
      </c>
      <c r="M32" s="55" t="n">
        <v>9</v>
      </c>
      <c r="N32" s="54" t="str">
        <f aca="false">IFERROR(VLOOKUP($M32,$M$3:$Q$14,2,0),"")</f>
        <v>In Pcs</v>
      </c>
      <c r="O32" s="54" t="str">
        <f aca="false">IFERROR(VLOOKUP($M32,$M$3:$Q$14,3,0),"")</f>
        <v>Pcs</v>
      </c>
      <c r="P32" s="55" t="n">
        <f aca="false">IFERROR(VLOOKUP($M32,$M$3:$Q$14,4,0),"")</f>
        <v>4</v>
      </c>
      <c r="Q32" s="54" t="str">
        <f aca="false">IFERROR(VLOOKUP($M32,$M$3:$Q$14,5,0),"")</f>
        <v>small</v>
      </c>
      <c r="R32" s="54" t="n">
        <v>24</v>
      </c>
      <c r="S32" s="56" t="n">
        <v>6000</v>
      </c>
      <c r="T32" s="57" t="n">
        <f aca="false">S32/1.11</f>
        <v>5405.40540540541</v>
      </c>
      <c r="U32" s="58" t="n">
        <v>5694</v>
      </c>
      <c r="V32" s="58" t="n">
        <v>5067</v>
      </c>
      <c r="W32" s="1" t="e">
        <f aca="false">VLOOKUP($G32,#REF!,2,0)</f>
        <v>#VALUE!</v>
      </c>
    </row>
    <row r="33" customFormat="false" ht="22.5" hidden="true" customHeight="true" outlineLevel="0" collapsed="false">
      <c r="A33" s="53"/>
      <c r="B33" s="53"/>
      <c r="C33" s="54" t="n">
        <v>8</v>
      </c>
      <c r="D33" s="54" t="n">
        <v>859299</v>
      </c>
      <c r="E33" s="54" t="s">
        <v>84</v>
      </c>
      <c r="F33" s="54" t="s">
        <v>80</v>
      </c>
      <c r="G33" s="54" t="s">
        <v>75</v>
      </c>
      <c r="H33" s="54" t="s">
        <v>76</v>
      </c>
      <c r="I33" s="54" t="s">
        <v>77</v>
      </c>
      <c r="J33" s="55" t="n">
        <v>3</v>
      </c>
      <c r="K33" s="54" t="str">
        <f aca="false">IFERROR(VLOOKUP($J33,$J$10:$K$13,2,0),"")</f>
        <v>NON DISTRIBUTOR</v>
      </c>
      <c r="L33" s="54" t="s">
        <v>26</v>
      </c>
      <c r="M33" s="55" t="n">
        <v>1</v>
      </c>
      <c r="N33" s="54" t="str">
        <f aca="false">IFERROR(VLOOKUP($M33,$M$3:$Q$14,2,0),"")</f>
        <v>In Carton</v>
      </c>
      <c r="O33" s="54" t="str">
        <f aca="false">IFERROR(VLOOKUP($M33,$M$3:$Q$14,3,0),"")</f>
        <v>Carton</v>
      </c>
      <c r="P33" s="55" t="n">
        <f aca="false">IFERROR(VLOOKUP($M33,$M$3:$Q$14,4,0),"")</f>
        <v>1</v>
      </c>
      <c r="Q33" s="54" t="str">
        <f aca="false">IFERROR(VLOOKUP($M33,$M$3:$Q$14,5,0),"")</f>
        <v>large</v>
      </c>
      <c r="R33" s="54" t="n">
        <v>1</v>
      </c>
      <c r="S33" s="56" t="n">
        <v>144000</v>
      </c>
      <c r="T33" s="57" t="n">
        <f aca="false">S33/1.11</f>
        <v>129729.72972973</v>
      </c>
      <c r="U33" s="58" t="n">
        <v>136663</v>
      </c>
      <c r="V33" s="58" t="n">
        <v>121630</v>
      </c>
      <c r="W33" s="1" t="e">
        <f aca="false">VLOOKUP($G33,#REF!,2,0)</f>
        <v>#VALUE!</v>
      </c>
    </row>
    <row r="34" customFormat="false" ht="22.5" hidden="true" customHeight="true" outlineLevel="0" collapsed="false">
      <c r="A34" s="53"/>
      <c r="B34" s="53"/>
      <c r="C34" s="54" t="n">
        <v>8</v>
      </c>
      <c r="D34" s="54" t="n">
        <v>859299</v>
      </c>
      <c r="E34" s="54" t="s">
        <v>84</v>
      </c>
      <c r="F34" s="54" t="s">
        <v>80</v>
      </c>
      <c r="G34" s="54" t="s">
        <v>75</v>
      </c>
      <c r="H34" s="54" t="s">
        <v>76</v>
      </c>
      <c r="I34" s="54" t="s">
        <v>77</v>
      </c>
      <c r="J34" s="55" t="n">
        <v>3</v>
      </c>
      <c r="K34" s="54" t="str">
        <f aca="false">IFERROR(VLOOKUP($J34,$J$10:$K$13,2,0),"")</f>
        <v>NON DISTRIBUTOR</v>
      </c>
      <c r="L34" s="54" t="s">
        <v>26</v>
      </c>
      <c r="M34" s="55" t="n">
        <v>9</v>
      </c>
      <c r="N34" s="54" t="str">
        <f aca="false">IFERROR(VLOOKUP($M34,$M$3:$Q$14,2,0),"")</f>
        <v>In Pcs</v>
      </c>
      <c r="O34" s="54" t="str">
        <f aca="false">IFERROR(VLOOKUP($M34,$M$3:$Q$14,3,0),"")</f>
        <v>Pcs</v>
      </c>
      <c r="P34" s="55" t="n">
        <f aca="false">IFERROR(VLOOKUP($M34,$M$3:$Q$14,4,0),"")</f>
        <v>4</v>
      </c>
      <c r="Q34" s="54" t="str">
        <f aca="false">IFERROR(VLOOKUP($M34,$M$3:$Q$14,5,0),"")</f>
        <v>small</v>
      </c>
      <c r="R34" s="54" t="n">
        <v>24</v>
      </c>
      <c r="S34" s="56" t="n">
        <v>6000</v>
      </c>
      <c r="T34" s="57" t="n">
        <f aca="false">S34/1.11</f>
        <v>5405.40540540541</v>
      </c>
      <c r="U34" s="58" t="n">
        <v>5694</v>
      </c>
      <c r="V34" s="58" t="n">
        <v>5067</v>
      </c>
      <c r="W34" s="1" t="e">
        <f aca="false">VLOOKUP($G34,#REF!,2,0)</f>
        <v>#VALUE!</v>
      </c>
    </row>
    <row r="35" customFormat="false" ht="22.5" hidden="true" customHeight="true" outlineLevel="0" collapsed="false">
      <c r="A35" s="53"/>
      <c r="B35" s="53"/>
      <c r="C35" s="54" t="n">
        <v>9</v>
      </c>
      <c r="D35" s="54" t="n">
        <v>859298</v>
      </c>
      <c r="E35" s="54" t="s">
        <v>85</v>
      </c>
      <c r="F35" s="54" t="s">
        <v>80</v>
      </c>
      <c r="G35" s="54" t="s">
        <v>75</v>
      </c>
      <c r="H35" s="54" t="s">
        <v>76</v>
      </c>
      <c r="I35" s="54" t="s">
        <v>77</v>
      </c>
      <c r="J35" s="55" t="n">
        <v>3</v>
      </c>
      <c r="K35" s="54" t="str">
        <f aca="false">IFERROR(VLOOKUP($J35,$J$10:$K$13,2,0),"")</f>
        <v>NON DISTRIBUTOR</v>
      </c>
      <c r="L35" s="54" t="s">
        <v>26</v>
      </c>
      <c r="M35" s="55" t="n">
        <v>1</v>
      </c>
      <c r="N35" s="54" t="str">
        <f aca="false">IFERROR(VLOOKUP($M35,$M$3:$Q$14,2,0),"")</f>
        <v>In Carton</v>
      </c>
      <c r="O35" s="54" t="str">
        <f aca="false">IFERROR(VLOOKUP($M35,$M$3:$Q$14,3,0),"")</f>
        <v>Carton</v>
      </c>
      <c r="P35" s="55" t="n">
        <f aca="false">IFERROR(VLOOKUP($M35,$M$3:$Q$14,4,0),"")</f>
        <v>1</v>
      </c>
      <c r="Q35" s="54" t="str">
        <f aca="false">IFERROR(VLOOKUP($M35,$M$3:$Q$14,5,0),"")</f>
        <v>large</v>
      </c>
      <c r="R35" s="54" t="n">
        <v>1</v>
      </c>
      <c r="S35" s="56" t="n">
        <v>144000</v>
      </c>
      <c r="T35" s="57" t="n">
        <f aca="false">S35/1.11</f>
        <v>129729.72972973</v>
      </c>
      <c r="U35" s="58" t="n">
        <v>136663</v>
      </c>
      <c r="V35" s="58" t="n">
        <v>121630</v>
      </c>
      <c r="W35" s="1" t="e">
        <f aca="false">VLOOKUP($G35,#REF!,2,0)</f>
        <v>#VALUE!</v>
      </c>
    </row>
    <row r="36" customFormat="false" ht="22.5" hidden="true" customHeight="true" outlineLevel="0" collapsed="false">
      <c r="A36" s="53"/>
      <c r="B36" s="53"/>
      <c r="C36" s="54" t="n">
        <v>9</v>
      </c>
      <c r="D36" s="54" t="n">
        <v>859298</v>
      </c>
      <c r="E36" s="54" t="s">
        <v>85</v>
      </c>
      <c r="F36" s="54" t="s">
        <v>80</v>
      </c>
      <c r="G36" s="54" t="s">
        <v>75</v>
      </c>
      <c r="H36" s="54" t="s">
        <v>76</v>
      </c>
      <c r="I36" s="54" t="s">
        <v>77</v>
      </c>
      <c r="J36" s="55" t="n">
        <v>3</v>
      </c>
      <c r="K36" s="54" t="str">
        <f aca="false">IFERROR(VLOOKUP($J36,$J$10:$K$13,2,0),"")</f>
        <v>NON DISTRIBUTOR</v>
      </c>
      <c r="L36" s="54" t="s">
        <v>26</v>
      </c>
      <c r="M36" s="55" t="n">
        <v>9</v>
      </c>
      <c r="N36" s="54" t="str">
        <f aca="false">IFERROR(VLOOKUP($M36,$M$3:$Q$14,2,0),"")</f>
        <v>In Pcs</v>
      </c>
      <c r="O36" s="54" t="str">
        <f aca="false">IFERROR(VLOOKUP($M36,$M$3:$Q$14,3,0),"")</f>
        <v>Pcs</v>
      </c>
      <c r="P36" s="55" t="n">
        <f aca="false">IFERROR(VLOOKUP($M36,$M$3:$Q$14,4,0),"")</f>
        <v>4</v>
      </c>
      <c r="Q36" s="54" t="str">
        <f aca="false">IFERROR(VLOOKUP($M36,$M$3:$Q$14,5,0),"")</f>
        <v>small</v>
      </c>
      <c r="R36" s="54" t="n">
        <v>24</v>
      </c>
      <c r="S36" s="56" t="n">
        <v>6000</v>
      </c>
      <c r="T36" s="57" t="n">
        <f aca="false">S36/1.11</f>
        <v>5405.40540540541</v>
      </c>
      <c r="U36" s="58" t="n">
        <v>5694</v>
      </c>
      <c r="V36" s="58" t="n">
        <v>5067</v>
      </c>
      <c r="W36" s="1" t="e">
        <f aca="false">VLOOKUP($G36,#REF!,2,0)</f>
        <v>#VALUE!</v>
      </c>
    </row>
    <row r="37" customFormat="false" ht="22.5" hidden="true" customHeight="true" outlineLevel="0" collapsed="false">
      <c r="A37" s="53"/>
      <c r="B37" s="53"/>
      <c r="C37" s="54" t="n">
        <v>10</v>
      </c>
      <c r="D37" s="54" t="n">
        <v>859300</v>
      </c>
      <c r="E37" s="54" t="s">
        <v>86</v>
      </c>
      <c r="F37" s="54" t="s">
        <v>80</v>
      </c>
      <c r="G37" s="54" t="s">
        <v>75</v>
      </c>
      <c r="H37" s="54" t="s">
        <v>76</v>
      </c>
      <c r="I37" s="54" t="s">
        <v>77</v>
      </c>
      <c r="J37" s="55" t="n">
        <v>3</v>
      </c>
      <c r="K37" s="54" t="str">
        <f aca="false">IFERROR(VLOOKUP($J37,$J$10:$K$13,2,0),"")</f>
        <v>NON DISTRIBUTOR</v>
      </c>
      <c r="L37" s="54" t="s">
        <v>26</v>
      </c>
      <c r="M37" s="55" t="n">
        <v>1</v>
      </c>
      <c r="N37" s="54" t="str">
        <f aca="false">IFERROR(VLOOKUP($M37,$M$3:$Q$14,2,0),"")</f>
        <v>In Carton</v>
      </c>
      <c r="O37" s="54" t="str">
        <f aca="false">IFERROR(VLOOKUP($M37,$M$3:$Q$14,3,0),"")</f>
        <v>Carton</v>
      </c>
      <c r="P37" s="55" t="n">
        <f aca="false">IFERROR(VLOOKUP($M37,$M$3:$Q$14,4,0),"")</f>
        <v>1</v>
      </c>
      <c r="Q37" s="54" t="str">
        <f aca="false">IFERROR(VLOOKUP($M37,$M$3:$Q$14,5,0),"")</f>
        <v>large</v>
      </c>
      <c r="R37" s="54" t="n">
        <v>1</v>
      </c>
      <c r="S37" s="56" t="n">
        <v>144000</v>
      </c>
      <c r="T37" s="57" t="n">
        <f aca="false">S37/1.11</f>
        <v>129729.72972973</v>
      </c>
      <c r="U37" s="58" t="n">
        <v>136663</v>
      </c>
      <c r="V37" s="58" t="n">
        <v>121630</v>
      </c>
      <c r="W37" s="1" t="e">
        <f aca="false">VLOOKUP($G37,#REF!,2,0)</f>
        <v>#VALUE!</v>
      </c>
    </row>
    <row r="38" customFormat="false" ht="22.5" hidden="true" customHeight="true" outlineLevel="0" collapsed="false">
      <c r="A38" s="53"/>
      <c r="B38" s="53"/>
      <c r="C38" s="54" t="n">
        <v>10</v>
      </c>
      <c r="D38" s="54" t="n">
        <v>859300</v>
      </c>
      <c r="E38" s="54" t="s">
        <v>86</v>
      </c>
      <c r="F38" s="54" t="s">
        <v>80</v>
      </c>
      <c r="G38" s="54" t="s">
        <v>75</v>
      </c>
      <c r="H38" s="54" t="s">
        <v>76</v>
      </c>
      <c r="I38" s="54" t="s">
        <v>77</v>
      </c>
      <c r="J38" s="55" t="n">
        <v>3</v>
      </c>
      <c r="K38" s="54" t="str">
        <f aca="false">IFERROR(VLOOKUP($J38,$J$10:$K$13,2,0),"")</f>
        <v>NON DISTRIBUTOR</v>
      </c>
      <c r="L38" s="54" t="s">
        <v>26</v>
      </c>
      <c r="M38" s="55" t="n">
        <v>9</v>
      </c>
      <c r="N38" s="54" t="str">
        <f aca="false">IFERROR(VLOOKUP($M38,$M$3:$Q$14,2,0),"")</f>
        <v>In Pcs</v>
      </c>
      <c r="O38" s="54" t="str">
        <f aca="false">IFERROR(VLOOKUP($M38,$M$3:$Q$14,3,0),"")</f>
        <v>Pcs</v>
      </c>
      <c r="P38" s="55" t="n">
        <f aca="false">IFERROR(VLOOKUP($M38,$M$3:$Q$14,4,0),"")</f>
        <v>4</v>
      </c>
      <c r="Q38" s="54" t="str">
        <f aca="false">IFERROR(VLOOKUP($M38,$M$3:$Q$14,5,0),"")</f>
        <v>small</v>
      </c>
      <c r="R38" s="54" t="n">
        <v>24</v>
      </c>
      <c r="S38" s="56" t="n">
        <v>6000</v>
      </c>
      <c r="T38" s="57" t="n">
        <f aca="false">S38/1.11</f>
        <v>5405.40540540541</v>
      </c>
      <c r="U38" s="58" t="n">
        <v>5694</v>
      </c>
      <c r="V38" s="58" t="n">
        <v>5067</v>
      </c>
      <c r="W38" s="1" t="e">
        <f aca="false">VLOOKUP($G38,#REF!,2,0)</f>
        <v>#VALUE!</v>
      </c>
    </row>
    <row r="39" customFormat="false" ht="22.5" hidden="true" customHeight="true" outlineLevel="0" collapsed="false">
      <c r="A39" s="53"/>
      <c r="B39" s="53"/>
      <c r="C39" s="54" t="n">
        <v>11</v>
      </c>
      <c r="D39" s="54" t="n">
        <v>859302</v>
      </c>
      <c r="E39" s="54" t="s">
        <v>87</v>
      </c>
      <c r="F39" s="54" t="s">
        <v>80</v>
      </c>
      <c r="G39" s="54" t="s">
        <v>75</v>
      </c>
      <c r="H39" s="54" t="s">
        <v>76</v>
      </c>
      <c r="I39" s="54" t="s">
        <v>77</v>
      </c>
      <c r="J39" s="55" t="n">
        <v>3</v>
      </c>
      <c r="K39" s="54" t="str">
        <f aca="false">IFERROR(VLOOKUP($J39,$J$10:$K$13,2,0),"")</f>
        <v>NON DISTRIBUTOR</v>
      </c>
      <c r="L39" s="54" t="s">
        <v>26</v>
      </c>
      <c r="M39" s="55" t="n">
        <v>1</v>
      </c>
      <c r="N39" s="54" t="str">
        <f aca="false">IFERROR(VLOOKUP($M39,$M$3:$Q$14,2,0),"")</f>
        <v>In Carton</v>
      </c>
      <c r="O39" s="54" t="str">
        <f aca="false">IFERROR(VLOOKUP($M39,$M$3:$Q$14,3,0),"")</f>
        <v>Carton</v>
      </c>
      <c r="P39" s="55" t="n">
        <f aca="false">IFERROR(VLOOKUP($M39,$M$3:$Q$14,4,0),"")</f>
        <v>1</v>
      </c>
      <c r="Q39" s="54" t="str">
        <f aca="false">IFERROR(VLOOKUP($M39,$M$3:$Q$14,5,0),"")</f>
        <v>large</v>
      </c>
      <c r="R39" s="54" t="n">
        <v>1</v>
      </c>
      <c r="S39" s="56" t="n">
        <v>144000</v>
      </c>
      <c r="T39" s="57" t="n">
        <f aca="false">S39/1.11</f>
        <v>129729.72972973</v>
      </c>
      <c r="U39" s="58" t="n">
        <v>136663</v>
      </c>
      <c r="V39" s="58" t="n">
        <v>121630</v>
      </c>
      <c r="W39" s="1" t="e">
        <f aca="false">VLOOKUP($G39,#REF!,2,0)</f>
        <v>#VALUE!</v>
      </c>
    </row>
    <row r="40" customFormat="false" ht="22.5" hidden="true" customHeight="true" outlineLevel="0" collapsed="false">
      <c r="A40" s="53"/>
      <c r="B40" s="53"/>
      <c r="C40" s="54" t="n">
        <v>11</v>
      </c>
      <c r="D40" s="54" t="n">
        <v>859303</v>
      </c>
      <c r="E40" s="54" t="s">
        <v>87</v>
      </c>
      <c r="F40" s="54" t="s">
        <v>80</v>
      </c>
      <c r="G40" s="54" t="s">
        <v>75</v>
      </c>
      <c r="H40" s="54" t="s">
        <v>76</v>
      </c>
      <c r="I40" s="54" t="s">
        <v>77</v>
      </c>
      <c r="J40" s="55" t="n">
        <v>3</v>
      </c>
      <c r="K40" s="54" t="str">
        <f aca="false">IFERROR(VLOOKUP($J40,$J$10:$K$13,2,0),"")</f>
        <v>NON DISTRIBUTOR</v>
      </c>
      <c r="L40" s="54" t="s">
        <v>26</v>
      </c>
      <c r="M40" s="55" t="n">
        <v>9</v>
      </c>
      <c r="N40" s="54" t="str">
        <f aca="false">IFERROR(VLOOKUP($M40,$M$3:$Q$14,2,0),"")</f>
        <v>In Pcs</v>
      </c>
      <c r="O40" s="54" t="str">
        <f aca="false">IFERROR(VLOOKUP($M40,$M$3:$Q$14,3,0),"")</f>
        <v>Pcs</v>
      </c>
      <c r="P40" s="55" t="n">
        <f aca="false">IFERROR(VLOOKUP($M40,$M$3:$Q$14,4,0),"")</f>
        <v>4</v>
      </c>
      <c r="Q40" s="54" t="str">
        <f aca="false">IFERROR(VLOOKUP($M40,$M$3:$Q$14,5,0),"")</f>
        <v>small</v>
      </c>
      <c r="R40" s="54" t="n">
        <v>24</v>
      </c>
      <c r="S40" s="56" t="n">
        <v>6000</v>
      </c>
      <c r="T40" s="57" t="n">
        <f aca="false">S40/1.11</f>
        <v>5405.40540540541</v>
      </c>
      <c r="U40" s="58" t="n">
        <v>5694</v>
      </c>
      <c r="V40" s="58" t="n">
        <v>5067</v>
      </c>
      <c r="W40" s="1" t="e">
        <f aca="false">VLOOKUP($G40,#REF!,2,0)</f>
        <v>#VALUE!</v>
      </c>
    </row>
    <row r="41" customFormat="false" ht="22.5" hidden="true" customHeight="true" outlineLevel="0" collapsed="false">
      <c r="A41" s="53"/>
      <c r="B41" s="53"/>
      <c r="C41" s="63" t="n">
        <v>13</v>
      </c>
      <c r="D41" s="63" t="n">
        <v>10000844</v>
      </c>
      <c r="E41" s="63" t="s">
        <v>88</v>
      </c>
      <c r="F41" s="63" t="s">
        <v>89</v>
      </c>
      <c r="G41" s="63" t="s">
        <v>89</v>
      </c>
      <c r="H41" s="63" t="s">
        <v>90</v>
      </c>
      <c r="I41" s="63" t="s">
        <v>89</v>
      </c>
      <c r="J41" s="64" t="n">
        <v>2</v>
      </c>
      <c r="K41" s="63" t="str">
        <f aca="false">IFERROR(VLOOKUP($J41,$J$10:$K$13,2,0),"")</f>
        <v>SUB DISTRIBUTOR</v>
      </c>
      <c r="L41" s="63" t="s">
        <v>26</v>
      </c>
      <c r="M41" s="64" t="n">
        <v>1</v>
      </c>
      <c r="N41" s="63" t="str">
        <f aca="false">IFERROR(VLOOKUP($M41,$M$3:$Q$14,2,0),"")</f>
        <v>In Carton</v>
      </c>
      <c r="O41" s="63" t="str">
        <f aca="false">IFERROR(VLOOKUP($M41,$M$3:$Q$14,3,0),"")</f>
        <v>Carton</v>
      </c>
      <c r="P41" s="64" t="n">
        <f aca="false">IFERROR(VLOOKUP($M41,$M$3:$Q$14,4,0),"")</f>
        <v>1</v>
      </c>
      <c r="Q41" s="63" t="str">
        <f aca="false">IFERROR(VLOOKUP($M41,$M$3:$Q$14,5,0),"")</f>
        <v>large</v>
      </c>
      <c r="R41" s="63" t="n">
        <v>1</v>
      </c>
      <c r="S41" s="65"/>
      <c r="T41" s="66" t="n">
        <f aca="false">S41/1.11</f>
        <v>0</v>
      </c>
      <c r="U41" s="67" t="n">
        <v>94794</v>
      </c>
      <c r="V41" s="67" t="n">
        <v>85400</v>
      </c>
      <c r="W41" s="1" t="e">
        <f aca="false">VLOOKUP($G41,#REF!,2,0)</f>
        <v>#VALUE!</v>
      </c>
    </row>
    <row r="42" customFormat="false" ht="22.5" hidden="true" customHeight="true" outlineLevel="0" collapsed="false">
      <c r="A42" s="53"/>
      <c r="B42" s="53"/>
      <c r="C42" s="63" t="n">
        <v>13</v>
      </c>
      <c r="D42" s="63" t="n">
        <v>10000844</v>
      </c>
      <c r="E42" s="63" t="s">
        <v>88</v>
      </c>
      <c r="F42" s="63" t="s">
        <v>89</v>
      </c>
      <c r="G42" s="63" t="s">
        <v>89</v>
      </c>
      <c r="H42" s="63" t="s">
        <v>90</v>
      </c>
      <c r="I42" s="63" t="s">
        <v>89</v>
      </c>
      <c r="J42" s="64" t="n">
        <v>2</v>
      </c>
      <c r="K42" s="63" t="str">
        <f aca="false">IFERROR(VLOOKUP($J42,$J$10:$K$13,2,0),"")</f>
        <v>SUB DISTRIBUTOR</v>
      </c>
      <c r="L42" s="63" t="s">
        <v>26</v>
      </c>
      <c r="M42" s="64" t="n">
        <v>9</v>
      </c>
      <c r="N42" s="63" t="str">
        <f aca="false">IFERROR(VLOOKUP($M42,$M$3:$Q$14,2,0),"")</f>
        <v>In Pcs</v>
      </c>
      <c r="O42" s="63" t="str">
        <f aca="false">IFERROR(VLOOKUP($M42,$M$3:$Q$14,3,0),"")</f>
        <v>Pcs</v>
      </c>
      <c r="P42" s="64" t="n">
        <f aca="false">IFERROR(VLOOKUP($M42,$M$3:$Q$14,4,0),"")</f>
        <v>4</v>
      </c>
      <c r="Q42" s="63" t="str">
        <f aca="false">IFERROR(VLOOKUP($M42,$M$3:$Q$14,5,0),"")</f>
        <v>small</v>
      </c>
      <c r="R42" s="63" t="n">
        <v>40</v>
      </c>
      <c r="S42" s="65"/>
      <c r="T42" s="66"/>
      <c r="U42" s="67"/>
      <c r="V42" s="67"/>
      <c r="W42" s="1" t="e">
        <f aca="false">VLOOKUP($G42,#REF!,2,0)</f>
        <v>#VALUE!</v>
      </c>
    </row>
    <row r="43" customFormat="false" ht="22.5" hidden="true" customHeight="true" outlineLevel="0" collapsed="false">
      <c r="A43" s="53"/>
      <c r="B43" s="53"/>
      <c r="C43" s="63" t="n">
        <v>14</v>
      </c>
      <c r="D43" s="63" t="n">
        <v>10000147</v>
      </c>
      <c r="E43" s="63" t="s">
        <v>91</v>
      </c>
      <c r="F43" s="63" t="s">
        <v>92</v>
      </c>
      <c r="G43" s="63" t="s">
        <v>89</v>
      </c>
      <c r="H43" s="63" t="s">
        <v>93</v>
      </c>
      <c r="I43" s="63" t="s">
        <v>89</v>
      </c>
      <c r="J43" s="64" t="n">
        <v>2</v>
      </c>
      <c r="K43" s="63" t="str">
        <f aca="false">IFERROR(VLOOKUP($J43,$J$10:$K$13,2,0),"")</f>
        <v>SUB DISTRIBUTOR</v>
      </c>
      <c r="L43" s="63" t="s">
        <v>26</v>
      </c>
      <c r="M43" s="64" t="n">
        <v>1</v>
      </c>
      <c r="N43" s="63" t="str">
        <f aca="false">IFERROR(VLOOKUP($M43,$M$3:$Q$14,2,0),"")</f>
        <v>In Carton</v>
      </c>
      <c r="O43" s="63" t="str">
        <f aca="false">IFERROR(VLOOKUP($M43,$M$3:$Q$14,3,0),"")</f>
        <v>Carton</v>
      </c>
      <c r="P43" s="64" t="n">
        <f aca="false">IFERROR(VLOOKUP($M43,$M$3:$Q$14,4,0),"")</f>
        <v>1</v>
      </c>
      <c r="Q43" s="63" t="str">
        <f aca="false">IFERROR(VLOOKUP($M43,$M$3:$Q$14,5,0),"")</f>
        <v>large</v>
      </c>
      <c r="R43" s="63" t="n">
        <v>1</v>
      </c>
      <c r="S43" s="65" t="n">
        <v>107226</v>
      </c>
      <c r="T43" s="66" t="n">
        <f aca="false">S43/1.11</f>
        <v>96600</v>
      </c>
      <c r="U43" s="67" t="n">
        <v>104010</v>
      </c>
      <c r="V43" s="67" t="n">
        <v>93702</v>
      </c>
      <c r="W43" s="1" t="e">
        <f aca="false">VLOOKUP($G43,#REF!,2,0)</f>
        <v>#VALUE!</v>
      </c>
    </row>
    <row r="44" customFormat="false" ht="22.5" hidden="true" customHeight="true" outlineLevel="0" collapsed="false">
      <c r="A44" s="53"/>
      <c r="B44" s="53"/>
      <c r="C44" s="63" t="n">
        <v>14</v>
      </c>
      <c r="D44" s="63" t="n">
        <v>10000147</v>
      </c>
      <c r="E44" s="63" t="s">
        <v>91</v>
      </c>
      <c r="F44" s="63" t="s">
        <v>92</v>
      </c>
      <c r="G44" s="63" t="s">
        <v>89</v>
      </c>
      <c r="H44" s="63" t="s">
        <v>93</v>
      </c>
      <c r="I44" s="63" t="s">
        <v>89</v>
      </c>
      <c r="J44" s="64" t="n">
        <v>2</v>
      </c>
      <c r="K44" s="63" t="str">
        <f aca="false">IFERROR(VLOOKUP($J44,$J$10:$K$13,2,0),"")</f>
        <v>SUB DISTRIBUTOR</v>
      </c>
      <c r="L44" s="63" t="s">
        <v>26</v>
      </c>
      <c r="M44" s="64" t="n">
        <v>9</v>
      </c>
      <c r="N44" s="63" t="str">
        <f aca="false">IFERROR(VLOOKUP($M44,$M$3:$Q$14,2,0),"")</f>
        <v>In Pcs</v>
      </c>
      <c r="O44" s="63" t="str">
        <f aca="false">IFERROR(VLOOKUP($M44,$M$3:$Q$14,3,0),"")</f>
        <v>Pcs</v>
      </c>
      <c r="P44" s="64" t="n">
        <f aca="false">IFERROR(VLOOKUP($M44,$M$3:$Q$14,4,0),"")</f>
        <v>4</v>
      </c>
      <c r="Q44" s="63" t="str">
        <f aca="false">IFERROR(VLOOKUP($M44,$M$3:$Q$14,5,0),"")</f>
        <v>small</v>
      </c>
      <c r="R44" s="63" t="n">
        <v>24</v>
      </c>
      <c r="S44" s="65" t="n">
        <f aca="false">S43/R44</f>
        <v>4467.75</v>
      </c>
      <c r="T44" s="66" t="n">
        <f aca="false">S44/1.11</f>
        <v>4025</v>
      </c>
      <c r="U44" s="67"/>
      <c r="V44" s="67"/>
      <c r="W44" s="1" t="e">
        <f aca="false">VLOOKUP($G44,#REF!,2,0)</f>
        <v>#VALUE!</v>
      </c>
    </row>
    <row r="45" customFormat="false" ht="22.5" hidden="true" customHeight="true" outlineLevel="0" collapsed="false">
      <c r="A45" s="53"/>
      <c r="B45" s="53"/>
      <c r="C45" s="68" t="n">
        <v>15</v>
      </c>
      <c r="D45" s="68" t="n">
        <v>20002989</v>
      </c>
      <c r="E45" s="68" t="s">
        <v>94</v>
      </c>
      <c r="F45" s="68" t="s">
        <v>95</v>
      </c>
      <c r="G45" s="68" t="s">
        <v>95</v>
      </c>
      <c r="H45" s="68" t="s">
        <v>96</v>
      </c>
      <c r="I45" s="68" t="s">
        <v>93</v>
      </c>
      <c r="J45" s="69" t="n">
        <v>2</v>
      </c>
      <c r="K45" s="68" t="str">
        <f aca="false">IFERROR(VLOOKUP($J45,$J$10:$K$13,2,0),"")</f>
        <v>SUB DISTRIBUTOR</v>
      </c>
      <c r="L45" s="68" t="s">
        <v>26</v>
      </c>
      <c r="M45" s="69" t="n">
        <v>1</v>
      </c>
      <c r="N45" s="68" t="str">
        <f aca="false">IFERROR(VLOOKUP($M45,$M$3:$Q$14,2,0),"")</f>
        <v>In Carton</v>
      </c>
      <c r="O45" s="68" t="str">
        <f aca="false">IFERROR(VLOOKUP($M45,$M$3:$Q$14,3,0),"")</f>
        <v>Carton</v>
      </c>
      <c r="P45" s="69" t="n">
        <f aca="false">IFERROR(VLOOKUP($M45,$M$3:$Q$14,4,0),"")</f>
        <v>1</v>
      </c>
      <c r="Q45" s="68" t="str">
        <f aca="false">IFERROR(VLOOKUP($M45,$M$3:$Q$14,5,0),"")</f>
        <v>large</v>
      </c>
      <c r="R45" s="68" t="n">
        <v>1</v>
      </c>
      <c r="S45" s="70" t="n">
        <f aca="false">67346*8</f>
        <v>538768</v>
      </c>
      <c r="T45" s="71" t="n">
        <f aca="false">S45/1.11</f>
        <v>485376.576576577</v>
      </c>
      <c r="U45" s="72" t="n">
        <f aca="false">V45+(V45*11%)</f>
        <v>495224.28</v>
      </c>
      <c r="V45" s="72" t="n">
        <v>446148</v>
      </c>
      <c r="W45" s="1" t="e">
        <f aca="false">VLOOKUP($G45,#REF!,2,0)</f>
        <v>#VALUE!</v>
      </c>
    </row>
    <row r="46" customFormat="false" ht="22.5" hidden="true" customHeight="true" outlineLevel="0" collapsed="false">
      <c r="A46" s="53"/>
      <c r="B46" s="53"/>
      <c r="C46" s="68" t="n">
        <v>15</v>
      </c>
      <c r="D46" s="68" t="n">
        <v>20002989</v>
      </c>
      <c r="E46" s="68" t="s">
        <v>94</v>
      </c>
      <c r="F46" s="68" t="s">
        <v>95</v>
      </c>
      <c r="G46" s="68" t="s">
        <v>95</v>
      </c>
      <c r="H46" s="68" t="s">
        <v>96</v>
      </c>
      <c r="I46" s="68" t="s">
        <v>93</v>
      </c>
      <c r="J46" s="69" t="n">
        <v>2</v>
      </c>
      <c r="K46" s="68" t="str">
        <f aca="false">IFERROR(VLOOKUP($J46,$J$10:$K$13,2,0),"")</f>
        <v>SUB DISTRIBUTOR</v>
      </c>
      <c r="L46" s="68" t="s">
        <v>26</v>
      </c>
      <c r="M46" s="69" t="n">
        <v>4</v>
      </c>
      <c r="N46" s="68" t="str">
        <f aca="false">IFERROR(VLOOKUP($M46,$M$3:$Q$14,2,0),"")</f>
        <v>In Pack</v>
      </c>
      <c r="O46" s="68" t="str">
        <f aca="false">IFERROR(VLOOKUP($M46,$M$3:$Q$14,3,0),"")</f>
        <v>Box</v>
      </c>
      <c r="P46" s="69" t="n">
        <f aca="false">IFERROR(VLOOKUP($M46,$M$3:$Q$14,4,0),"")</f>
        <v>2</v>
      </c>
      <c r="Q46" s="68" t="n">
        <f aca="false">IFERROR(VLOOKUP($M46,$M$3:$Q$14,5,0),"")</f>
        <v>0</v>
      </c>
      <c r="R46" s="68" t="n">
        <v>8</v>
      </c>
      <c r="S46" s="70" t="n">
        <v>67346</v>
      </c>
      <c r="T46" s="71" t="n">
        <f aca="false">S46/1.11</f>
        <v>60672.0720720721</v>
      </c>
      <c r="U46" s="72" t="n">
        <v>61903</v>
      </c>
      <c r="V46" s="72" t="n">
        <v>55768</v>
      </c>
      <c r="W46" s="1" t="e">
        <f aca="false">VLOOKUP($G46,#REF!,2,0)</f>
        <v>#VALUE!</v>
      </c>
    </row>
    <row r="47" customFormat="false" ht="22.5" hidden="true" customHeight="true" outlineLevel="0" collapsed="false">
      <c r="A47" s="53"/>
      <c r="B47" s="53"/>
      <c r="C47" s="68" t="n">
        <v>15</v>
      </c>
      <c r="D47" s="68" t="n">
        <v>20002989</v>
      </c>
      <c r="E47" s="68" t="s">
        <v>94</v>
      </c>
      <c r="F47" s="68" t="s">
        <v>95</v>
      </c>
      <c r="G47" s="68" t="s">
        <v>95</v>
      </c>
      <c r="H47" s="68" t="s">
        <v>96</v>
      </c>
      <c r="I47" s="68" t="s">
        <v>93</v>
      </c>
      <c r="J47" s="69" t="n">
        <v>2</v>
      </c>
      <c r="K47" s="68" t="str">
        <f aca="false">IFERROR(VLOOKUP($J47,$J$10:$K$13,2,0),"")</f>
        <v>SUB DISTRIBUTOR</v>
      </c>
      <c r="L47" s="68" t="s">
        <v>26</v>
      </c>
      <c r="M47" s="69" t="n">
        <v>9</v>
      </c>
      <c r="N47" s="68" t="str">
        <f aca="false">IFERROR(VLOOKUP($M47,$M$3:$Q$14,2,0),"")</f>
        <v>In Pcs</v>
      </c>
      <c r="O47" s="68" t="str">
        <f aca="false">IFERROR(VLOOKUP($M47,$M$3:$Q$14,3,0),"")</f>
        <v>Pcs</v>
      </c>
      <c r="P47" s="69" t="n">
        <f aca="false">IFERROR(VLOOKUP($M47,$M$3:$Q$14,4,0),"")</f>
        <v>4</v>
      </c>
      <c r="Q47" s="68" t="str">
        <f aca="false">IFERROR(VLOOKUP($M47,$M$3:$Q$14,5,0),"")</f>
        <v>small</v>
      </c>
      <c r="R47" s="68" t="n">
        <v>80</v>
      </c>
      <c r="S47" s="70" t="n">
        <f aca="false">S46/10</f>
        <v>6734.6</v>
      </c>
      <c r="T47" s="71" t="n">
        <f aca="false">S47/1.11</f>
        <v>6067.20720720721</v>
      </c>
      <c r="U47" s="72" t="n">
        <v>6190</v>
      </c>
      <c r="V47" s="72" t="n">
        <v>5576</v>
      </c>
      <c r="W47" s="1" t="e">
        <f aca="false">VLOOKUP($G47,#REF!,2,0)</f>
        <v>#VALUE!</v>
      </c>
    </row>
    <row r="48" customFormat="false" ht="22.5" hidden="true" customHeight="true" outlineLevel="0" collapsed="false">
      <c r="A48" s="53"/>
      <c r="B48" s="53"/>
      <c r="C48" s="68" t="n">
        <v>16</v>
      </c>
      <c r="D48" s="68" t="n">
        <v>20002990</v>
      </c>
      <c r="E48" s="68" t="s">
        <v>97</v>
      </c>
      <c r="F48" s="68" t="s">
        <v>95</v>
      </c>
      <c r="G48" s="68" t="s">
        <v>95</v>
      </c>
      <c r="H48" s="68" t="s">
        <v>96</v>
      </c>
      <c r="I48" s="68" t="s">
        <v>93</v>
      </c>
      <c r="J48" s="69" t="n">
        <v>2</v>
      </c>
      <c r="K48" s="68" t="str">
        <f aca="false">IFERROR(VLOOKUP($J48,$J$10:$K$13,2,0),"")</f>
        <v>SUB DISTRIBUTOR</v>
      </c>
      <c r="L48" s="68" t="s">
        <v>26</v>
      </c>
      <c r="M48" s="69" t="n">
        <v>1</v>
      </c>
      <c r="N48" s="68" t="str">
        <f aca="false">IFERROR(VLOOKUP($M48,$M$3:$Q$14,2,0),"")</f>
        <v>In Carton</v>
      </c>
      <c r="O48" s="68" t="str">
        <f aca="false">IFERROR(VLOOKUP($M48,$M$3:$Q$14,3,0),"")</f>
        <v>Carton</v>
      </c>
      <c r="P48" s="69" t="n">
        <f aca="false">IFERROR(VLOOKUP($M48,$M$3:$Q$14,4,0),"")</f>
        <v>1</v>
      </c>
      <c r="Q48" s="68" t="str">
        <f aca="false">IFERROR(VLOOKUP($M48,$M$3:$Q$14,5,0),"")</f>
        <v>large</v>
      </c>
      <c r="R48" s="68" t="n">
        <v>1</v>
      </c>
      <c r="S48" s="70" t="n">
        <v>538768</v>
      </c>
      <c r="T48" s="71" t="n">
        <f aca="false">S48/1.11</f>
        <v>485376.576576577</v>
      </c>
      <c r="U48" s="72" t="n">
        <f aca="false">V48+(V48*11%)</f>
        <v>495224.28</v>
      </c>
      <c r="V48" s="72" t="n">
        <v>446148</v>
      </c>
      <c r="W48" s="1" t="e">
        <f aca="false">VLOOKUP($G48,#REF!,2,0)</f>
        <v>#VALUE!</v>
      </c>
    </row>
    <row r="49" customFormat="false" ht="22.5" hidden="true" customHeight="true" outlineLevel="0" collapsed="false">
      <c r="A49" s="53"/>
      <c r="B49" s="53"/>
      <c r="C49" s="68" t="n">
        <v>16</v>
      </c>
      <c r="D49" s="68" t="n">
        <v>20002990</v>
      </c>
      <c r="E49" s="68" t="s">
        <v>97</v>
      </c>
      <c r="F49" s="68" t="s">
        <v>95</v>
      </c>
      <c r="G49" s="68" t="s">
        <v>95</v>
      </c>
      <c r="H49" s="68" t="s">
        <v>96</v>
      </c>
      <c r="I49" s="68" t="s">
        <v>93</v>
      </c>
      <c r="J49" s="69" t="n">
        <v>2</v>
      </c>
      <c r="K49" s="68" t="str">
        <f aca="false">IFERROR(VLOOKUP($J49,$J$10:$K$13,2,0),"")</f>
        <v>SUB DISTRIBUTOR</v>
      </c>
      <c r="L49" s="68" t="s">
        <v>26</v>
      </c>
      <c r="M49" s="69" t="n">
        <v>4</v>
      </c>
      <c r="N49" s="68" t="str">
        <f aca="false">IFERROR(VLOOKUP($M49,$M$3:$Q$14,2,0),"")</f>
        <v>In Pack</v>
      </c>
      <c r="O49" s="68" t="str">
        <f aca="false">IFERROR(VLOOKUP($M49,$M$3:$Q$14,3,0),"")</f>
        <v>Box</v>
      </c>
      <c r="P49" s="69" t="n">
        <f aca="false">IFERROR(VLOOKUP($M49,$M$3:$Q$14,4,0),"")</f>
        <v>2</v>
      </c>
      <c r="Q49" s="68" t="n">
        <f aca="false">IFERROR(VLOOKUP($M49,$M$3:$Q$14,5,0),"")</f>
        <v>0</v>
      </c>
      <c r="R49" s="68" t="n">
        <v>8</v>
      </c>
      <c r="S49" s="70" t="n">
        <v>67346</v>
      </c>
      <c r="T49" s="71" t="n">
        <f aca="false">S49/1.11</f>
        <v>60672.0720720721</v>
      </c>
      <c r="U49" s="72" t="n">
        <v>61903</v>
      </c>
      <c r="V49" s="72" t="n">
        <v>55768</v>
      </c>
      <c r="W49" s="1" t="e">
        <f aca="false">VLOOKUP($G49,#REF!,2,0)</f>
        <v>#VALUE!</v>
      </c>
    </row>
    <row r="50" customFormat="false" ht="22.5" hidden="true" customHeight="true" outlineLevel="0" collapsed="false">
      <c r="A50" s="53"/>
      <c r="B50" s="53"/>
      <c r="C50" s="68" t="n">
        <v>16</v>
      </c>
      <c r="D50" s="68" t="n">
        <v>20002990</v>
      </c>
      <c r="E50" s="68" t="s">
        <v>97</v>
      </c>
      <c r="F50" s="68" t="s">
        <v>95</v>
      </c>
      <c r="G50" s="68" t="s">
        <v>95</v>
      </c>
      <c r="H50" s="68" t="s">
        <v>96</v>
      </c>
      <c r="I50" s="68" t="s">
        <v>93</v>
      </c>
      <c r="J50" s="69" t="n">
        <v>2</v>
      </c>
      <c r="K50" s="68" t="str">
        <f aca="false">IFERROR(VLOOKUP($J50,$J$10:$K$13,2,0),"")</f>
        <v>SUB DISTRIBUTOR</v>
      </c>
      <c r="L50" s="68" t="s">
        <v>26</v>
      </c>
      <c r="M50" s="69" t="n">
        <v>9</v>
      </c>
      <c r="N50" s="68" t="str">
        <f aca="false">IFERROR(VLOOKUP($M50,$M$3:$Q$14,2,0),"")</f>
        <v>In Pcs</v>
      </c>
      <c r="O50" s="68" t="str">
        <f aca="false">IFERROR(VLOOKUP($M50,$M$3:$Q$14,3,0),"")</f>
        <v>Pcs</v>
      </c>
      <c r="P50" s="69" t="n">
        <f aca="false">IFERROR(VLOOKUP($M50,$M$3:$Q$14,4,0),"")</f>
        <v>4</v>
      </c>
      <c r="Q50" s="68" t="str">
        <f aca="false">IFERROR(VLOOKUP($M50,$M$3:$Q$14,5,0),"")</f>
        <v>small</v>
      </c>
      <c r="R50" s="68" t="n">
        <v>80</v>
      </c>
      <c r="S50" s="70" t="n">
        <f aca="false">S49/10</f>
        <v>6734.6</v>
      </c>
      <c r="T50" s="71" t="n">
        <f aca="false">S50/1.11</f>
        <v>6067.20720720721</v>
      </c>
      <c r="U50" s="72" t="n">
        <v>6190</v>
      </c>
      <c r="V50" s="72" t="n">
        <v>5576</v>
      </c>
      <c r="W50" s="1" t="e">
        <f aca="false">VLOOKUP($G50,#REF!,2,0)</f>
        <v>#VALUE!</v>
      </c>
    </row>
    <row r="51" customFormat="false" ht="22.5" hidden="true" customHeight="true" outlineLevel="0" collapsed="false">
      <c r="A51" s="53"/>
      <c r="B51" s="53"/>
      <c r="C51" s="68" t="n">
        <v>17</v>
      </c>
      <c r="D51" s="68" t="n">
        <v>20002991</v>
      </c>
      <c r="E51" s="68" t="s">
        <v>98</v>
      </c>
      <c r="F51" s="68" t="s">
        <v>95</v>
      </c>
      <c r="G51" s="68" t="s">
        <v>95</v>
      </c>
      <c r="H51" s="68" t="s">
        <v>96</v>
      </c>
      <c r="I51" s="68" t="s">
        <v>93</v>
      </c>
      <c r="J51" s="69" t="n">
        <v>2</v>
      </c>
      <c r="K51" s="68" t="str">
        <f aca="false">IFERROR(VLOOKUP($J51,$J$10:$K$13,2,0),"")</f>
        <v>SUB DISTRIBUTOR</v>
      </c>
      <c r="L51" s="68" t="s">
        <v>26</v>
      </c>
      <c r="M51" s="69" t="n">
        <v>1</v>
      </c>
      <c r="N51" s="68" t="str">
        <f aca="false">IFERROR(VLOOKUP($M51,$M$3:$Q$14,2,0),"")</f>
        <v>In Carton</v>
      </c>
      <c r="O51" s="68" t="str">
        <f aca="false">IFERROR(VLOOKUP($M51,$M$3:$Q$14,3,0),"")</f>
        <v>Carton</v>
      </c>
      <c r="P51" s="69" t="n">
        <f aca="false">IFERROR(VLOOKUP($M51,$M$3:$Q$14,4,0),"")</f>
        <v>1</v>
      </c>
      <c r="Q51" s="68" t="str">
        <f aca="false">IFERROR(VLOOKUP($M51,$M$3:$Q$14,5,0),"")</f>
        <v>large</v>
      </c>
      <c r="R51" s="68" t="n">
        <v>1</v>
      </c>
      <c r="S51" s="70" t="n">
        <v>538768</v>
      </c>
      <c r="T51" s="71" t="n">
        <f aca="false">S51/1.11</f>
        <v>485376.576576577</v>
      </c>
      <c r="U51" s="72" t="n">
        <f aca="false">V51+(V51*11%)</f>
        <v>495224.28</v>
      </c>
      <c r="V51" s="72" t="n">
        <v>446148</v>
      </c>
      <c r="W51" s="1" t="e">
        <f aca="false">VLOOKUP($G51,#REF!,2,0)</f>
        <v>#VALUE!</v>
      </c>
    </row>
    <row r="52" customFormat="false" ht="22.5" hidden="true" customHeight="true" outlineLevel="0" collapsed="false">
      <c r="A52" s="53"/>
      <c r="B52" s="53"/>
      <c r="C52" s="68" t="n">
        <v>17</v>
      </c>
      <c r="D52" s="68" t="n">
        <v>20002991</v>
      </c>
      <c r="E52" s="68" t="s">
        <v>98</v>
      </c>
      <c r="F52" s="68" t="s">
        <v>95</v>
      </c>
      <c r="G52" s="68" t="s">
        <v>95</v>
      </c>
      <c r="H52" s="68" t="s">
        <v>96</v>
      </c>
      <c r="I52" s="68" t="s">
        <v>93</v>
      </c>
      <c r="J52" s="69" t="n">
        <v>2</v>
      </c>
      <c r="K52" s="68" t="str">
        <f aca="false">IFERROR(VLOOKUP($J52,$J$10:$K$13,2,0),"")</f>
        <v>SUB DISTRIBUTOR</v>
      </c>
      <c r="L52" s="68" t="s">
        <v>26</v>
      </c>
      <c r="M52" s="69" t="n">
        <v>4</v>
      </c>
      <c r="N52" s="68" t="str">
        <f aca="false">IFERROR(VLOOKUP($M52,$M$3:$Q$14,2,0),"")</f>
        <v>In Pack</v>
      </c>
      <c r="O52" s="68" t="str">
        <f aca="false">IFERROR(VLOOKUP($M52,$M$3:$Q$14,3,0),"")</f>
        <v>Box</v>
      </c>
      <c r="P52" s="69" t="n">
        <f aca="false">IFERROR(VLOOKUP($M52,$M$3:$Q$14,4,0),"")</f>
        <v>2</v>
      </c>
      <c r="Q52" s="68" t="n">
        <f aca="false">IFERROR(VLOOKUP($M52,$M$3:$Q$14,5,0),"")</f>
        <v>0</v>
      </c>
      <c r="R52" s="68" t="n">
        <v>8</v>
      </c>
      <c r="S52" s="70" t="n">
        <v>67346</v>
      </c>
      <c r="T52" s="71" t="n">
        <f aca="false">S52/1.11</f>
        <v>60672.0720720721</v>
      </c>
      <c r="U52" s="72" t="n">
        <v>61903</v>
      </c>
      <c r="V52" s="72" t="n">
        <v>55768</v>
      </c>
      <c r="W52" s="1" t="e">
        <f aca="false">VLOOKUP($G52,#REF!,2,0)</f>
        <v>#VALUE!</v>
      </c>
    </row>
    <row r="53" customFormat="false" ht="22.5" hidden="true" customHeight="true" outlineLevel="0" collapsed="false">
      <c r="A53" s="53"/>
      <c r="B53" s="53"/>
      <c r="C53" s="68" t="n">
        <v>17</v>
      </c>
      <c r="D53" s="68" t="n">
        <v>20002991</v>
      </c>
      <c r="E53" s="68" t="s">
        <v>98</v>
      </c>
      <c r="F53" s="68" t="s">
        <v>95</v>
      </c>
      <c r="G53" s="68" t="s">
        <v>95</v>
      </c>
      <c r="H53" s="68" t="s">
        <v>96</v>
      </c>
      <c r="I53" s="68" t="s">
        <v>93</v>
      </c>
      <c r="J53" s="69" t="n">
        <v>2</v>
      </c>
      <c r="K53" s="68" t="str">
        <f aca="false">IFERROR(VLOOKUP($J53,$J$10:$K$13,2,0),"")</f>
        <v>SUB DISTRIBUTOR</v>
      </c>
      <c r="L53" s="68" t="s">
        <v>26</v>
      </c>
      <c r="M53" s="69" t="n">
        <v>9</v>
      </c>
      <c r="N53" s="68" t="str">
        <f aca="false">IFERROR(VLOOKUP($M53,$M$3:$Q$14,2,0),"")</f>
        <v>In Pcs</v>
      </c>
      <c r="O53" s="68" t="str">
        <f aca="false">IFERROR(VLOOKUP($M53,$M$3:$Q$14,3,0),"")</f>
        <v>Pcs</v>
      </c>
      <c r="P53" s="69" t="n">
        <f aca="false">IFERROR(VLOOKUP($M53,$M$3:$Q$14,4,0),"")</f>
        <v>4</v>
      </c>
      <c r="Q53" s="68" t="str">
        <f aca="false">IFERROR(VLOOKUP($M53,$M$3:$Q$14,5,0),"")</f>
        <v>small</v>
      </c>
      <c r="R53" s="68" t="n">
        <v>80</v>
      </c>
      <c r="S53" s="70" t="n">
        <f aca="false">S52/10</f>
        <v>6734.6</v>
      </c>
      <c r="T53" s="71" t="n">
        <f aca="false">S53/1.11</f>
        <v>6067.20720720721</v>
      </c>
      <c r="U53" s="72" t="n">
        <v>6190</v>
      </c>
      <c r="V53" s="72" t="n">
        <v>5576</v>
      </c>
      <c r="W53" s="1" t="e">
        <f aca="false">VLOOKUP($G53,#REF!,2,0)</f>
        <v>#VALUE!</v>
      </c>
    </row>
    <row r="54" customFormat="false" ht="22.5" hidden="true" customHeight="true" outlineLevel="0" collapsed="false">
      <c r="A54" s="53"/>
      <c r="B54" s="53"/>
      <c r="C54" s="68" t="n">
        <v>18</v>
      </c>
      <c r="D54" s="68" t="n">
        <v>20002992</v>
      </c>
      <c r="E54" s="68" t="s">
        <v>99</v>
      </c>
      <c r="F54" s="68" t="s">
        <v>95</v>
      </c>
      <c r="G54" s="68" t="s">
        <v>95</v>
      </c>
      <c r="H54" s="68" t="s">
        <v>96</v>
      </c>
      <c r="I54" s="68" t="s">
        <v>93</v>
      </c>
      <c r="J54" s="69" t="n">
        <v>2</v>
      </c>
      <c r="K54" s="68" t="str">
        <f aca="false">IFERROR(VLOOKUP($J54,$J$10:$K$13,2,0),"")</f>
        <v>SUB DISTRIBUTOR</v>
      </c>
      <c r="L54" s="68" t="s">
        <v>26</v>
      </c>
      <c r="M54" s="69" t="n">
        <v>1</v>
      </c>
      <c r="N54" s="68" t="str">
        <f aca="false">IFERROR(VLOOKUP($M54,$M$3:$Q$14,2,0),"")</f>
        <v>In Carton</v>
      </c>
      <c r="O54" s="68" t="str">
        <f aca="false">IFERROR(VLOOKUP($M54,$M$3:$Q$14,3,0),"")</f>
        <v>Carton</v>
      </c>
      <c r="P54" s="69" t="n">
        <f aca="false">IFERROR(VLOOKUP($M54,$M$3:$Q$14,4,0),"")</f>
        <v>1</v>
      </c>
      <c r="Q54" s="68" t="str">
        <f aca="false">IFERROR(VLOOKUP($M54,$M$3:$Q$14,5,0),"")</f>
        <v>large</v>
      </c>
      <c r="R54" s="68" t="n">
        <v>1</v>
      </c>
      <c r="S54" s="70" t="n">
        <v>538768</v>
      </c>
      <c r="T54" s="71" t="n">
        <f aca="false">S54/1.11</f>
        <v>485376.576576577</v>
      </c>
      <c r="U54" s="72" t="n">
        <f aca="false">V54+(V54*11%)</f>
        <v>495224.28</v>
      </c>
      <c r="V54" s="72" t="n">
        <v>446148</v>
      </c>
      <c r="W54" s="1" t="e">
        <f aca="false">VLOOKUP($G54,#REF!,2,0)</f>
        <v>#VALUE!</v>
      </c>
    </row>
    <row r="55" customFormat="false" ht="22.5" hidden="true" customHeight="true" outlineLevel="0" collapsed="false">
      <c r="A55" s="53"/>
      <c r="B55" s="53"/>
      <c r="C55" s="68" t="n">
        <v>18</v>
      </c>
      <c r="D55" s="68" t="n">
        <v>20002992</v>
      </c>
      <c r="E55" s="68" t="s">
        <v>99</v>
      </c>
      <c r="F55" s="68" t="s">
        <v>95</v>
      </c>
      <c r="G55" s="68" t="s">
        <v>95</v>
      </c>
      <c r="H55" s="68" t="s">
        <v>96</v>
      </c>
      <c r="I55" s="68" t="s">
        <v>93</v>
      </c>
      <c r="J55" s="69" t="n">
        <v>2</v>
      </c>
      <c r="K55" s="68" t="str">
        <f aca="false">IFERROR(VLOOKUP($J55,$J$10:$K$13,2,0),"")</f>
        <v>SUB DISTRIBUTOR</v>
      </c>
      <c r="L55" s="68" t="s">
        <v>26</v>
      </c>
      <c r="M55" s="69" t="n">
        <v>4</v>
      </c>
      <c r="N55" s="68" t="str">
        <f aca="false">IFERROR(VLOOKUP($M55,$M$3:$Q$14,2,0),"")</f>
        <v>In Pack</v>
      </c>
      <c r="O55" s="68" t="str">
        <f aca="false">IFERROR(VLOOKUP($M55,$M$3:$Q$14,3,0),"")</f>
        <v>Box</v>
      </c>
      <c r="P55" s="69" t="n">
        <f aca="false">IFERROR(VLOOKUP($M55,$M$3:$Q$14,4,0),"")</f>
        <v>2</v>
      </c>
      <c r="Q55" s="68" t="n">
        <f aca="false">IFERROR(VLOOKUP($M55,$M$3:$Q$14,5,0),"")</f>
        <v>0</v>
      </c>
      <c r="R55" s="68" t="n">
        <v>8</v>
      </c>
      <c r="S55" s="70" t="n">
        <v>67346</v>
      </c>
      <c r="T55" s="71" t="n">
        <f aca="false">S55/1.11</f>
        <v>60672.0720720721</v>
      </c>
      <c r="U55" s="72" t="n">
        <v>61903</v>
      </c>
      <c r="V55" s="72" t="n">
        <v>55768</v>
      </c>
      <c r="W55" s="1" t="e">
        <f aca="false">VLOOKUP($G55,#REF!,2,0)</f>
        <v>#VALUE!</v>
      </c>
    </row>
    <row r="56" customFormat="false" ht="22.5" hidden="true" customHeight="true" outlineLevel="0" collapsed="false">
      <c r="A56" s="53"/>
      <c r="B56" s="53"/>
      <c r="C56" s="68" t="n">
        <v>18</v>
      </c>
      <c r="D56" s="68" t="n">
        <v>20002992</v>
      </c>
      <c r="E56" s="68" t="s">
        <v>99</v>
      </c>
      <c r="F56" s="68" t="s">
        <v>95</v>
      </c>
      <c r="G56" s="68" t="s">
        <v>95</v>
      </c>
      <c r="H56" s="68" t="s">
        <v>96</v>
      </c>
      <c r="I56" s="68" t="s">
        <v>93</v>
      </c>
      <c r="J56" s="69" t="n">
        <v>2</v>
      </c>
      <c r="K56" s="68" t="str">
        <f aca="false">IFERROR(VLOOKUP($J56,$J$10:$K$13,2,0),"")</f>
        <v>SUB DISTRIBUTOR</v>
      </c>
      <c r="L56" s="68" t="s">
        <v>26</v>
      </c>
      <c r="M56" s="69" t="n">
        <v>9</v>
      </c>
      <c r="N56" s="68" t="str">
        <f aca="false">IFERROR(VLOOKUP($M56,$M$3:$Q$14,2,0),"")</f>
        <v>In Pcs</v>
      </c>
      <c r="O56" s="68" t="str">
        <f aca="false">IFERROR(VLOOKUP($M56,$M$3:$Q$14,3,0),"")</f>
        <v>Pcs</v>
      </c>
      <c r="P56" s="69" t="n">
        <f aca="false">IFERROR(VLOOKUP($M56,$M$3:$Q$14,4,0),"")</f>
        <v>4</v>
      </c>
      <c r="Q56" s="68" t="str">
        <f aca="false">IFERROR(VLOOKUP($M56,$M$3:$Q$14,5,0),"")</f>
        <v>small</v>
      </c>
      <c r="R56" s="68" t="n">
        <v>80</v>
      </c>
      <c r="S56" s="70" t="n">
        <f aca="false">S55/10</f>
        <v>6734.6</v>
      </c>
      <c r="T56" s="71" t="n">
        <f aca="false">S56/1.11</f>
        <v>6067.20720720721</v>
      </c>
      <c r="U56" s="72" t="n">
        <v>6190</v>
      </c>
      <c r="V56" s="72" t="n">
        <v>5576</v>
      </c>
      <c r="W56" s="1" t="e">
        <f aca="false">VLOOKUP($G56,#REF!,2,0)</f>
        <v>#VALUE!</v>
      </c>
    </row>
    <row r="57" customFormat="false" ht="22.5" hidden="true" customHeight="true" outlineLevel="0" collapsed="false">
      <c r="A57" s="53"/>
      <c r="B57" s="53"/>
      <c r="C57" s="68" t="n">
        <v>19</v>
      </c>
      <c r="D57" s="68" t="n">
        <v>20003708</v>
      </c>
      <c r="E57" s="68" t="s">
        <v>100</v>
      </c>
      <c r="F57" s="68" t="s">
        <v>95</v>
      </c>
      <c r="G57" s="68" t="s">
        <v>95</v>
      </c>
      <c r="H57" s="68" t="s">
        <v>96</v>
      </c>
      <c r="I57" s="68" t="s">
        <v>93</v>
      </c>
      <c r="J57" s="69" t="n">
        <v>2</v>
      </c>
      <c r="K57" s="68" t="str">
        <f aca="false">IFERROR(VLOOKUP($J57,$J$10:$K$13,2,0),"")</f>
        <v>SUB DISTRIBUTOR</v>
      </c>
      <c r="L57" s="68" t="s">
        <v>26</v>
      </c>
      <c r="M57" s="69" t="n">
        <v>1</v>
      </c>
      <c r="N57" s="68" t="str">
        <f aca="false">IFERROR(VLOOKUP($M57,$M$3:$Q$14,2,0),"")</f>
        <v>In Carton</v>
      </c>
      <c r="O57" s="68" t="str">
        <f aca="false">IFERROR(VLOOKUP($M57,$M$3:$Q$14,3,0),"")</f>
        <v>Carton</v>
      </c>
      <c r="P57" s="69" t="n">
        <f aca="false">IFERROR(VLOOKUP($M57,$M$3:$Q$14,4,0),"")</f>
        <v>1</v>
      </c>
      <c r="Q57" s="68" t="str">
        <f aca="false">IFERROR(VLOOKUP($M57,$M$3:$Q$14,5,0),"")</f>
        <v>large</v>
      </c>
      <c r="R57" s="68" t="n">
        <v>1</v>
      </c>
      <c r="S57" s="70" t="n">
        <v>538768</v>
      </c>
      <c r="T57" s="71" t="n">
        <f aca="false">S57/1.11</f>
        <v>485376.576576577</v>
      </c>
      <c r="U57" s="72" t="n">
        <f aca="false">V57+(V57*11%)</f>
        <v>495224.28</v>
      </c>
      <c r="V57" s="72" t="n">
        <v>446148</v>
      </c>
      <c r="W57" s="1" t="e">
        <f aca="false">VLOOKUP($G57,#REF!,2,0)</f>
        <v>#VALUE!</v>
      </c>
    </row>
    <row r="58" customFormat="false" ht="22.5" hidden="true" customHeight="true" outlineLevel="0" collapsed="false">
      <c r="A58" s="53"/>
      <c r="B58" s="53"/>
      <c r="C58" s="68" t="n">
        <v>19</v>
      </c>
      <c r="D58" s="68" t="n">
        <v>20003708</v>
      </c>
      <c r="E58" s="68" t="s">
        <v>100</v>
      </c>
      <c r="F58" s="68" t="s">
        <v>95</v>
      </c>
      <c r="G58" s="68" t="s">
        <v>95</v>
      </c>
      <c r="H58" s="68" t="s">
        <v>96</v>
      </c>
      <c r="I58" s="68" t="s">
        <v>93</v>
      </c>
      <c r="J58" s="69" t="n">
        <v>2</v>
      </c>
      <c r="K58" s="68" t="str">
        <f aca="false">IFERROR(VLOOKUP($J58,$J$10:$K$13,2,0),"")</f>
        <v>SUB DISTRIBUTOR</v>
      </c>
      <c r="L58" s="68" t="s">
        <v>26</v>
      </c>
      <c r="M58" s="69" t="n">
        <v>4</v>
      </c>
      <c r="N58" s="68" t="str">
        <f aca="false">IFERROR(VLOOKUP($M58,$M$3:$Q$14,2,0),"")</f>
        <v>In Pack</v>
      </c>
      <c r="O58" s="68" t="str">
        <f aca="false">IFERROR(VLOOKUP($M58,$M$3:$Q$14,3,0),"")</f>
        <v>Box</v>
      </c>
      <c r="P58" s="69" t="n">
        <f aca="false">IFERROR(VLOOKUP($M58,$M$3:$Q$14,4,0),"")</f>
        <v>2</v>
      </c>
      <c r="Q58" s="68" t="n">
        <f aca="false">IFERROR(VLOOKUP($M58,$M$3:$Q$14,5,0),"")</f>
        <v>0</v>
      </c>
      <c r="R58" s="68" t="n">
        <v>8</v>
      </c>
      <c r="S58" s="70" t="n">
        <v>67346</v>
      </c>
      <c r="T58" s="71" t="n">
        <f aca="false">S58/1.11</f>
        <v>60672.0720720721</v>
      </c>
      <c r="U58" s="72" t="n">
        <v>61903</v>
      </c>
      <c r="V58" s="72" t="n">
        <v>55768</v>
      </c>
      <c r="W58" s="1" t="e">
        <f aca="false">VLOOKUP($G58,#REF!,2,0)</f>
        <v>#VALUE!</v>
      </c>
    </row>
    <row r="59" customFormat="false" ht="22.5" hidden="true" customHeight="true" outlineLevel="0" collapsed="false">
      <c r="A59" s="53"/>
      <c r="B59" s="53"/>
      <c r="C59" s="68" t="n">
        <v>19</v>
      </c>
      <c r="D59" s="68" t="n">
        <v>20003708</v>
      </c>
      <c r="E59" s="68" t="s">
        <v>100</v>
      </c>
      <c r="F59" s="68" t="s">
        <v>95</v>
      </c>
      <c r="G59" s="68" t="s">
        <v>95</v>
      </c>
      <c r="H59" s="68" t="s">
        <v>96</v>
      </c>
      <c r="I59" s="68" t="s">
        <v>93</v>
      </c>
      <c r="J59" s="69" t="n">
        <v>2</v>
      </c>
      <c r="K59" s="68" t="str">
        <f aca="false">IFERROR(VLOOKUP($J59,$J$10:$K$13,2,0),"")</f>
        <v>SUB DISTRIBUTOR</v>
      </c>
      <c r="L59" s="68" t="s">
        <v>26</v>
      </c>
      <c r="M59" s="69" t="n">
        <v>9</v>
      </c>
      <c r="N59" s="68" t="str">
        <f aca="false">IFERROR(VLOOKUP($M59,$M$3:$Q$14,2,0),"")</f>
        <v>In Pcs</v>
      </c>
      <c r="O59" s="68" t="str">
        <f aca="false">IFERROR(VLOOKUP($M59,$M$3:$Q$14,3,0),"")</f>
        <v>Pcs</v>
      </c>
      <c r="P59" s="69" t="n">
        <f aca="false">IFERROR(VLOOKUP($M59,$M$3:$Q$14,4,0),"")</f>
        <v>4</v>
      </c>
      <c r="Q59" s="68" t="str">
        <f aca="false">IFERROR(VLOOKUP($M59,$M$3:$Q$14,5,0),"")</f>
        <v>small</v>
      </c>
      <c r="R59" s="68" t="n">
        <v>80</v>
      </c>
      <c r="S59" s="70" t="n">
        <f aca="false">S58/10</f>
        <v>6734.6</v>
      </c>
      <c r="T59" s="71" t="n">
        <f aca="false">S59/1.11</f>
        <v>6067.20720720721</v>
      </c>
      <c r="U59" s="72" t="n">
        <v>6190</v>
      </c>
      <c r="V59" s="72" t="n">
        <v>5576</v>
      </c>
      <c r="W59" s="1" t="e">
        <f aca="false">VLOOKUP($G59,#REF!,2,0)</f>
        <v>#VALUE!</v>
      </c>
    </row>
    <row r="60" customFormat="false" ht="22.5" hidden="true" customHeight="true" outlineLevel="0" collapsed="false">
      <c r="A60" s="53"/>
      <c r="B60" s="53"/>
      <c r="C60" s="68" t="n">
        <v>20</v>
      </c>
      <c r="D60" s="68" t="n">
        <v>20003294</v>
      </c>
      <c r="E60" s="68" t="s">
        <v>101</v>
      </c>
      <c r="F60" s="68" t="s">
        <v>95</v>
      </c>
      <c r="G60" s="68" t="s">
        <v>95</v>
      </c>
      <c r="H60" s="68" t="s">
        <v>96</v>
      </c>
      <c r="I60" s="68" t="s">
        <v>93</v>
      </c>
      <c r="J60" s="69" t="n">
        <v>2</v>
      </c>
      <c r="K60" s="68" t="str">
        <f aca="false">IFERROR(VLOOKUP($J60,$J$10:$K$13,2,0),"")</f>
        <v>SUB DISTRIBUTOR</v>
      </c>
      <c r="L60" s="68" t="s">
        <v>26</v>
      </c>
      <c r="M60" s="69" t="n">
        <v>1</v>
      </c>
      <c r="N60" s="68" t="str">
        <f aca="false">IFERROR(VLOOKUP($M60,$M$3:$Q$14,2,0),"")</f>
        <v>In Carton</v>
      </c>
      <c r="O60" s="68" t="str">
        <f aca="false">IFERROR(VLOOKUP($M60,$M$3:$Q$14,3,0),"")</f>
        <v>Carton</v>
      </c>
      <c r="P60" s="69" t="n">
        <f aca="false">IFERROR(VLOOKUP($M60,$M$3:$Q$14,4,0),"")</f>
        <v>1</v>
      </c>
      <c r="Q60" s="68" t="str">
        <f aca="false">IFERROR(VLOOKUP($M60,$M$3:$Q$14,5,0),"")</f>
        <v>large</v>
      </c>
      <c r="R60" s="68" t="n">
        <v>1</v>
      </c>
      <c r="S60" s="70" t="n">
        <v>538768</v>
      </c>
      <c r="T60" s="71" t="n">
        <f aca="false">S60/1.11</f>
        <v>485376.576576577</v>
      </c>
      <c r="U60" s="72" t="n">
        <f aca="false">V60+(V60*11%)</f>
        <v>495224.28</v>
      </c>
      <c r="V60" s="72" t="n">
        <v>446148</v>
      </c>
      <c r="W60" s="1" t="e">
        <f aca="false">VLOOKUP($G60,#REF!,2,0)</f>
        <v>#VALUE!</v>
      </c>
    </row>
    <row r="61" customFormat="false" ht="22.5" hidden="true" customHeight="true" outlineLevel="0" collapsed="false">
      <c r="A61" s="53"/>
      <c r="B61" s="53"/>
      <c r="C61" s="68" t="n">
        <v>20</v>
      </c>
      <c r="D61" s="68" t="n">
        <v>20003294</v>
      </c>
      <c r="E61" s="68" t="s">
        <v>101</v>
      </c>
      <c r="F61" s="68" t="s">
        <v>95</v>
      </c>
      <c r="G61" s="68" t="s">
        <v>95</v>
      </c>
      <c r="H61" s="68" t="s">
        <v>96</v>
      </c>
      <c r="I61" s="68" t="s">
        <v>93</v>
      </c>
      <c r="J61" s="69" t="n">
        <v>2</v>
      </c>
      <c r="K61" s="68" t="str">
        <f aca="false">IFERROR(VLOOKUP($J61,$J$10:$K$13,2,0),"")</f>
        <v>SUB DISTRIBUTOR</v>
      </c>
      <c r="L61" s="68" t="s">
        <v>26</v>
      </c>
      <c r="M61" s="69" t="n">
        <v>4</v>
      </c>
      <c r="N61" s="68" t="str">
        <f aca="false">IFERROR(VLOOKUP($M61,$M$3:$Q$14,2,0),"")</f>
        <v>In Pack</v>
      </c>
      <c r="O61" s="68" t="str">
        <f aca="false">IFERROR(VLOOKUP($M61,$M$3:$Q$14,3,0),"")</f>
        <v>Box</v>
      </c>
      <c r="P61" s="69" t="n">
        <f aca="false">IFERROR(VLOOKUP($M61,$M$3:$Q$14,4,0),"")</f>
        <v>2</v>
      </c>
      <c r="Q61" s="68" t="n">
        <f aca="false">IFERROR(VLOOKUP($M61,$M$3:$Q$14,5,0),"")</f>
        <v>0</v>
      </c>
      <c r="R61" s="68" t="n">
        <v>8</v>
      </c>
      <c r="S61" s="70" t="n">
        <v>67346</v>
      </c>
      <c r="T61" s="71" t="n">
        <f aca="false">S61/1.11</f>
        <v>60672.0720720721</v>
      </c>
      <c r="U61" s="72" t="n">
        <v>61903</v>
      </c>
      <c r="V61" s="72" t="n">
        <v>55768</v>
      </c>
      <c r="W61" s="1" t="e">
        <f aca="false">VLOOKUP($G61,#REF!,2,0)</f>
        <v>#VALUE!</v>
      </c>
    </row>
    <row r="62" customFormat="false" ht="22.5" hidden="true" customHeight="true" outlineLevel="0" collapsed="false">
      <c r="A62" s="53"/>
      <c r="B62" s="53"/>
      <c r="C62" s="68" t="n">
        <v>20</v>
      </c>
      <c r="D62" s="68" t="n">
        <v>20003294</v>
      </c>
      <c r="E62" s="68" t="s">
        <v>101</v>
      </c>
      <c r="F62" s="68" t="s">
        <v>95</v>
      </c>
      <c r="G62" s="68" t="s">
        <v>95</v>
      </c>
      <c r="H62" s="68" t="s">
        <v>96</v>
      </c>
      <c r="I62" s="68" t="s">
        <v>93</v>
      </c>
      <c r="J62" s="69" t="n">
        <v>2</v>
      </c>
      <c r="K62" s="68" t="str">
        <f aca="false">IFERROR(VLOOKUP($J62,$J$10:$K$13,2,0),"")</f>
        <v>SUB DISTRIBUTOR</v>
      </c>
      <c r="L62" s="68" t="s">
        <v>26</v>
      </c>
      <c r="M62" s="69" t="n">
        <v>9</v>
      </c>
      <c r="N62" s="68" t="str">
        <f aca="false">IFERROR(VLOOKUP($M62,$M$3:$Q$14,2,0),"")</f>
        <v>In Pcs</v>
      </c>
      <c r="O62" s="68" t="str">
        <f aca="false">IFERROR(VLOOKUP($M62,$M$3:$Q$14,3,0),"")</f>
        <v>Pcs</v>
      </c>
      <c r="P62" s="69" t="n">
        <f aca="false">IFERROR(VLOOKUP($M62,$M$3:$Q$14,4,0),"")</f>
        <v>4</v>
      </c>
      <c r="Q62" s="68" t="str">
        <f aca="false">IFERROR(VLOOKUP($M62,$M$3:$Q$14,5,0),"")</f>
        <v>small</v>
      </c>
      <c r="R62" s="68" t="n">
        <v>80</v>
      </c>
      <c r="S62" s="70" t="n">
        <f aca="false">S61/10</f>
        <v>6734.6</v>
      </c>
      <c r="T62" s="71" t="n">
        <f aca="false">S62/1.11</f>
        <v>6067.20720720721</v>
      </c>
      <c r="U62" s="72" t="n">
        <v>6190</v>
      </c>
      <c r="V62" s="72" t="n">
        <v>5576</v>
      </c>
      <c r="W62" s="1" t="e">
        <f aca="false">VLOOKUP($G62,#REF!,2,0)</f>
        <v>#VALUE!</v>
      </c>
    </row>
    <row r="63" customFormat="false" ht="22.5" hidden="true" customHeight="true" outlineLevel="0" collapsed="false">
      <c r="A63" s="53"/>
      <c r="B63" s="53"/>
      <c r="C63" s="68" t="n">
        <v>21</v>
      </c>
      <c r="D63" s="68" t="n">
        <v>20002630</v>
      </c>
      <c r="E63" s="68" t="s">
        <v>102</v>
      </c>
      <c r="F63" s="68" t="s">
        <v>95</v>
      </c>
      <c r="G63" s="68" t="s">
        <v>95</v>
      </c>
      <c r="H63" s="68" t="s">
        <v>96</v>
      </c>
      <c r="I63" s="68" t="s">
        <v>93</v>
      </c>
      <c r="J63" s="69" t="n">
        <v>2</v>
      </c>
      <c r="K63" s="68" t="str">
        <f aca="false">IFERROR(VLOOKUP($J63,$J$10:$K$13,2,0),"")</f>
        <v>SUB DISTRIBUTOR</v>
      </c>
      <c r="L63" s="68" t="s">
        <v>26</v>
      </c>
      <c r="M63" s="69" t="n">
        <v>1</v>
      </c>
      <c r="N63" s="68" t="str">
        <f aca="false">IFERROR(VLOOKUP($M63,$M$3:$Q$14,2,0),"")</f>
        <v>In Carton</v>
      </c>
      <c r="O63" s="68" t="str">
        <f aca="false">IFERROR(VLOOKUP($M63,$M$3:$Q$14,3,0),"")</f>
        <v>Carton</v>
      </c>
      <c r="P63" s="69" t="n">
        <f aca="false">IFERROR(VLOOKUP($M63,$M$3:$Q$14,4,0),"")</f>
        <v>1</v>
      </c>
      <c r="Q63" s="68" t="str">
        <f aca="false">IFERROR(VLOOKUP($M63,$M$3:$Q$14,5,0),"")</f>
        <v>large</v>
      </c>
      <c r="R63" s="68" t="n">
        <v>1</v>
      </c>
      <c r="S63" s="70" t="n">
        <f aca="false">S64*12</f>
        <v>380028</v>
      </c>
      <c r="T63" s="71" t="n">
        <f aca="false">S63/1.11</f>
        <v>342367.567567568</v>
      </c>
      <c r="U63" s="72" t="n">
        <f aca="false">V63+(V63*11%)</f>
        <v>366438.75</v>
      </c>
      <c r="V63" s="72" t="n">
        <v>330125</v>
      </c>
      <c r="W63" s="1" t="e">
        <f aca="false">VLOOKUP($G63,#REF!,2,0)</f>
        <v>#VALUE!</v>
      </c>
    </row>
    <row r="64" customFormat="false" ht="22.5" hidden="true" customHeight="true" outlineLevel="0" collapsed="false">
      <c r="A64" s="53"/>
      <c r="B64" s="53"/>
      <c r="C64" s="68" t="n">
        <v>21</v>
      </c>
      <c r="D64" s="68" t="n">
        <v>20002630</v>
      </c>
      <c r="E64" s="68" t="s">
        <v>102</v>
      </c>
      <c r="F64" s="68" t="s">
        <v>95</v>
      </c>
      <c r="G64" s="68" t="s">
        <v>95</v>
      </c>
      <c r="H64" s="68" t="s">
        <v>96</v>
      </c>
      <c r="I64" s="68" t="s">
        <v>93</v>
      </c>
      <c r="J64" s="69" t="n">
        <v>2</v>
      </c>
      <c r="K64" s="68" t="str">
        <f aca="false">IFERROR(VLOOKUP($J64,$J$10:$K$13,2,0),"")</f>
        <v>SUB DISTRIBUTOR</v>
      </c>
      <c r="L64" s="68" t="s">
        <v>26</v>
      </c>
      <c r="M64" s="69" t="n">
        <v>4</v>
      </c>
      <c r="N64" s="68" t="str">
        <f aca="false">IFERROR(VLOOKUP($M64,$M$3:$Q$14,2,0),"")</f>
        <v>In Pack</v>
      </c>
      <c r="O64" s="68" t="str">
        <f aca="false">IFERROR(VLOOKUP($M64,$M$3:$Q$14,3,0),"")</f>
        <v>Box</v>
      </c>
      <c r="P64" s="69" t="n">
        <f aca="false">IFERROR(VLOOKUP($M64,$M$3:$Q$14,4,0),"")</f>
        <v>2</v>
      </c>
      <c r="Q64" s="68" t="n">
        <f aca="false">IFERROR(VLOOKUP($M64,$M$3:$Q$14,5,0),"")</f>
        <v>0</v>
      </c>
      <c r="R64" s="68" t="n">
        <v>12</v>
      </c>
      <c r="S64" s="70" t="n">
        <v>31669</v>
      </c>
      <c r="T64" s="71" t="n">
        <f aca="false">S64/1.11</f>
        <v>28530.6306306306</v>
      </c>
      <c r="U64" s="72" t="n">
        <v>30536</v>
      </c>
      <c r="V64" s="72" t="n">
        <v>27510</v>
      </c>
      <c r="W64" s="1" t="e">
        <f aca="false">VLOOKUP($G64,#REF!,2,0)</f>
        <v>#VALUE!</v>
      </c>
    </row>
    <row r="65" customFormat="false" ht="22.5" hidden="true" customHeight="true" outlineLevel="0" collapsed="false">
      <c r="A65" s="53"/>
      <c r="B65" s="53"/>
      <c r="C65" s="68" t="n">
        <v>21</v>
      </c>
      <c r="D65" s="68" t="n">
        <v>20002630</v>
      </c>
      <c r="E65" s="68" t="s">
        <v>102</v>
      </c>
      <c r="F65" s="68" t="s">
        <v>95</v>
      </c>
      <c r="G65" s="68" t="s">
        <v>95</v>
      </c>
      <c r="H65" s="68" t="s">
        <v>96</v>
      </c>
      <c r="I65" s="68" t="s">
        <v>93</v>
      </c>
      <c r="J65" s="69" t="n">
        <v>2</v>
      </c>
      <c r="K65" s="68" t="str">
        <f aca="false">IFERROR(VLOOKUP($J65,$J$10:$K$13,2,0),"")</f>
        <v>SUB DISTRIBUTOR</v>
      </c>
      <c r="L65" s="68" t="s">
        <v>26</v>
      </c>
      <c r="M65" s="69" t="n">
        <v>9</v>
      </c>
      <c r="N65" s="68" t="str">
        <f aca="false">IFERROR(VLOOKUP($M65,$M$3:$Q$14,2,0),"")</f>
        <v>In Pcs</v>
      </c>
      <c r="O65" s="68" t="str">
        <f aca="false">IFERROR(VLOOKUP($M65,$M$3:$Q$14,3,0),"")</f>
        <v>Pcs</v>
      </c>
      <c r="P65" s="69" t="n">
        <f aca="false">IFERROR(VLOOKUP($M65,$M$3:$Q$14,4,0),"")</f>
        <v>4</v>
      </c>
      <c r="Q65" s="68" t="str">
        <f aca="false">IFERROR(VLOOKUP($M65,$M$3:$Q$14,5,0),"")</f>
        <v>small</v>
      </c>
      <c r="R65" s="68" t="n">
        <v>144</v>
      </c>
      <c r="S65" s="70" t="n">
        <f aca="false">S64/12</f>
        <v>2639.08333333333</v>
      </c>
      <c r="T65" s="71" t="n">
        <f aca="false">S65/1.11</f>
        <v>2377.55255255255</v>
      </c>
      <c r="U65" s="72" t="n">
        <v>2547</v>
      </c>
      <c r="V65" s="72" t="n">
        <v>2292</v>
      </c>
      <c r="W65" s="1" t="e">
        <f aca="false">VLOOKUP($G65,#REF!,2,0)</f>
        <v>#VALUE!</v>
      </c>
    </row>
    <row r="66" customFormat="false" ht="22.5" hidden="true" customHeight="true" outlineLevel="0" collapsed="false">
      <c r="A66" s="53"/>
      <c r="B66" s="53"/>
      <c r="C66" s="68" t="n">
        <v>22</v>
      </c>
      <c r="D66" s="68" t="n">
        <v>20002631</v>
      </c>
      <c r="E66" s="68" t="s">
        <v>103</v>
      </c>
      <c r="F66" s="68" t="s">
        <v>95</v>
      </c>
      <c r="G66" s="68" t="s">
        <v>95</v>
      </c>
      <c r="H66" s="68" t="s">
        <v>96</v>
      </c>
      <c r="I66" s="68" t="s">
        <v>93</v>
      </c>
      <c r="J66" s="69" t="n">
        <v>2</v>
      </c>
      <c r="K66" s="68" t="str">
        <f aca="false">IFERROR(VLOOKUP($J66,$J$10:$K$13,2,0),"")</f>
        <v>SUB DISTRIBUTOR</v>
      </c>
      <c r="L66" s="68" t="s">
        <v>26</v>
      </c>
      <c r="M66" s="69" t="n">
        <v>1</v>
      </c>
      <c r="N66" s="68" t="str">
        <f aca="false">IFERROR(VLOOKUP($M66,$M$3:$Q$14,2,0),"")</f>
        <v>In Carton</v>
      </c>
      <c r="O66" s="68" t="str">
        <f aca="false">IFERROR(VLOOKUP($M66,$M$3:$Q$14,3,0),"")</f>
        <v>Carton</v>
      </c>
      <c r="P66" s="69" t="n">
        <f aca="false">IFERROR(VLOOKUP($M66,$M$3:$Q$14,4,0),"")</f>
        <v>1</v>
      </c>
      <c r="Q66" s="68" t="str">
        <f aca="false">IFERROR(VLOOKUP($M66,$M$3:$Q$14,5,0),"")</f>
        <v>large</v>
      </c>
      <c r="R66" s="68" t="n">
        <v>1</v>
      </c>
      <c r="S66" s="70" t="n">
        <f aca="false">S67*12</f>
        <v>380028</v>
      </c>
      <c r="T66" s="71" t="n">
        <f aca="false">S66/1.11</f>
        <v>342367.567567568</v>
      </c>
      <c r="U66" s="72" t="n">
        <f aca="false">V66+(V66*11%)</f>
        <v>366438.75</v>
      </c>
      <c r="V66" s="72" t="n">
        <v>330125</v>
      </c>
      <c r="W66" s="1" t="e">
        <f aca="false">VLOOKUP($G66,#REF!,2,0)</f>
        <v>#VALUE!</v>
      </c>
    </row>
    <row r="67" customFormat="false" ht="22.5" hidden="true" customHeight="true" outlineLevel="0" collapsed="false">
      <c r="A67" s="53"/>
      <c r="B67" s="53"/>
      <c r="C67" s="68" t="n">
        <v>22</v>
      </c>
      <c r="D67" s="68" t="n">
        <v>20002631</v>
      </c>
      <c r="E67" s="68" t="s">
        <v>103</v>
      </c>
      <c r="F67" s="68" t="s">
        <v>95</v>
      </c>
      <c r="G67" s="68" t="s">
        <v>95</v>
      </c>
      <c r="H67" s="68" t="s">
        <v>96</v>
      </c>
      <c r="I67" s="68" t="s">
        <v>93</v>
      </c>
      <c r="J67" s="69" t="n">
        <v>2</v>
      </c>
      <c r="K67" s="68" t="str">
        <f aca="false">IFERROR(VLOOKUP($J67,$J$10:$K$13,2,0),"")</f>
        <v>SUB DISTRIBUTOR</v>
      </c>
      <c r="L67" s="68" t="s">
        <v>26</v>
      </c>
      <c r="M67" s="69" t="n">
        <v>4</v>
      </c>
      <c r="N67" s="68" t="str">
        <f aca="false">IFERROR(VLOOKUP($M67,$M$3:$Q$14,2,0),"")</f>
        <v>In Pack</v>
      </c>
      <c r="O67" s="68" t="str">
        <f aca="false">IFERROR(VLOOKUP($M67,$M$3:$Q$14,3,0),"")</f>
        <v>Box</v>
      </c>
      <c r="P67" s="69" t="n">
        <f aca="false">IFERROR(VLOOKUP($M67,$M$3:$Q$14,4,0),"")</f>
        <v>2</v>
      </c>
      <c r="Q67" s="68" t="n">
        <f aca="false">IFERROR(VLOOKUP($M67,$M$3:$Q$14,5,0),"")</f>
        <v>0</v>
      </c>
      <c r="R67" s="68" t="n">
        <v>12</v>
      </c>
      <c r="S67" s="70" t="n">
        <v>31669</v>
      </c>
      <c r="T67" s="71" t="n">
        <f aca="false">S67/1.11</f>
        <v>28530.6306306306</v>
      </c>
      <c r="U67" s="72" t="n">
        <v>30536</v>
      </c>
      <c r="V67" s="72" t="n">
        <v>27510</v>
      </c>
      <c r="W67" s="1" t="e">
        <f aca="false">VLOOKUP($G67,#REF!,2,0)</f>
        <v>#VALUE!</v>
      </c>
    </row>
    <row r="68" customFormat="false" ht="22.5" hidden="true" customHeight="true" outlineLevel="0" collapsed="false">
      <c r="A68" s="53"/>
      <c r="B68" s="53"/>
      <c r="C68" s="68" t="n">
        <v>22</v>
      </c>
      <c r="D68" s="68" t="n">
        <v>20002631</v>
      </c>
      <c r="E68" s="68" t="s">
        <v>103</v>
      </c>
      <c r="F68" s="68" t="s">
        <v>95</v>
      </c>
      <c r="G68" s="68" t="s">
        <v>95</v>
      </c>
      <c r="H68" s="68" t="s">
        <v>96</v>
      </c>
      <c r="I68" s="68" t="s">
        <v>93</v>
      </c>
      <c r="J68" s="69" t="n">
        <v>2</v>
      </c>
      <c r="K68" s="68" t="str">
        <f aca="false">IFERROR(VLOOKUP($J68,$J$10:$K$13,2,0),"")</f>
        <v>SUB DISTRIBUTOR</v>
      </c>
      <c r="L68" s="68" t="s">
        <v>26</v>
      </c>
      <c r="M68" s="69" t="n">
        <v>9</v>
      </c>
      <c r="N68" s="68" t="str">
        <f aca="false">IFERROR(VLOOKUP($M68,$M$3:$Q$14,2,0),"")</f>
        <v>In Pcs</v>
      </c>
      <c r="O68" s="68" t="str">
        <f aca="false">IFERROR(VLOOKUP($M68,$M$3:$Q$14,3,0),"")</f>
        <v>Pcs</v>
      </c>
      <c r="P68" s="69" t="n">
        <f aca="false">IFERROR(VLOOKUP($M68,$M$3:$Q$14,4,0),"")</f>
        <v>4</v>
      </c>
      <c r="Q68" s="68" t="str">
        <f aca="false">IFERROR(VLOOKUP($M68,$M$3:$Q$14,5,0),"")</f>
        <v>small</v>
      </c>
      <c r="R68" s="68" t="n">
        <v>144</v>
      </c>
      <c r="S68" s="70" t="n">
        <f aca="false">S67/12</f>
        <v>2639.08333333333</v>
      </c>
      <c r="T68" s="71" t="n">
        <f aca="false">S68/1.11</f>
        <v>2377.55255255255</v>
      </c>
      <c r="U68" s="72" t="n">
        <v>2547</v>
      </c>
      <c r="V68" s="72" t="n">
        <v>2292</v>
      </c>
      <c r="W68" s="1" t="e">
        <f aca="false">VLOOKUP($G68,#REF!,2,0)</f>
        <v>#VALUE!</v>
      </c>
    </row>
    <row r="69" customFormat="false" ht="22.5" hidden="true" customHeight="true" outlineLevel="0" collapsed="false">
      <c r="A69" s="53"/>
      <c r="B69" s="53"/>
      <c r="C69" s="68" t="n">
        <v>23</v>
      </c>
      <c r="D69" s="68" t="n">
        <v>20003549</v>
      </c>
      <c r="E69" s="68" t="s">
        <v>104</v>
      </c>
      <c r="F69" s="68" t="s">
        <v>95</v>
      </c>
      <c r="G69" s="68" t="s">
        <v>95</v>
      </c>
      <c r="H69" s="68" t="s">
        <v>96</v>
      </c>
      <c r="I69" s="68" t="s">
        <v>93</v>
      </c>
      <c r="J69" s="69" t="n">
        <v>2</v>
      </c>
      <c r="K69" s="68" t="str">
        <f aca="false">IFERROR(VLOOKUP($J69,$J$10:$K$13,2,0),"")</f>
        <v>SUB DISTRIBUTOR</v>
      </c>
      <c r="L69" s="68" t="s">
        <v>26</v>
      </c>
      <c r="M69" s="69" t="n">
        <v>1</v>
      </c>
      <c r="N69" s="68" t="str">
        <f aca="false">IFERROR(VLOOKUP($M69,$M$3:$Q$14,2,0),"")</f>
        <v>In Carton</v>
      </c>
      <c r="O69" s="68" t="str">
        <f aca="false">IFERROR(VLOOKUP($M69,$M$3:$Q$14,3,0),"")</f>
        <v>Carton</v>
      </c>
      <c r="P69" s="69" t="n">
        <f aca="false">IFERROR(VLOOKUP($M69,$M$3:$Q$14,4,0),"")</f>
        <v>1</v>
      </c>
      <c r="Q69" s="68" t="str">
        <f aca="false">IFERROR(VLOOKUP($M69,$M$3:$Q$14,5,0),"")</f>
        <v>large</v>
      </c>
      <c r="R69" s="68" t="n">
        <v>1</v>
      </c>
      <c r="S69" s="70" t="n">
        <f aca="false">31700*12</f>
        <v>380400</v>
      </c>
      <c r="T69" s="71" t="n">
        <f aca="false">S69/1.11</f>
        <v>342702.702702703</v>
      </c>
      <c r="U69" s="72" t="n">
        <f aca="false">V69+(V69*11%)</f>
        <v>366438.75</v>
      </c>
      <c r="V69" s="72" t="n">
        <v>330125</v>
      </c>
      <c r="W69" s="1" t="e">
        <f aca="false">VLOOKUP($G69,#REF!,2,0)</f>
        <v>#VALUE!</v>
      </c>
    </row>
    <row r="70" customFormat="false" ht="22.5" hidden="true" customHeight="true" outlineLevel="0" collapsed="false">
      <c r="A70" s="53"/>
      <c r="B70" s="53"/>
      <c r="C70" s="68" t="n">
        <v>23</v>
      </c>
      <c r="D70" s="68" t="n">
        <v>20003549</v>
      </c>
      <c r="E70" s="68" t="s">
        <v>104</v>
      </c>
      <c r="F70" s="68" t="s">
        <v>95</v>
      </c>
      <c r="G70" s="68" t="s">
        <v>95</v>
      </c>
      <c r="H70" s="68" t="s">
        <v>96</v>
      </c>
      <c r="I70" s="68" t="s">
        <v>93</v>
      </c>
      <c r="J70" s="69" t="n">
        <v>2</v>
      </c>
      <c r="K70" s="68" t="str">
        <f aca="false">IFERROR(VLOOKUP($J70,$J$10:$K$13,2,0),"")</f>
        <v>SUB DISTRIBUTOR</v>
      </c>
      <c r="L70" s="68" t="s">
        <v>26</v>
      </c>
      <c r="M70" s="69" t="n">
        <v>4</v>
      </c>
      <c r="N70" s="68" t="str">
        <f aca="false">IFERROR(VLOOKUP($M70,$M$3:$Q$14,2,0),"")</f>
        <v>In Pack</v>
      </c>
      <c r="O70" s="68" t="str">
        <f aca="false">IFERROR(VLOOKUP($M70,$M$3:$Q$14,3,0),"")</f>
        <v>Box</v>
      </c>
      <c r="P70" s="69" t="n">
        <f aca="false">IFERROR(VLOOKUP($M70,$M$3:$Q$14,4,0),"")</f>
        <v>2</v>
      </c>
      <c r="Q70" s="68" t="n">
        <f aca="false">IFERROR(VLOOKUP($M70,$M$3:$Q$14,5,0),"")</f>
        <v>0</v>
      </c>
      <c r="R70" s="68" t="n">
        <v>12</v>
      </c>
      <c r="S70" s="70" t="n">
        <f aca="false">S69/12</f>
        <v>31700</v>
      </c>
      <c r="T70" s="71" t="n">
        <f aca="false">S70/1.11</f>
        <v>28558.5585585586</v>
      </c>
      <c r="U70" s="72" t="n">
        <v>30536</v>
      </c>
      <c r="V70" s="72" t="n">
        <v>27510</v>
      </c>
      <c r="W70" s="1" t="e">
        <f aca="false">VLOOKUP($G70,#REF!,2,0)</f>
        <v>#VALUE!</v>
      </c>
    </row>
    <row r="71" customFormat="false" ht="22.5" hidden="true" customHeight="true" outlineLevel="0" collapsed="false">
      <c r="A71" s="53"/>
      <c r="B71" s="53"/>
      <c r="C71" s="68" t="n">
        <v>23</v>
      </c>
      <c r="D71" s="68" t="n">
        <v>20003549</v>
      </c>
      <c r="E71" s="68" t="s">
        <v>104</v>
      </c>
      <c r="F71" s="68" t="s">
        <v>95</v>
      </c>
      <c r="G71" s="68" t="s">
        <v>95</v>
      </c>
      <c r="H71" s="68" t="s">
        <v>96</v>
      </c>
      <c r="I71" s="68" t="s">
        <v>93</v>
      </c>
      <c r="J71" s="69" t="n">
        <v>2</v>
      </c>
      <c r="K71" s="68" t="str">
        <f aca="false">IFERROR(VLOOKUP($J71,$J$10:$K$13,2,0),"")</f>
        <v>SUB DISTRIBUTOR</v>
      </c>
      <c r="L71" s="68" t="s">
        <v>26</v>
      </c>
      <c r="M71" s="69" t="n">
        <v>9</v>
      </c>
      <c r="N71" s="68" t="str">
        <f aca="false">IFERROR(VLOOKUP($M71,$M$3:$Q$14,2,0),"")</f>
        <v>In Pcs</v>
      </c>
      <c r="O71" s="68" t="str">
        <f aca="false">IFERROR(VLOOKUP($M71,$M$3:$Q$14,3,0),"")</f>
        <v>Pcs</v>
      </c>
      <c r="P71" s="69" t="n">
        <f aca="false">IFERROR(VLOOKUP($M71,$M$3:$Q$14,4,0),"")</f>
        <v>4</v>
      </c>
      <c r="Q71" s="68" t="str">
        <f aca="false">IFERROR(VLOOKUP($M71,$M$3:$Q$14,5,0),"")</f>
        <v>small</v>
      </c>
      <c r="R71" s="68" t="n">
        <v>144</v>
      </c>
      <c r="S71" s="70" t="n">
        <f aca="false">S70/12</f>
        <v>2641.66666666667</v>
      </c>
      <c r="T71" s="71" t="n">
        <f aca="false">S71/1.11</f>
        <v>2379.87987987988</v>
      </c>
      <c r="U71" s="72" t="n">
        <v>2547</v>
      </c>
      <c r="V71" s="72" t="n">
        <v>2292</v>
      </c>
      <c r="W71" s="1" t="e">
        <f aca="false">VLOOKUP($G71,#REF!,2,0)</f>
        <v>#VALUE!</v>
      </c>
    </row>
    <row r="72" customFormat="false" ht="22.5" hidden="true" customHeight="true" outlineLevel="0" collapsed="false">
      <c r="A72" s="53"/>
      <c r="B72" s="53"/>
      <c r="C72" s="68" t="n">
        <v>24</v>
      </c>
      <c r="D72" s="68" t="n">
        <v>20003550</v>
      </c>
      <c r="E72" s="68" t="s">
        <v>105</v>
      </c>
      <c r="F72" s="68" t="s">
        <v>95</v>
      </c>
      <c r="G72" s="68" t="s">
        <v>95</v>
      </c>
      <c r="H72" s="68" t="s">
        <v>96</v>
      </c>
      <c r="I72" s="68" t="s">
        <v>93</v>
      </c>
      <c r="J72" s="69" t="n">
        <v>2</v>
      </c>
      <c r="K72" s="68" t="str">
        <f aca="false">IFERROR(VLOOKUP($J72,$J$10:$K$13,2,0),"")</f>
        <v>SUB DISTRIBUTOR</v>
      </c>
      <c r="L72" s="68" t="s">
        <v>26</v>
      </c>
      <c r="M72" s="69" t="n">
        <v>1</v>
      </c>
      <c r="N72" s="68" t="str">
        <f aca="false">IFERROR(VLOOKUP($M72,$M$3:$Q$14,2,0),"")</f>
        <v>In Carton</v>
      </c>
      <c r="O72" s="68" t="str">
        <f aca="false">IFERROR(VLOOKUP($M72,$M$3:$Q$14,3,0),"")</f>
        <v>Carton</v>
      </c>
      <c r="P72" s="69" t="n">
        <f aca="false">IFERROR(VLOOKUP($M72,$M$3:$Q$14,4,0),"")</f>
        <v>1</v>
      </c>
      <c r="Q72" s="68" t="str">
        <f aca="false">IFERROR(VLOOKUP($M72,$M$3:$Q$14,5,0),"")</f>
        <v>large</v>
      </c>
      <c r="R72" s="68" t="n">
        <v>1</v>
      </c>
      <c r="S72" s="70" t="n">
        <f aca="false">12*31700</f>
        <v>380400</v>
      </c>
      <c r="T72" s="71" t="n">
        <f aca="false">S72/1.11</f>
        <v>342702.702702703</v>
      </c>
      <c r="U72" s="72" t="n">
        <f aca="false">V72+(V72*11%)</f>
        <v>366438.75</v>
      </c>
      <c r="V72" s="72" t="n">
        <v>330125</v>
      </c>
      <c r="W72" s="1" t="e">
        <f aca="false">VLOOKUP($G72,#REF!,2,0)</f>
        <v>#VALUE!</v>
      </c>
    </row>
    <row r="73" customFormat="false" ht="22.5" hidden="true" customHeight="true" outlineLevel="0" collapsed="false">
      <c r="A73" s="53"/>
      <c r="B73" s="53"/>
      <c r="C73" s="68" t="n">
        <v>24</v>
      </c>
      <c r="D73" s="68" t="n">
        <v>20003550</v>
      </c>
      <c r="E73" s="68" t="s">
        <v>105</v>
      </c>
      <c r="F73" s="68" t="s">
        <v>95</v>
      </c>
      <c r="G73" s="68" t="s">
        <v>95</v>
      </c>
      <c r="H73" s="68" t="s">
        <v>96</v>
      </c>
      <c r="I73" s="68" t="s">
        <v>93</v>
      </c>
      <c r="J73" s="69" t="n">
        <v>2</v>
      </c>
      <c r="K73" s="68" t="str">
        <f aca="false">IFERROR(VLOOKUP($J73,$J$10:$K$13,2,0),"")</f>
        <v>SUB DISTRIBUTOR</v>
      </c>
      <c r="L73" s="68" t="s">
        <v>26</v>
      </c>
      <c r="M73" s="69" t="n">
        <v>4</v>
      </c>
      <c r="N73" s="68" t="str">
        <f aca="false">IFERROR(VLOOKUP($M73,$M$3:$Q$14,2,0),"")</f>
        <v>In Pack</v>
      </c>
      <c r="O73" s="68" t="str">
        <f aca="false">IFERROR(VLOOKUP($M73,$M$3:$Q$14,3,0),"")</f>
        <v>Box</v>
      </c>
      <c r="P73" s="69" t="n">
        <f aca="false">IFERROR(VLOOKUP($M73,$M$3:$Q$14,4,0),"")</f>
        <v>2</v>
      </c>
      <c r="Q73" s="68" t="n">
        <f aca="false">IFERROR(VLOOKUP($M73,$M$3:$Q$14,5,0),"")</f>
        <v>0</v>
      </c>
      <c r="R73" s="68" t="n">
        <v>12</v>
      </c>
      <c r="S73" s="70" t="n">
        <f aca="false">S72/12</f>
        <v>31700</v>
      </c>
      <c r="T73" s="71" t="n">
        <f aca="false">S73/1.11</f>
        <v>28558.5585585586</v>
      </c>
      <c r="U73" s="72" t="n">
        <v>30536</v>
      </c>
      <c r="V73" s="72" t="n">
        <v>27510</v>
      </c>
      <c r="W73" s="1" t="e">
        <f aca="false">VLOOKUP($G73,#REF!,2,0)</f>
        <v>#VALUE!</v>
      </c>
    </row>
    <row r="74" customFormat="false" ht="22.5" hidden="true" customHeight="true" outlineLevel="0" collapsed="false">
      <c r="A74" s="53"/>
      <c r="B74" s="53"/>
      <c r="C74" s="68" t="n">
        <v>24</v>
      </c>
      <c r="D74" s="68" t="n">
        <v>20003550</v>
      </c>
      <c r="E74" s="68" t="s">
        <v>105</v>
      </c>
      <c r="F74" s="68" t="s">
        <v>95</v>
      </c>
      <c r="G74" s="68" t="s">
        <v>95</v>
      </c>
      <c r="H74" s="68" t="s">
        <v>96</v>
      </c>
      <c r="I74" s="68" t="s">
        <v>93</v>
      </c>
      <c r="J74" s="69" t="n">
        <v>2</v>
      </c>
      <c r="K74" s="68" t="str">
        <f aca="false">IFERROR(VLOOKUP($J74,$J$10:$K$13,2,0),"")</f>
        <v>SUB DISTRIBUTOR</v>
      </c>
      <c r="L74" s="68" t="s">
        <v>26</v>
      </c>
      <c r="M74" s="69" t="n">
        <v>9</v>
      </c>
      <c r="N74" s="68" t="str">
        <f aca="false">IFERROR(VLOOKUP($M74,$M$3:$Q$14,2,0),"")</f>
        <v>In Pcs</v>
      </c>
      <c r="O74" s="68" t="str">
        <f aca="false">IFERROR(VLOOKUP($M74,$M$3:$Q$14,3,0),"")</f>
        <v>Pcs</v>
      </c>
      <c r="P74" s="69" t="n">
        <f aca="false">IFERROR(VLOOKUP($M74,$M$3:$Q$14,4,0),"")</f>
        <v>4</v>
      </c>
      <c r="Q74" s="68" t="str">
        <f aca="false">IFERROR(VLOOKUP($M74,$M$3:$Q$14,5,0),"")</f>
        <v>small</v>
      </c>
      <c r="R74" s="68" t="n">
        <v>144</v>
      </c>
      <c r="S74" s="70" t="n">
        <f aca="false">S73/12</f>
        <v>2641.66666666667</v>
      </c>
      <c r="T74" s="71" t="n">
        <f aca="false">S74/1.11</f>
        <v>2379.87987987988</v>
      </c>
      <c r="U74" s="72" t="n">
        <v>2547</v>
      </c>
      <c r="V74" s="72" t="n">
        <v>2292</v>
      </c>
      <c r="W74" s="1" t="e">
        <f aca="false">VLOOKUP($G74,#REF!,2,0)</f>
        <v>#VALUE!</v>
      </c>
    </row>
    <row r="75" customFormat="false" ht="22.5" hidden="true" customHeight="true" outlineLevel="0" collapsed="false">
      <c r="A75" s="53"/>
      <c r="B75" s="53"/>
      <c r="C75" s="68" t="n">
        <v>25</v>
      </c>
      <c r="D75" s="68" t="n">
        <v>20003707</v>
      </c>
      <c r="E75" s="68" t="s">
        <v>106</v>
      </c>
      <c r="F75" s="68" t="s">
        <v>95</v>
      </c>
      <c r="G75" s="68" t="s">
        <v>95</v>
      </c>
      <c r="H75" s="68" t="s">
        <v>96</v>
      </c>
      <c r="I75" s="68" t="s">
        <v>93</v>
      </c>
      <c r="J75" s="69" t="n">
        <v>2</v>
      </c>
      <c r="K75" s="68" t="str">
        <f aca="false">IFERROR(VLOOKUP($J75,$J$10:$K$13,2,0),"")</f>
        <v>SUB DISTRIBUTOR</v>
      </c>
      <c r="L75" s="68" t="s">
        <v>26</v>
      </c>
      <c r="M75" s="69" t="n">
        <v>1</v>
      </c>
      <c r="N75" s="68" t="str">
        <f aca="false">IFERROR(VLOOKUP($M75,$M$3:$Q$14,2,0),"")</f>
        <v>In Carton</v>
      </c>
      <c r="O75" s="68" t="str">
        <f aca="false">IFERROR(VLOOKUP($M75,$M$3:$Q$14,3,0),"")</f>
        <v>Carton</v>
      </c>
      <c r="P75" s="69" t="n">
        <f aca="false">IFERROR(VLOOKUP($M75,$M$3:$Q$14,4,0),"")</f>
        <v>1</v>
      </c>
      <c r="Q75" s="68" t="str">
        <f aca="false">IFERROR(VLOOKUP($M75,$M$3:$Q$14,5,0),"")</f>
        <v>large</v>
      </c>
      <c r="R75" s="68" t="n">
        <v>1</v>
      </c>
      <c r="S75" s="70" t="n">
        <f aca="false">31669*12</f>
        <v>380028</v>
      </c>
      <c r="T75" s="71" t="n">
        <f aca="false">S75/1.11</f>
        <v>342367.567567568</v>
      </c>
      <c r="U75" s="72" t="n">
        <f aca="false">V75+(V75*11%)</f>
        <v>366438.75</v>
      </c>
      <c r="V75" s="72" t="n">
        <v>330125</v>
      </c>
      <c r="W75" s="1" t="e">
        <f aca="false">VLOOKUP($G75,#REF!,2,0)</f>
        <v>#VALUE!</v>
      </c>
    </row>
    <row r="76" customFormat="false" ht="22.5" hidden="true" customHeight="true" outlineLevel="0" collapsed="false">
      <c r="A76" s="53"/>
      <c r="B76" s="53"/>
      <c r="C76" s="68" t="n">
        <v>25</v>
      </c>
      <c r="D76" s="68" t="n">
        <v>20003707</v>
      </c>
      <c r="E76" s="68" t="s">
        <v>106</v>
      </c>
      <c r="F76" s="68" t="s">
        <v>95</v>
      </c>
      <c r="G76" s="68" t="s">
        <v>95</v>
      </c>
      <c r="H76" s="68" t="s">
        <v>96</v>
      </c>
      <c r="I76" s="68" t="s">
        <v>93</v>
      </c>
      <c r="J76" s="69" t="n">
        <v>2</v>
      </c>
      <c r="K76" s="68" t="str">
        <f aca="false">IFERROR(VLOOKUP($J76,$J$10:$K$13,2,0),"")</f>
        <v>SUB DISTRIBUTOR</v>
      </c>
      <c r="L76" s="68" t="s">
        <v>26</v>
      </c>
      <c r="M76" s="69" t="n">
        <v>4</v>
      </c>
      <c r="N76" s="68" t="str">
        <f aca="false">IFERROR(VLOOKUP($M76,$M$3:$Q$14,2,0),"")</f>
        <v>In Pack</v>
      </c>
      <c r="O76" s="68" t="str">
        <f aca="false">IFERROR(VLOOKUP($M76,$M$3:$Q$14,3,0),"")</f>
        <v>Box</v>
      </c>
      <c r="P76" s="69" t="n">
        <f aca="false">IFERROR(VLOOKUP($M76,$M$3:$Q$14,4,0),"")</f>
        <v>2</v>
      </c>
      <c r="Q76" s="68" t="n">
        <f aca="false">IFERROR(VLOOKUP($M76,$M$3:$Q$14,5,0),"")</f>
        <v>0</v>
      </c>
      <c r="R76" s="68" t="n">
        <v>12</v>
      </c>
      <c r="S76" s="70" t="n">
        <f aca="false">S75/12</f>
        <v>31669</v>
      </c>
      <c r="T76" s="71" t="n">
        <f aca="false">S76/1.11</f>
        <v>28530.6306306306</v>
      </c>
      <c r="U76" s="72" t="n">
        <v>30536</v>
      </c>
      <c r="V76" s="72" t="n">
        <v>27510</v>
      </c>
      <c r="W76" s="1" t="e">
        <f aca="false">VLOOKUP($G76,#REF!,2,0)</f>
        <v>#VALUE!</v>
      </c>
    </row>
    <row r="77" customFormat="false" ht="22.5" hidden="true" customHeight="true" outlineLevel="0" collapsed="false">
      <c r="A77" s="53"/>
      <c r="B77" s="53"/>
      <c r="C77" s="68" t="n">
        <v>25</v>
      </c>
      <c r="D77" s="68" t="n">
        <v>20003707</v>
      </c>
      <c r="E77" s="68" t="s">
        <v>106</v>
      </c>
      <c r="F77" s="68" t="s">
        <v>95</v>
      </c>
      <c r="G77" s="68" t="s">
        <v>95</v>
      </c>
      <c r="H77" s="68" t="s">
        <v>96</v>
      </c>
      <c r="I77" s="68" t="s">
        <v>93</v>
      </c>
      <c r="J77" s="69" t="n">
        <v>2</v>
      </c>
      <c r="K77" s="68" t="str">
        <f aca="false">IFERROR(VLOOKUP($J77,$J$10:$K$13,2,0),"")</f>
        <v>SUB DISTRIBUTOR</v>
      </c>
      <c r="L77" s="68" t="s">
        <v>26</v>
      </c>
      <c r="M77" s="69" t="n">
        <v>9</v>
      </c>
      <c r="N77" s="68" t="str">
        <f aca="false">IFERROR(VLOOKUP($M77,$M$3:$Q$14,2,0),"")</f>
        <v>In Pcs</v>
      </c>
      <c r="O77" s="68" t="str">
        <f aca="false">IFERROR(VLOOKUP($M77,$M$3:$Q$14,3,0),"")</f>
        <v>Pcs</v>
      </c>
      <c r="P77" s="69" t="n">
        <f aca="false">IFERROR(VLOOKUP($M77,$M$3:$Q$14,4,0),"")</f>
        <v>4</v>
      </c>
      <c r="Q77" s="68" t="str">
        <f aca="false">IFERROR(VLOOKUP($M77,$M$3:$Q$14,5,0),"")</f>
        <v>small</v>
      </c>
      <c r="R77" s="68" t="n">
        <v>144</v>
      </c>
      <c r="S77" s="70" t="n">
        <f aca="false">S76/12</f>
        <v>2639.08333333333</v>
      </c>
      <c r="T77" s="71" t="n">
        <f aca="false">S77/1.11</f>
        <v>2377.55255255255</v>
      </c>
      <c r="U77" s="72" t="n">
        <v>2547</v>
      </c>
      <c r="V77" s="72" t="n">
        <v>2292</v>
      </c>
      <c r="W77" s="1" t="e">
        <f aca="false">VLOOKUP($G77,#REF!,2,0)</f>
        <v>#VALUE!</v>
      </c>
    </row>
    <row r="78" customFormat="false" ht="22.5" hidden="true" customHeight="true" outlineLevel="0" collapsed="false">
      <c r="A78" s="53"/>
      <c r="B78" s="53"/>
      <c r="C78" s="68" t="n">
        <v>26</v>
      </c>
      <c r="D78" s="68" t="n">
        <v>20002628</v>
      </c>
      <c r="E78" s="68" t="s">
        <v>107</v>
      </c>
      <c r="F78" s="68" t="s">
        <v>95</v>
      </c>
      <c r="G78" s="68" t="s">
        <v>95</v>
      </c>
      <c r="H78" s="68" t="s">
        <v>96</v>
      </c>
      <c r="I78" s="68" t="s">
        <v>93</v>
      </c>
      <c r="J78" s="69" t="n">
        <v>2</v>
      </c>
      <c r="K78" s="68" t="str">
        <f aca="false">IFERROR(VLOOKUP($J78,$J$10:$K$13,2,0),"")</f>
        <v>SUB DISTRIBUTOR</v>
      </c>
      <c r="L78" s="68" t="s">
        <v>26</v>
      </c>
      <c r="M78" s="69" t="n">
        <v>1</v>
      </c>
      <c r="N78" s="68" t="str">
        <f aca="false">IFERROR(VLOOKUP($M78,$M$3:$Q$14,2,0),"")</f>
        <v>In Carton</v>
      </c>
      <c r="O78" s="68" t="str">
        <f aca="false">IFERROR(VLOOKUP($M78,$M$3:$Q$14,3,0),"")</f>
        <v>Carton</v>
      </c>
      <c r="P78" s="69" t="n">
        <f aca="false">IFERROR(VLOOKUP($M78,$M$3:$Q$14,4,0),"")</f>
        <v>1</v>
      </c>
      <c r="Q78" s="68" t="str">
        <f aca="false">IFERROR(VLOOKUP($M78,$M$3:$Q$14,5,0),"")</f>
        <v>large</v>
      </c>
      <c r="R78" s="68" t="n">
        <v>1</v>
      </c>
      <c r="S78" s="70" t="n">
        <f aca="false">38614*12</f>
        <v>463368</v>
      </c>
      <c r="T78" s="71" t="n">
        <f aca="false">S78/1.11</f>
        <v>417448.648648649</v>
      </c>
      <c r="U78" s="72" t="n">
        <f aca="false">V78+(V78*11%)</f>
        <v>446942.61</v>
      </c>
      <c r="V78" s="72" t="n">
        <v>402651</v>
      </c>
      <c r="W78" s="1" t="e">
        <f aca="false">VLOOKUP($G78,#REF!,2,0)</f>
        <v>#VALUE!</v>
      </c>
    </row>
    <row r="79" customFormat="false" ht="22.5" hidden="true" customHeight="true" outlineLevel="0" collapsed="false">
      <c r="A79" s="53"/>
      <c r="B79" s="53"/>
      <c r="C79" s="68" t="n">
        <v>26</v>
      </c>
      <c r="D79" s="68" t="n">
        <v>20002628</v>
      </c>
      <c r="E79" s="68" t="s">
        <v>107</v>
      </c>
      <c r="F79" s="68" t="s">
        <v>95</v>
      </c>
      <c r="G79" s="68" t="s">
        <v>95</v>
      </c>
      <c r="H79" s="68" t="s">
        <v>96</v>
      </c>
      <c r="I79" s="68" t="s">
        <v>93</v>
      </c>
      <c r="J79" s="69" t="n">
        <v>2</v>
      </c>
      <c r="K79" s="68" t="str">
        <f aca="false">IFERROR(VLOOKUP($J79,$J$10:$K$13,2,0),"")</f>
        <v>SUB DISTRIBUTOR</v>
      </c>
      <c r="L79" s="68" t="s">
        <v>26</v>
      </c>
      <c r="M79" s="69" t="n">
        <v>4</v>
      </c>
      <c r="N79" s="68" t="str">
        <f aca="false">IFERROR(VLOOKUP($M79,$M$3:$Q$14,2,0),"")</f>
        <v>In Pack</v>
      </c>
      <c r="O79" s="68" t="str">
        <f aca="false">IFERROR(VLOOKUP($M79,$M$3:$Q$14,3,0),"")</f>
        <v>Box</v>
      </c>
      <c r="P79" s="69" t="n">
        <f aca="false">IFERROR(VLOOKUP($M79,$M$3:$Q$14,4,0),"")</f>
        <v>2</v>
      </c>
      <c r="Q79" s="68" t="n">
        <f aca="false">IFERROR(VLOOKUP($M79,$M$3:$Q$14,5,0),"")</f>
        <v>0</v>
      </c>
      <c r="R79" s="68" t="n">
        <v>12</v>
      </c>
      <c r="S79" s="70" t="n">
        <f aca="false">S78/12</f>
        <v>38614</v>
      </c>
      <c r="T79" s="71" t="n">
        <f aca="false">S79/1.11</f>
        <v>34787.3873873874</v>
      </c>
      <c r="U79" s="72" t="n">
        <v>3724</v>
      </c>
      <c r="V79" s="72" t="n">
        <v>33554</v>
      </c>
      <c r="W79" s="1" t="e">
        <f aca="false">VLOOKUP($G79,#REF!,2,0)</f>
        <v>#VALUE!</v>
      </c>
    </row>
    <row r="80" customFormat="false" ht="22.5" hidden="true" customHeight="true" outlineLevel="0" collapsed="false">
      <c r="A80" s="53"/>
      <c r="B80" s="53"/>
      <c r="C80" s="68" t="n">
        <v>26</v>
      </c>
      <c r="D80" s="68" t="n">
        <v>20002628</v>
      </c>
      <c r="E80" s="68" t="s">
        <v>107</v>
      </c>
      <c r="F80" s="68" t="s">
        <v>95</v>
      </c>
      <c r="G80" s="68" t="s">
        <v>95</v>
      </c>
      <c r="H80" s="68" t="s">
        <v>96</v>
      </c>
      <c r="I80" s="68" t="s">
        <v>93</v>
      </c>
      <c r="J80" s="69" t="n">
        <v>2</v>
      </c>
      <c r="K80" s="68" t="str">
        <f aca="false">IFERROR(VLOOKUP($J80,$J$10:$K$13,2,0),"")</f>
        <v>SUB DISTRIBUTOR</v>
      </c>
      <c r="L80" s="68" t="s">
        <v>26</v>
      </c>
      <c r="M80" s="69" t="n">
        <v>9</v>
      </c>
      <c r="N80" s="68" t="str">
        <f aca="false">IFERROR(VLOOKUP($M80,$M$3:$Q$14,2,0),"")</f>
        <v>In Pcs</v>
      </c>
      <c r="O80" s="68" t="str">
        <f aca="false">IFERROR(VLOOKUP($M80,$M$3:$Q$14,3,0),"")</f>
        <v>Pcs</v>
      </c>
      <c r="P80" s="69" t="n">
        <f aca="false">IFERROR(VLOOKUP($M80,$M$3:$Q$14,4,0),"")</f>
        <v>4</v>
      </c>
      <c r="Q80" s="68" t="str">
        <f aca="false">IFERROR(VLOOKUP($M80,$M$3:$Q$14,5,0),"")</f>
        <v>small</v>
      </c>
      <c r="R80" s="68" t="n">
        <v>144</v>
      </c>
      <c r="S80" s="70" t="n">
        <f aca="false">S79/12</f>
        <v>3217.83333333333</v>
      </c>
      <c r="T80" s="71" t="n">
        <f aca="false">S80/1.11</f>
        <v>2898.94894894895</v>
      </c>
      <c r="U80" s="72" t="n">
        <v>3103</v>
      </c>
      <c r="V80" s="72" t="n">
        <v>2796</v>
      </c>
      <c r="W80" s="1" t="e">
        <f aca="false">VLOOKUP($G80,#REF!,2,0)</f>
        <v>#VALUE!</v>
      </c>
    </row>
    <row r="81" customFormat="false" ht="22.5" hidden="true" customHeight="true" outlineLevel="0" collapsed="false">
      <c r="A81" s="53"/>
      <c r="B81" s="53"/>
      <c r="C81" s="68" t="n">
        <v>27</v>
      </c>
      <c r="D81" s="68" t="n">
        <v>20002629</v>
      </c>
      <c r="E81" s="68" t="s">
        <v>108</v>
      </c>
      <c r="F81" s="68" t="s">
        <v>95</v>
      </c>
      <c r="G81" s="68" t="s">
        <v>95</v>
      </c>
      <c r="H81" s="68" t="s">
        <v>96</v>
      </c>
      <c r="I81" s="68" t="s">
        <v>93</v>
      </c>
      <c r="J81" s="69" t="n">
        <v>2</v>
      </c>
      <c r="K81" s="68" t="str">
        <f aca="false">IFERROR(VLOOKUP($J81,$J$10:$K$13,2,0),"")</f>
        <v>SUB DISTRIBUTOR</v>
      </c>
      <c r="L81" s="68" t="s">
        <v>26</v>
      </c>
      <c r="M81" s="69" t="n">
        <v>1</v>
      </c>
      <c r="N81" s="68" t="str">
        <f aca="false">IFERROR(VLOOKUP($M81,$M$3:$Q$14,2,0),"")</f>
        <v>In Carton</v>
      </c>
      <c r="O81" s="68" t="str">
        <f aca="false">IFERROR(VLOOKUP($M81,$M$3:$Q$14,3,0),"")</f>
        <v>Carton</v>
      </c>
      <c r="P81" s="69" t="n">
        <f aca="false">IFERROR(VLOOKUP($M81,$M$3:$Q$14,4,0),"")</f>
        <v>1</v>
      </c>
      <c r="Q81" s="68" t="str">
        <f aca="false">IFERROR(VLOOKUP($M81,$M$3:$Q$14,5,0),"")</f>
        <v>large</v>
      </c>
      <c r="R81" s="68" t="n">
        <v>1</v>
      </c>
      <c r="S81" s="70" t="n">
        <f aca="false">38614*12</f>
        <v>463368</v>
      </c>
      <c r="T81" s="71" t="n">
        <f aca="false">S81/1.11</f>
        <v>417448.648648649</v>
      </c>
      <c r="U81" s="72" t="n">
        <f aca="false">V81+(V81*11%)</f>
        <v>446942.61</v>
      </c>
      <c r="V81" s="72" t="n">
        <v>402651</v>
      </c>
      <c r="W81" s="1" t="e">
        <f aca="false">VLOOKUP($G81,#REF!,2,0)</f>
        <v>#VALUE!</v>
      </c>
    </row>
    <row r="82" customFormat="false" ht="22.5" hidden="true" customHeight="true" outlineLevel="0" collapsed="false">
      <c r="A82" s="53"/>
      <c r="B82" s="53"/>
      <c r="C82" s="68" t="n">
        <v>27</v>
      </c>
      <c r="D82" s="68" t="n">
        <v>20002629</v>
      </c>
      <c r="E82" s="68" t="s">
        <v>108</v>
      </c>
      <c r="F82" s="68" t="s">
        <v>95</v>
      </c>
      <c r="G82" s="68" t="s">
        <v>95</v>
      </c>
      <c r="H82" s="68" t="s">
        <v>96</v>
      </c>
      <c r="I82" s="68" t="s">
        <v>93</v>
      </c>
      <c r="J82" s="69" t="n">
        <v>2</v>
      </c>
      <c r="K82" s="68" t="str">
        <f aca="false">IFERROR(VLOOKUP($J82,$J$10:$K$13,2,0),"")</f>
        <v>SUB DISTRIBUTOR</v>
      </c>
      <c r="L82" s="68" t="s">
        <v>26</v>
      </c>
      <c r="M82" s="69" t="n">
        <v>4</v>
      </c>
      <c r="N82" s="68" t="str">
        <f aca="false">IFERROR(VLOOKUP($M82,$M$3:$Q$14,2,0),"")</f>
        <v>In Pack</v>
      </c>
      <c r="O82" s="68" t="str">
        <f aca="false">IFERROR(VLOOKUP($M82,$M$3:$Q$14,3,0),"")</f>
        <v>Box</v>
      </c>
      <c r="P82" s="69" t="n">
        <f aca="false">IFERROR(VLOOKUP($M82,$M$3:$Q$14,4,0),"")</f>
        <v>2</v>
      </c>
      <c r="Q82" s="68" t="n">
        <f aca="false">IFERROR(VLOOKUP($M82,$M$3:$Q$14,5,0),"")</f>
        <v>0</v>
      </c>
      <c r="R82" s="68" t="n">
        <v>12</v>
      </c>
      <c r="S82" s="70" t="n">
        <f aca="false">S81/12</f>
        <v>38614</v>
      </c>
      <c r="T82" s="71" t="n">
        <f aca="false">S82/1.11</f>
        <v>34787.3873873874</v>
      </c>
      <c r="U82" s="72" t="n">
        <v>3724</v>
      </c>
      <c r="V82" s="72" t="n">
        <v>33554</v>
      </c>
      <c r="W82" s="1" t="e">
        <f aca="false">VLOOKUP($G82,#REF!,2,0)</f>
        <v>#VALUE!</v>
      </c>
    </row>
    <row r="83" customFormat="false" ht="22.5" hidden="true" customHeight="true" outlineLevel="0" collapsed="false">
      <c r="A83" s="53"/>
      <c r="B83" s="53"/>
      <c r="C83" s="68" t="n">
        <v>27</v>
      </c>
      <c r="D83" s="68" t="n">
        <v>20002629</v>
      </c>
      <c r="E83" s="68" t="s">
        <v>108</v>
      </c>
      <c r="F83" s="68" t="s">
        <v>95</v>
      </c>
      <c r="G83" s="68" t="s">
        <v>95</v>
      </c>
      <c r="H83" s="68" t="s">
        <v>96</v>
      </c>
      <c r="I83" s="68" t="s">
        <v>93</v>
      </c>
      <c r="J83" s="69" t="n">
        <v>2</v>
      </c>
      <c r="K83" s="68" t="str">
        <f aca="false">IFERROR(VLOOKUP($J83,$J$10:$K$13,2,0),"")</f>
        <v>SUB DISTRIBUTOR</v>
      </c>
      <c r="L83" s="68" t="s">
        <v>26</v>
      </c>
      <c r="M83" s="69" t="n">
        <v>9</v>
      </c>
      <c r="N83" s="68" t="str">
        <f aca="false">IFERROR(VLOOKUP($M83,$M$3:$Q$14,2,0),"")</f>
        <v>In Pcs</v>
      </c>
      <c r="O83" s="68" t="str">
        <f aca="false">IFERROR(VLOOKUP($M83,$M$3:$Q$14,3,0),"")</f>
        <v>Pcs</v>
      </c>
      <c r="P83" s="69" t="n">
        <f aca="false">IFERROR(VLOOKUP($M83,$M$3:$Q$14,4,0),"")</f>
        <v>4</v>
      </c>
      <c r="Q83" s="68" t="str">
        <f aca="false">IFERROR(VLOOKUP($M83,$M$3:$Q$14,5,0),"")</f>
        <v>small</v>
      </c>
      <c r="R83" s="68" t="n">
        <v>144</v>
      </c>
      <c r="S83" s="70" t="n">
        <f aca="false">S82/12</f>
        <v>3217.83333333333</v>
      </c>
      <c r="T83" s="71" t="n">
        <f aca="false">S83/1.11</f>
        <v>2898.94894894895</v>
      </c>
      <c r="U83" s="72" t="n">
        <v>3103</v>
      </c>
      <c r="V83" s="72" t="n">
        <v>2796</v>
      </c>
      <c r="W83" s="1" t="e">
        <f aca="false">VLOOKUP($G83,#REF!,2,0)</f>
        <v>#VALUE!</v>
      </c>
    </row>
    <row r="84" customFormat="false" ht="22.5" hidden="true" customHeight="true" outlineLevel="0" collapsed="false">
      <c r="A84" s="53"/>
      <c r="B84" s="53"/>
      <c r="C84" s="68" t="n">
        <v>28</v>
      </c>
      <c r="D84" s="68" t="n">
        <v>20002626</v>
      </c>
      <c r="E84" s="68" t="s">
        <v>109</v>
      </c>
      <c r="F84" s="68" t="s">
        <v>95</v>
      </c>
      <c r="G84" s="68" t="s">
        <v>95</v>
      </c>
      <c r="H84" s="68" t="s">
        <v>96</v>
      </c>
      <c r="I84" s="68" t="s">
        <v>93</v>
      </c>
      <c r="J84" s="69" t="n">
        <v>2</v>
      </c>
      <c r="K84" s="68" t="str">
        <f aca="false">IFERROR(VLOOKUP($J84,$J$10:$K$13,2,0),"")</f>
        <v>SUB DISTRIBUTOR</v>
      </c>
      <c r="L84" s="68" t="s">
        <v>26</v>
      </c>
      <c r="M84" s="69" t="n">
        <v>1</v>
      </c>
      <c r="N84" s="68" t="str">
        <f aca="false">IFERROR(VLOOKUP($M84,$M$3:$Q$14,2,0),"")</f>
        <v>In Carton</v>
      </c>
      <c r="O84" s="68" t="str">
        <f aca="false">IFERROR(VLOOKUP($M84,$M$3:$Q$14,3,0),"")</f>
        <v>Carton</v>
      </c>
      <c r="P84" s="69" t="n">
        <f aca="false">IFERROR(VLOOKUP($M84,$M$3:$Q$14,4,0),"")</f>
        <v>1</v>
      </c>
      <c r="Q84" s="68" t="str">
        <f aca="false">IFERROR(VLOOKUP($M84,$M$3:$Q$14,5,0),"")</f>
        <v>large</v>
      </c>
      <c r="R84" s="68" t="n">
        <v>1</v>
      </c>
      <c r="S84" s="70" t="n">
        <f aca="false">38614*12</f>
        <v>463368</v>
      </c>
      <c r="T84" s="71" t="n">
        <f aca="false">S84/1.11</f>
        <v>417448.648648649</v>
      </c>
      <c r="U84" s="72" t="n">
        <f aca="false">V84+(V84*11%)</f>
        <v>446942.61</v>
      </c>
      <c r="V84" s="72" t="n">
        <v>402651</v>
      </c>
      <c r="W84" s="1" t="e">
        <f aca="false">VLOOKUP($G84,#REF!,2,0)</f>
        <v>#VALUE!</v>
      </c>
    </row>
    <row r="85" customFormat="false" ht="22.5" hidden="true" customHeight="true" outlineLevel="0" collapsed="false">
      <c r="A85" s="53"/>
      <c r="B85" s="53"/>
      <c r="C85" s="68" t="n">
        <v>28</v>
      </c>
      <c r="D85" s="68" t="n">
        <v>20002626</v>
      </c>
      <c r="E85" s="68" t="s">
        <v>109</v>
      </c>
      <c r="F85" s="68" t="s">
        <v>95</v>
      </c>
      <c r="G85" s="68" t="s">
        <v>95</v>
      </c>
      <c r="H85" s="68" t="s">
        <v>96</v>
      </c>
      <c r="I85" s="68" t="s">
        <v>93</v>
      </c>
      <c r="J85" s="69" t="n">
        <v>2</v>
      </c>
      <c r="K85" s="68" t="str">
        <f aca="false">IFERROR(VLOOKUP($J85,$J$10:$K$13,2,0),"")</f>
        <v>SUB DISTRIBUTOR</v>
      </c>
      <c r="L85" s="68" t="s">
        <v>26</v>
      </c>
      <c r="M85" s="69" t="n">
        <v>4</v>
      </c>
      <c r="N85" s="68" t="str">
        <f aca="false">IFERROR(VLOOKUP($M85,$M$3:$Q$14,2,0),"")</f>
        <v>In Pack</v>
      </c>
      <c r="O85" s="68" t="str">
        <f aca="false">IFERROR(VLOOKUP($M85,$M$3:$Q$14,3,0),"")</f>
        <v>Box</v>
      </c>
      <c r="P85" s="69" t="n">
        <f aca="false">IFERROR(VLOOKUP($M85,$M$3:$Q$14,4,0),"")</f>
        <v>2</v>
      </c>
      <c r="Q85" s="68" t="n">
        <f aca="false">IFERROR(VLOOKUP($M85,$M$3:$Q$14,5,0),"")</f>
        <v>0</v>
      </c>
      <c r="R85" s="68" t="n">
        <v>12</v>
      </c>
      <c r="S85" s="70" t="n">
        <f aca="false">S84/12</f>
        <v>38614</v>
      </c>
      <c r="T85" s="71" t="n">
        <f aca="false">S85/1.11</f>
        <v>34787.3873873874</v>
      </c>
      <c r="U85" s="72" t="n">
        <v>3724</v>
      </c>
      <c r="V85" s="72" t="n">
        <v>33554</v>
      </c>
      <c r="W85" s="1" t="e">
        <f aca="false">VLOOKUP($G85,#REF!,2,0)</f>
        <v>#VALUE!</v>
      </c>
    </row>
    <row r="86" customFormat="false" ht="22.5" hidden="true" customHeight="true" outlineLevel="0" collapsed="false">
      <c r="A86" s="53"/>
      <c r="B86" s="53"/>
      <c r="C86" s="68" t="n">
        <v>28</v>
      </c>
      <c r="D86" s="68" t="n">
        <v>20002626</v>
      </c>
      <c r="E86" s="68" t="s">
        <v>109</v>
      </c>
      <c r="F86" s="68" t="s">
        <v>95</v>
      </c>
      <c r="G86" s="68" t="s">
        <v>95</v>
      </c>
      <c r="H86" s="68" t="s">
        <v>96</v>
      </c>
      <c r="I86" s="68" t="s">
        <v>93</v>
      </c>
      <c r="J86" s="69" t="n">
        <v>2</v>
      </c>
      <c r="K86" s="68" t="str">
        <f aca="false">IFERROR(VLOOKUP($J86,$J$10:$K$13,2,0),"")</f>
        <v>SUB DISTRIBUTOR</v>
      </c>
      <c r="L86" s="68" t="s">
        <v>26</v>
      </c>
      <c r="M86" s="69" t="n">
        <v>9</v>
      </c>
      <c r="N86" s="68" t="str">
        <f aca="false">IFERROR(VLOOKUP($M86,$M$3:$Q$14,2,0),"")</f>
        <v>In Pcs</v>
      </c>
      <c r="O86" s="68" t="str">
        <f aca="false">IFERROR(VLOOKUP($M86,$M$3:$Q$14,3,0),"")</f>
        <v>Pcs</v>
      </c>
      <c r="P86" s="69" t="n">
        <f aca="false">IFERROR(VLOOKUP($M86,$M$3:$Q$14,4,0),"")</f>
        <v>4</v>
      </c>
      <c r="Q86" s="68" t="str">
        <f aca="false">IFERROR(VLOOKUP($M86,$M$3:$Q$14,5,0),"")</f>
        <v>small</v>
      </c>
      <c r="R86" s="68" t="n">
        <v>144</v>
      </c>
      <c r="S86" s="70" t="n">
        <f aca="false">S85/12</f>
        <v>3217.83333333333</v>
      </c>
      <c r="T86" s="71" t="n">
        <f aca="false">S86/1.11</f>
        <v>2898.94894894895</v>
      </c>
      <c r="U86" s="72" t="n">
        <v>3103</v>
      </c>
      <c r="V86" s="72" t="n">
        <v>2796</v>
      </c>
      <c r="W86" s="1" t="e">
        <f aca="false">VLOOKUP($G86,#REF!,2,0)</f>
        <v>#VALUE!</v>
      </c>
    </row>
    <row r="87" customFormat="false" ht="22.5" hidden="true" customHeight="true" outlineLevel="0" collapsed="false">
      <c r="A87" s="53"/>
      <c r="B87" s="53"/>
      <c r="C87" s="68" t="n">
        <v>29</v>
      </c>
      <c r="D87" s="68" t="n">
        <v>20002627</v>
      </c>
      <c r="E87" s="68" t="s">
        <v>110</v>
      </c>
      <c r="F87" s="68" t="s">
        <v>95</v>
      </c>
      <c r="G87" s="68" t="s">
        <v>95</v>
      </c>
      <c r="H87" s="68" t="s">
        <v>96</v>
      </c>
      <c r="I87" s="68" t="s">
        <v>93</v>
      </c>
      <c r="J87" s="69" t="n">
        <v>2</v>
      </c>
      <c r="K87" s="68" t="str">
        <f aca="false">IFERROR(VLOOKUP($J87,$J$10:$K$13,2,0),"")</f>
        <v>SUB DISTRIBUTOR</v>
      </c>
      <c r="L87" s="68" t="s">
        <v>26</v>
      </c>
      <c r="M87" s="69" t="n">
        <v>1</v>
      </c>
      <c r="N87" s="68" t="str">
        <f aca="false">IFERROR(VLOOKUP($M87,$M$3:$Q$14,2,0),"")</f>
        <v>In Carton</v>
      </c>
      <c r="O87" s="68" t="str">
        <f aca="false">IFERROR(VLOOKUP($M87,$M$3:$Q$14,3,0),"")</f>
        <v>Carton</v>
      </c>
      <c r="P87" s="69" t="n">
        <f aca="false">IFERROR(VLOOKUP($M87,$M$3:$Q$14,4,0),"")</f>
        <v>1</v>
      </c>
      <c r="Q87" s="68" t="str">
        <f aca="false">IFERROR(VLOOKUP($M87,$M$3:$Q$14,5,0),"")</f>
        <v>large</v>
      </c>
      <c r="R87" s="68" t="n">
        <v>1</v>
      </c>
      <c r="S87" s="70" t="n">
        <f aca="false">38614*12</f>
        <v>463368</v>
      </c>
      <c r="T87" s="71" t="n">
        <f aca="false">S87/1.11</f>
        <v>417448.648648649</v>
      </c>
      <c r="U87" s="72" t="n">
        <f aca="false">V87+(V87*11%)</f>
        <v>446942.61</v>
      </c>
      <c r="V87" s="72" t="n">
        <v>402651</v>
      </c>
      <c r="W87" s="1" t="e">
        <f aca="false">VLOOKUP($G87,#REF!,2,0)</f>
        <v>#VALUE!</v>
      </c>
    </row>
    <row r="88" customFormat="false" ht="22.5" hidden="true" customHeight="true" outlineLevel="0" collapsed="false">
      <c r="A88" s="53"/>
      <c r="B88" s="53"/>
      <c r="C88" s="68" t="n">
        <v>29</v>
      </c>
      <c r="D88" s="68" t="n">
        <v>20002627</v>
      </c>
      <c r="E88" s="68" t="s">
        <v>110</v>
      </c>
      <c r="F88" s="68" t="s">
        <v>95</v>
      </c>
      <c r="G88" s="68" t="s">
        <v>95</v>
      </c>
      <c r="H88" s="68" t="s">
        <v>96</v>
      </c>
      <c r="I88" s="68" t="s">
        <v>93</v>
      </c>
      <c r="J88" s="69" t="n">
        <v>2</v>
      </c>
      <c r="K88" s="68" t="str">
        <f aca="false">IFERROR(VLOOKUP($J88,$J$10:$K$13,2,0),"")</f>
        <v>SUB DISTRIBUTOR</v>
      </c>
      <c r="L88" s="68" t="s">
        <v>26</v>
      </c>
      <c r="M88" s="69" t="n">
        <v>4</v>
      </c>
      <c r="N88" s="68" t="str">
        <f aca="false">IFERROR(VLOOKUP($M88,$M$3:$Q$14,2,0),"")</f>
        <v>In Pack</v>
      </c>
      <c r="O88" s="68" t="str">
        <f aca="false">IFERROR(VLOOKUP($M88,$M$3:$Q$14,3,0),"")</f>
        <v>Box</v>
      </c>
      <c r="P88" s="69" t="n">
        <f aca="false">IFERROR(VLOOKUP($M88,$M$3:$Q$14,4,0),"")</f>
        <v>2</v>
      </c>
      <c r="Q88" s="68" t="n">
        <f aca="false">IFERROR(VLOOKUP($M88,$M$3:$Q$14,5,0),"")</f>
        <v>0</v>
      </c>
      <c r="R88" s="68" t="n">
        <v>12</v>
      </c>
      <c r="S88" s="70" t="n">
        <f aca="false">S87/12</f>
        <v>38614</v>
      </c>
      <c r="T88" s="71" t="n">
        <f aca="false">S88/1.11</f>
        <v>34787.3873873874</v>
      </c>
      <c r="U88" s="72" t="n">
        <v>3724</v>
      </c>
      <c r="V88" s="72" t="n">
        <v>33554</v>
      </c>
      <c r="W88" s="1" t="e">
        <f aca="false">VLOOKUP($G88,#REF!,2,0)</f>
        <v>#VALUE!</v>
      </c>
    </row>
    <row r="89" customFormat="false" ht="22.5" hidden="true" customHeight="true" outlineLevel="0" collapsed="false">
      <c r="A89" s="53"/>
      <c r="B89" s="53"/>
      <c r="C89" s="68" t="n">
        <v>29</v>
      </c>
      <c r="D89" s="68" t="n">
        <v>20002627</v>
      </c>
      <c r="E89" s="68" t="s">
        <v>110</v>
      </c>
      <c r="F89" s="68" t="s">
        <v>95</v>
      </c>
      <c r="G89" s="68" t="s">
        <v>95</v>
      </c>
      <c r="H89" s="68" t="s">
        <v>96</v>
      </c>
      <c r="I89" s="68" t="s">
        <v>93</v>
      </c>
      <c r="J89" s="69" t="n">
        <v>2</v>
      </c>
      <c r="K89" s="68" t="str">
        <f aca="false">IFERROR(VLOOKUP($J89,$J$10:$K$13,2,0),"")</f>
        <v>SUB DISTRIBUTOR</v>
      </c>
      <c r="L89" s="68" t="s">
        <v>26</v>
      </c>
      <c r="M89" s="69" t="n">
        <v>9</v>
      </c>
      <c r="N89" s="68" t="str">
        <f aca="false">IFERROR(VLOOKUP($M89,$M$3:$Q$14,2,0),"")</f>
        <v>In Pcs</v>
      </c>
      <c r="O89" s="68" t="str">
        <f aca="false">IFERROR(VLOOKUP($M89,$M$3:$Q$14,3,0),"")</f>
        <v>Pcs</v>
      </c>
      <c r="P89" s="69" t="n">
        <f aca="false">IFERROR(VLOOKUP($M89,$M$3:$Q$14,4,0),"")</f>
        <v>4</v>
      </c>
      <c r="Q89" s="68" t="str">
        <f aca="false">IFERROR(VLOOKUP($M89,$M$3:$Q$14,5,0),"")</f>
        <v>small</v>
      </c>
      <c r="R89" s="68" t="n">
        <v>144</v>
      </c>
      <c r="S89" s="70" t="n">
        <f aca="false">S88/12</f>
        <v>3217.83333333333</v>
      </c>
      <c r="T89" s="71" t="n">
        <f aca="false">S89/1.11</f>
        <v>2898.94894894895</v>
      </c>
      <c r="U89" s="72" t="n">
        <v>3103</v>
      </c>
      <c r="V89" s="72" t="n">
        <v>2796</v>
      </c>
      <c r="W89" s="1" t="e">
        <f aca="false">VLOOKUP($G89,#REF!,2,0)</f>
        <v>#VALUE!</v>
      </c>
    </row>
    <row r="90" customFormat="false" ht="22.5" hidden="true" customHeight="true" outlineLevel="0" collapsed="false">
      <c r="A90" s="53"/>
      <c r="B90" s="53"/>
      <c r="C90" s="68" t="n">
        <v>30</v>
      </c>
      <c r="D90" s="68" t="n">
        <v>20002643</v>
      </c>
      <c r="E90" s="68" t="s">
        <v>111</v>
      </c>
      <c r="F90" s="68" t="s">
        <v>95</v>
      </c>
      <c r="G90" s="68" t="s">
        <v>112</v>
      </c>
      <c r="H90" s="68" t="s">
        <v>96</v>
      </c>
      <c r="I90" s="68" t="s">
        <v>93</v>
      </c>
      <c r="J90" s="69" t="n">
        <v>2</v>
      </c>
      <c r="K90" s="68" t="str">
        <f aca="false">IFERROR(VLOOKUP($J90,$J$10:$K$13,2,0),"")</f>
        <v>SUB DISTRIBUTOR</v>
      </c>
      <c r="L90" s="68" t="s">
        <v>26</v>
      </c>
      <c r="M90" s="69" t="n">
        <v>1</v>
      </c>
      <c r="N90" s="68" t="str">
        <f aca="false">IFERROR(VLOOKUP($M90,$M$3:$Q$14,2,0),"")</f>
        <v>In Carton</v>
      </c>
      <c r="O90" s="68" t="str">
        <f aca="false">IFERROR(VLOOKUP($M90,$M$3:$Q$14,3,0),"")</f>
        <v>Carton</v>
      </c>
      <c r="P90" s="69" t="n">
        <f aca="false">IFERROR(VLOOKUP($M90,$M$3:$Q$14,4,0),"")</f>
        <v>1</v>
      </c>
      <c r="Q90" s="68" t="str">
        <f aca="false">IFERROR(VLOOKUP($M90,$M$3:$Q$14,5,0),"")</f>
        <v>large</v>
      </c>
      <c r="R90" s="68" t="n">
        <v>1</v>
      </c>
      <c r="S90" s="70" t="n">
        <f aca="false">52045*8</f>
        <v>416360</v>
      </c>
      <c r="T90" s="71" t="n">
        <f aca="false">S90/1.11</f>
        <v>375099.099099099</v>
      </c>
      <c r="U90" s="72" t="n">
        <f aca="false">V90+(V90*11%)</f>
        <v>446942.61</v>
      </c>
      <c r="V90" s="72" t="n">
        <v>402651</v>
      </c>
      <c r="W90" s="1" t="e">
        <f aca="false">VLOOKUP($G90,#REF!,2,0)</f>
        <v>#VALUE!</v>
      </c>
    </row>
    <row r="91" customFormat="false" ht="22.5" hidden="true" customHeight="true" outlineLevel="0" collapsed="false">
      <c r="A91" s="53"/>
      <c r="B91" s="53"/>
      <c r="C91" s="68" t="n">
        <v>30</v>
      </c>
      <c r="D91" s="68" t="n">
        <v>20002643</v>
      </c>
      <c r="E91" s="68" t="s">
        <v>111</v>
      </c>
      <c r="F91" s="68" t="s">
        <v>95</v>
      </c>
      <c r="G91" s="68" t="s">
        <v>112</v>
      </c>
      <c r="H91" s="68" t="s">
        <v>96</v>
      </c>
      <c r="I91" s="68" t="s">
        <v>93</v>
      </c>
      <c r="J91" s="69" t="n">
        <v>2</v>
      </c>
      <c r="K91" s="68" t="str">
        <f aca="false">IFERROR(VLOOKUP($J91,$J$10:$K$13,2,0),"")</f>
        <v>SUB DISTRIBUTOR</v>
      </c>
      <c r="L91" s="68" t="s">
        <v>26</v>
      </c>
      <c r="M91" s="69" t="n">
        <v>4</v>
      </c>
      <c r="N91" s="68" t="str">
        <f aca="false">IFERROR(VLOOKUP($M91,$M$3:$Q$14,2,0),"")</f>
        <v>In Pack</v>
      </c>
      <c r="O91" s="68" t="str">
        <f aca="false">IFERROR(VLOOKUP($M91,$M$3:$Q$14,3,0),"")</f>
        <v>Box</v>
      </c>
      <c r="P91" s="69" t="n">
        <f aca="false">IFERROR(VLOOKUP($M91,$M$3:$Q$14,4,0),"")</f>
        <v>2</v>
      </c>
      <c r="Q91" s="68" t="n">
        <f aca="false">IFERROR(VLOOKUP($M91,$M$3:$Q$14,5,0),"")</f>
        <v>0</v>
      </c>
      <c r="R91" s="68" t="n">
        <v>8</v>
      </c>
      <c r="S91" s="70" t="n">
        <f aca="false">S90/8</f>
        <v>52045</v>
      </c>
      <c r="T91" s="71" t="n">
        <f aca="false">S91/1.11</f>
        <v>46887.3873873874</v>
      </c>
      <c r="U91" s="72" t="n">
        <v>3724</v>
      </c>
      <c r="V91" s="72" t="n">
        <v>33554</v>
      </c>
      <c r="W91" s="1" t="e">
        <f aca="false">VLOOKUP($G91,#REF!,2,0)</f>
        <v>#VALUE!</v>
      </c>
    </row>
    <row r="92" customFormat="false" ht="22.5" hidden="true" customHeight="true" outlineLevel="0" collapsed="false">
      <c r="A92" s="53"/>
      <c r="B92" s="53"/>
      <c r="C92" s="68" t="n">
        <v>30</v>
      </c>
      <c r="D92" s="68" t="n">
        <v>20002643</v>
      </c>
      <c r="E92" s="68" t="s">
        <v>111</v>
      </c>
      <c r="F92" s="68" t="s">
        <v>95</v>
      </c>
      <c r="G92" s="68" t="s">
        <v>112</v>
      </c>
      <c r="H92" s="68" t="s">
        <v>96</v>
      </c>
      <c r="I92" s="68" t="s">
        <v>93</v>
      </c>
      <c r="J92" s="69" t="n">
        <v>2</v>
      </c>
      <c r="K92" s="68" t="str">
        <f aca="false">IFERROR(VLOOKUP($J92,$J$10:$K$13,2,0),"")</f>
        <v>SUB DISTRIBUTOR</v>
      </c>
      <c r="L92" s="68" t="s">
        <v>26</v>
      </c>
      <c r="M92" s="69" t="n">
        <v>9</v>
      </c>
      <c r="N92" s="68" t="str">
        <f aca="false">IFERROR(VLOOKUP($M92,$M$3:$Q$14,2,0),"")</f>
        <v>In Pcs</v>
      </c>
      <c r="O92" s="68" t="str">
        <f aca="false">IFERROR(VLOOKUP($M92,$M$3:$Q$14,3,0),"")</f>
        <v>Pcs</v>
      </c>
      <c r="P92" s="69" t="n">
        <f aca="false">IFERROR(VLOOKUP($M92,$M$3:$Q$14,4,0),"")</f>
        <v>4</v>
      </c>
      <c r="Q92" s="68" t="str">
        <f aca="false">IFERROR(VLOOKUP($M92,$M$3:$Q$14,5,0),"")</f>
        <v>small</v>
      </c>
      <c r="R92" s="68" t="n">
        <v>80</v>
      </c>
      <c r="S92" s="70" t="n">
        <f aca="false">S91/10</f>
        <v>5204.5</v>
      </c>
      <c r="T92" s="71" t="n">
        <f aca="false">S92/1.11</f>
        <v>4688.73873873874</v>
      </c>
      <c r="U92" s="72" t="n">
        <v>3103</v>
      </c>
      <c r="V92" s="72" t="n">
        <v>2796</v>
      </c>
      <c r="W92" s="1" t="e">
        <f aca="false">VLOOKUP($G92,#REF!,2,0)</f>
        <v>#VALUE!</v>
      </c>
    </row>
    <row r="93" customFormat="false" ht="22.5" hidden="true" customHeight="true" outlineLevel="0" collapsed="false">
      <c r="A93" s="53"/>
      <c r="B93" s="53"/>
      <c r="C93" s="68" t="n">
        <v>31</v>
      </c>
      <c r="D93" s="68" t="n">
        <v>20002644</v>
      </c>
      <c r="E93" s="68" t="s">
        <v>113</v>
      </c>
      <c r="F93" s="68" t="s">
        <v>95</v>
      </c>
      <c r="G93" s="68" t="s">
        <v>112</v>
      </c>
      <c r="H93" s="68" t="s">
        <v>96</v>
      </c>
      <c r="I93" s="68" t="s">
        <v>93</v>
      </c>
      <c r="J93" s="69" t="n">
        <v>2</v>
      </c>
      <c r="K93" s="68" t="str">
        <f aca="false">IFERROR(VLOOKUP($J93,$J$10:$K$13,2,0),"")</f>
        <v>SUB DISTRIBUTOR</v>
      </c>
      <c r="L93" s="68" t="s">
        <v>26</v>
      </c>
      <c r="M93" s="69" t="n">
        <v>1</v>
      </c>
      <c r="N93" s="68" t="str">
        <f aca="false">IFERROR(VLOOKUP($M93,$M$3:$Q$14,2,0),"")</f>
        <v>In Carton</v>
      </c>
      <c r="O93" s="68" t="str">
        <f aca="false">IFERROR(VLOOKUP($M93,$M$3:$Q$14,3,0),"")</f>
        <v>Carton</v>
      </c>
      <c r="P93" s="69" t="n">
        <f aca="false">IFERROR(VLOOKUP($M93,$M$3:$Q$14,4,0),"")</f>
        <v>1</v>
      </c>
      <c r="Q93" s="68" t="str">
        <f aca="false">IFERROR(VLOOKUP($M93,$M$3:$Q$14,5,0),"")</f>
        <v>large</v>
      </c>
      <c r="R93" s="68" t="n">
        <v>1</v>
      </c>
      <c r="S93" s="70" t="n">
        <f aca="false">52045*8</f>
        <v>416360</v>
      </c>
      <c r="T93" s="71" t="n">
        <f aca="false">S93/1.11</f>
        <v>375099.099099099</v>
      </c>
      <c r="U93" s="72" t="n">
        <f aca="false">V93+(V93*11%)</f>
        <v>446942.61</v>
      </c>
      <c r="V93" s="72" t="n">
        <v>402651</v>
      </c>
      <c r="W93" s="1" t="e">
        <f aca="false">VLOOKUP($G93,#REF!,2,0)</f>
        <v>#VALUE!</v>
      </c>
    </row>
    <row r="94" customFormat="false" ht="22.5" hidden="true" customHeight="true" outlineLevel="0" collapsed="false">
      <c r="A94" s="53"/>
      <c r="B94" s="53"/>
      <c r="C94" s="68" t="n">
        <v>31</v>
      </c>
      <c r="D94" s="68" t="n">
        <v>20002644</v>
      </c>
      <c r="E94" s="68" t="s">
        <v>113</v>
      </c>
      <c r="F94" s="68" t="s">
        <v>95</v>
      </c>
      <c r="G94" s="68" t="s">
        <v>112</v>
      </c>
      <c r="H94" s="68" t="s">
        <v>96</v>
      </c>
      <c r="I94" s="68" t="s">
        <v>93</v>
      </c>
      <c r="J94" s="69" t="n">
        <v>2</v>
      </c>
      <c r="K94" s="68" t="str">
        <f aca="false">IFERROR(VLOOKUP($J94,$J$10:$K$13,2,0),"")</f>
        <v>SUB DISTRIBUTOR</v>
      </c>
      <c r="L94" s="68" t="s">
        <v>26</v>
      </c>
      <c r="M94" s="69" t="n">
        <v>4</v>
      </c>
      <c r="N94" s="68" t="str">
        <f aca="false">IFERROR(VLOOKUP($M94,$M$3:$Q$14,2,0),"")</f>
        <v>In Pack</v>
      </c>
      <c r="O94" s="68" t="str">
        <f aca="false">IFERROR(VLOOKUP($M94,$M$3:$Q$14,3,0),"")</f>
        <v>Box</v>
      </c>
      <c r="P94" s="69" t="n">
        <f aca="false">IFERROR(VLOOKUP($M94,$M$3:$Q$14,4,0),"")</f>
        <v>2</v>
      </c>
      <c r="Q94" s="68" t="n">
        <f aca="false">IFERROR(VLOOKUP($M94,$M$3:$Q$14,5,0),"")</f>
        <v>0</v>
      </c>
      <c r="R94" s="68" t="n">
        <v>8</v>
      </c>
      <c r="S94" s="70" t="n">
        <f aca="false">S93/8</f>
        <v>52045</v>
      </c>
      <c r="T94" s="71" t="n">
        <f aca="false">S94/1.11</f>
        <v>46887.3873873874</v>
      </c>
      <c r="U94" s="72" t="n">
        <v>3724</v>
      </c>
      <c r="V94" s="72" t="n">
        <v>33554</v>
      </c>
      <c r="W94" s="1" t="e">
        <f aca="false">VLOOKUP($G94,#REF!,2,0)</f>
        <v>#VALUE!</v>
      </c>
    </row>
    <row r="95" customFormat="false" ht="22.5" hidden="true" customHeight="true" outlineLevel="0" collapsed="false">
      <c r="A95" s="53"/>
      <c r="B95" s="53"/>
      <c r="C95" s="68" t="n">
        <v>31</v>
      </c>
      <c r="D95" s="68" t="n">
        <v>20002644</v>
      </c>
      <c r="E95" s="68" t="s">
        <v>113</v>
      </c>
      <c r="F95" s="68" t="s">
        <v>95</v>
      </c>
      <c r="G95" s="68" t="s">
        <v>112</v>
      </c>
      <c r="H95" s="68" t="s">
        <v>96</v>
      </c>
      <c r="I95" s="68" t="s">
        <v>93</v>
      </c>
      <c r="J95" s="69" t="n">
        <v>2</v>
      </c>
      <c r="K95" s="68" t="str">
        <f aca="false">IFERROR(VLOOKUP($J95,$J$10:$K$13,2,0),"")</f>
        <v>SUB DISTRIBUTOR</v>
      </c>
      <c r="L95" s="68" t="s">
        <v>26</v>
      </c>
      <c r="M95" s="69" t="n">
        <v>9</v>
      </c>
      <c r="N95" s="68" t="str">
        <f aca="false">IFERROR(VLOOKUP($M95,$M$3:$Q$14,2,0),"")</f>
        <v>In Pcs</v>
      </c>
      <c r="O95" s="68" t="str">
        <f aca="false">IFERROR(VLOOKUP($M95,$M$3:$Q$14,3,0),"")</f>
        <v>Pcs</v>
      </c>
      <c r="P95" s="69" t="n">
        <f aca="false">IFERROR(VLOOKUP($M95,$M$3:$Q$14,4,0),"")</f>
        <v>4</v>
      </c>
      <c r="Q95" s="68" t="str">
        <f aca="false">IFERROR(VLOOKUP($M95,$M$3:$Q$14,5,0),"")</f>
        <v>small</v>
      </c>
      <c r="R95" s="68" t="n">
        <v>80</v>
      </c>
      <c r="S95" s="70" t="n">
        <f aca="false">S94/10</f>
        <v>5204.5</v>
      </c>
      <c r="T95" s="71" t="n">
        <f aca="false">S95/1.11</f>
        <v>4688.73873873874</v>
      </c>
      <c r="U95" s="72" t="n">
        <v>3103</v>
      </c>
      <c r="V95" s="72" t="n">
        <v>2796</v>
      </c>
      <c r="W95" s="1" t="e">
        <f aca="false">VLOOKUP($G95,#REF!,2,0)</f>
        <v>#VALUE!</v>
      </c>
    </row>
    <row r="96" customFormat="false" ht="22.5" hidden="true" customHeight="true" outlineLevel="0" collapsed="false">
      <c r="A96" s="53"/>
      <c r="B96" s="53"/>
      <c r="C96" s="73" t="n">
        <v>34</v>
      </c>
      <c r="D96" s="74" t="s">
        <v>114</v>
      </c>
      <c r="E96" s="75" t="s">
        <v>115</v>
      </c>
      <c r="F96" s="73" t="s">
        <v>116</v>
      </c>
      <c r="G96" s="73" t="s">
        <v>117</v>
      </c>
      <c r="H96" s="73" t="s">
        <v>118</v>
      </c>
      <c r="I96" s="73" t="s">
        <v>118</v>
      </c>
      <c r="J96" s="76" t="n">
        <v>1</v>
      </c>
      <c r="K96" s="73" t="str">
        <f aca="false">IFERROR(VLOOKUP($J96,$J$10:$K$13,2,0),"")</f>
        <v>DISTRIBUTOR</v>
      </c>
      <c r="L96" s="73" t="s">
        <v>26</v>
      </c>
      <c r="M96" s="76" t="n">
        <v>1</v>
      </c>
      <c r="N96" s="73" t="str">
        <f aca="false">IFERROR(VLOOKUP($M96,$M$3:$Q$14,2,0),"")</f>
        <v>In Carton</v>
      </c>
      <c r="O96" s="73" t="str">
        <f aca="false">IFERROR(VLOOKUP($M96,$M$3:$Q$14,3,0),"")</f>
        <v>Carton</v>
      </c>
      <c r="P96" s="76" t="n">
        <f aca="false">IFERROR(VLOOKUP($M96,$M$3:$Q$14,4,0),"")</f>
        <v>1</v>
      </c>
      <c r="Q96" s="73" t="str">
        <f aca="false">IFERROR(VLOOKUP($M96,$M$3:$Q$14,5,0),"")</f>
        <v>large</v>
      </c>
      <c r="R96" s="73" t="n">
        <v>1</v>
      </c>
      <c r="S96" s="77" t="n">
        <f aca="false">7980*10</f>
        <v>79800</v>
      </c>
      <c r="T96" s="78" t="n">
        <f aca="false">S96/1.11</f>
        <v>71891.8918918919</v>
      </c>
      <c r="U96" s="79" t="n">
        <f aca="false">V96+(V96*11%)</f>
        <v>67254.9</v>
      </c>
      <c r="V96" s="79" t="n">
        <v>60590</v>
      </c>
      <c r="W96" s="1" t="e">
        <f aca="false">VLOOKUP($G96,#REF!,2,0)</f>
        <v>#VALUE!</v>
      </c>
    </row>
    <row r="97" customFormat="false" ht="22.5" hidden="true" customHeight="true" outlineLevel="0" collapsed="false">
      <c r="A97" s="53"/>
      <c r="B97" s="53"/>
      <c r="C97" s="73" t="n">
        <v>34</v>
      </c>
      <c r="D97" s="74" t="s">
        <v>114</v>
      </c>
      <c r="E97" s="75" t="s">
        <v>115</v>
      </c>
      <c r="F97" s="73" t="s">
        <v>116</v>
      </c>
      <c r="G97" s="73" t="s">
        <v>117</v>
      </c>
      <c r="H97" s="73" t="s">
        <v>118</v>
      </c>
      <c r="I97" s="73" t="s">
        <v>118</v>
      </c>
      <c r="J97" s="76" t="n">
        <v>1</v>
      </c>
      <c r="K97" s="73" t="str">
        <f aca="false">IFERROR(VLOOKUP($J97,$J$10:$K$13,2,0),"")</f>
        <v>DISTRIBUTOR</v>
      </c>
      <c r="L97" s="73" t="s">
        <v>26</v>
      </c>
      <c r="M97" s="76" t="n">
        <v>3</v>
      </c>
      <c r="N97" s="73" t="str">
        <f aca="false">IFERROR(VLOOKUP($M97,$M$3:$Q$14,2,0),"")</f>
        <v>In Pack</v>
      </c>
      <c r="O97" s="73" t="str">
        <f aca="false">IFERROR(VLOOKUP($M97,$M$3:$Q$14,3,0),"")</f>
        <v>Pack</v>
      </c>
      <c r="P97" s="76" t="n">
        <f aca="false">IFERROR(VLOOKUP($M97,$M$3:$Q$14,4,0),"")</f>
        <v>2</v>
      </c>
      <c r="Q97" s="73" t="n">
        <f aca="false">IFERROR(VLOOKUP($M97,$M$3:$Q$14,5,0),"")</f>
        <v>0</v>
      </c>
      <c r="R97" s="73" t="n">
        <v>10</v>
      </c>
      <c r="S97" s="77" t="n">
        <f aca="false">S96/10</f>
        <v>7980</v>
      </c>
      <c r="T97" s="78" t="n">
        <f aca="false">S97/1.11</f>
        <v>7189.18918918919</v>
      </c>
      <c r="U97" s="79" t="n">
        <f aca="false">V97+(V97*11%)</f>
        <v>6725.49</v>
      </c>
      <c r="V97" s="79" t="n">
        <v>6059</v>
      </c>
      <c r="W97" s="1" t="e">
        <f aca="false">VLOOKUP($G97,#REF!,2,0)</f>
        <v>#VALUE!</v>
      </c>
    </row>
    <row r="98" customFormat="false" ht="22.5" hidden="true" customHeight="true" outlineLevel="0" collapsed="false">
      <c r="A98" s="53"/>
      <c r="B98" s="53"/>
      <c r="C98" s="73" t="n">
        <v>34</v>
      </c>
      <c r="D98" s="74" t="s">
        <v>114</v>
      </c>
      <c r="E98" s="75" t="s">
        <v>115</v>
      </c>
      <c r="F98" s="73" t="s">
        <v>116</v>
      </c>
      <c r="G98" s="73" t="s">
        <v>117</v>
      </c>
      <c r="H98" s="73" t="s">
        <v>118</v>
      </c>
      <c r="I98" s="73" t="s">
        <v>118</v>
      </c>
      <c r="J98" s="76" t="n">
        <v>1</v>
      </c>
      <c r="K98" s="73" t="str">
        <f aca="false">IFERROR(VLOOKUP($J98,$J$10:$K$13,2,0),"")</f>
        <v>DISTRIBUTOR</v>
      </c>
      <c r="L98" s="73" t="s">
        <v>26</v>
      </c>
      <c r="M98" s="76" t="n">
        <v>9</v>
      </c>
      <c r="N98" s="73" t="str">
        <f aca="false">IFERROR(VLOOKUP($M98,$M$3:$Q$14,2,0),"")</f>
        <v>In Pcs</v>
      </c>
      <c r="O98" s="73" t="str">
        <f aca="false">IFERROR(VLOOKUP($M98,$M$3:$Q$14,3,0),"")</f>
        <v>Pcs</v>
      </c>
      <c r="P98" s="76" t="n">
        <f aca="false">IFERROR(VLOOKUP($M98,$M$3:$Q$14,4,0),"")</f>
        <v>4</v>
      </c>
      <c r="Q98" s="73" t="str">
        <f aca="false">IFERROR(VLOOKUP($M98,$M$3:$Q$14,5,0),"")</f>
        <v>small</v>
      </c>
      <c r="R98" s="73" t="n">
        <v>100</v>
      </c>
      <c r="S98" s="77" t="n">
        <f aca="false">S97/10</f>
        <v>798</v>
      </c>
      <c r="T98" s="78" t="n">
        <f aca="false">S98/1.11</f>
        <v>718.918918918919</v>
      </c>
      <c r="U98" s="79" t="n">
        <f aca="false">V98+(V98*11%)</f>
        <v>671.55</v>
      </c>
      <c r="V98" s="79" t="n">
        <v>605</v>
      </c>
      <c r="W98" s="1" t="e">
        <f aca="false">VLOOKUP($G98,#REF!,2,0)</f>
        <v>#VALUE!</v>
      </c>
    </row>
    <row r="99" customFormat="false" ht="22.5" hidden="true" customHeight="true" outlineLevel="0" collapsed="false">
      <c r="A99" s="53"/>
      <c r="B99" s="53"/>
      <c r="C99" s="73" t="n">
        <v>35</v>
      </c>
      <c r="D99" s="74" t="s">
        <v>119</v>
      </c>
      <c r="E99" s="75" t="s">
        <v>120</v>
      </c>
      <c r="F99" s="73" t="s">
        <v>116</v>
      </c>
      <c r="G99" s="73" t="s">
        <v>117</v>
      </c>
      <c r="H99" s="73" t="s">
        <v>118</v>
      </c>
      <c r="I99" s="73" t="s">
        <v>118</v>
      </c>
      <c r="J99" s="76" t="n">
        <v>1</v>
      </c>
      <c r="K99" s="73" t="str">
        <f aca="false">IFERROR(VLOOKUP($J99,$J$10:$K$13,2,0),"")</f>
        <v>DISTRIBUTOR</v>
      </c>
      <c r="L99" s="73" t="s">
        <v>26</v>
      </c>
      <c r="M99" s="76" t="n">
        <v>1</v>
      </c>
      <c r="N99" s="73" t="str">
        <f aca="false">IFERROR(VLOOKUP($M99,$M$3:$Q$14,2,0),"")</f>
        <v>In Carton</v>
      </c>
      <c r="O99" s="73" t="str">
        <f aca="false">IFERROR(VLOOKUP($M99,$M$3:$Q$14,3,0),"")</f>
        <v>Carton</v>
      </c>
      <c r="P99" s="76" t="n">
        <f aca="false">IFERROR(VLOOKUP($M99,$M$3:$Q$14,4,0),"")</f>
        <v>1</v>
      </c>
      <c r="Q99" s="73" t="str">
        <f aca="false">IFERROR(VLOOKUP($M99,$M$3:$Q$14,5,0),"")</f>
        <v>large</v>
      </c>
      <c r="R99" s="73" t="n">
        <v>1</v>
      </c>
      <c r="S99" s="77" t="n">
        <f aca="false">7980*10</f>
        <v>79800</v>
      </c>
      <c r="T99" s="78" t="n">
        <f aca="false">S99/1.11</f>
        <v>71891.8918918919</v>
      </c>
      <c r="U99" s="79" t="n">
        <f aca="false">V99+(V99*11%)</f>
        <v>67254.9</v>
      </c>
      <c r="V99" s="79" t="n">
        <v>60590</v>
      </c>
      <c r="W99" s="1" t="e">
        <f aca="false">VLOOKUP($G99,#REF!,2,0)</f>
        <v>#VALUE!</v>
      </c>
    </row>
    <row r="100" customFormat="false" ht="22.5" hidden="true" customHeight="true" outlineLevel="0" collapsed="false">
      <c r="A100" s="53"/>
      <c r="B100" s="53"/>
      <c r="C100" s="73" t="n">
        <v>35</v>
      </c>
      <c r="D100" s="74" t="s">
        <v>119</v>
      </c>
      <c r="E100" s="75" t="s">
        <v>121</v>
      </c>
      <c r="F100" s="73" t="s">
        <v>116</v>
      </c>
      <c r="G100" s="73" t="s">
        <v>117</v>
      </c>
      <c r="H100" s="73" t="s">
        <v>118</v>
      </c>
      <c r="I100" s="73" t="s">
        <v>118</v>
      </c>
      <c r="J100" s="76" t="n">
        <v>1</v>
      </c>
      <c r="K100" s="73" t="str">
        <f aca="false">IFERROR(VLOOKUP($J100,$J$10:$K$13,2,0),"")</f>
        <v>DISTRIBUTOR</v>
      </c>
      <c r="L100" s="73" t="s">
        <v>26</v>
      </c>
      <c r="M100" s="76" t="n">
        <v>3</v>
      </c>
      <c r="N100" s="73" t="str">
        <f aca="false">IFERROR(VLOOKUP($M100,$M$3:$Q$14,2,0),"")</f>
        <v>In Pack</v>
      </c>
      <c r="O100" s="73" t="str">
        <f aca="false">IFERROR(VLOOKUP($M100,$M$3:$Q$14,3,0),"")</f>
        <v>Pack</v>
      </c>
      <c r="P100" s="76" t="n">
        <f aca="false">IFERROR(VLOOKUP($M100,$M$3:$Q$14,4,0),"")</f>
        <v>2</v>
      </c>
      <c r="Q100" s="73" t="n">
        <f aca="false">IFERROR(VLOOKUP($M100,$M$3:$Q$14,5,0),"")</f>
        <v>0</v>
      </c>
      <c r="R100" s="73" t="n">
        <v>10</v>
      </c>
      <c r="S100" s="77" t="n">
        <f aca="false">S99/10</f>
        <v>7980</v>
      </c>
      <c r="T100" s="78" t="n">
        <f aca="false">S100/1.11</f>
        <v>7189.18918918919</v>
      </c>
      <c r="U100" s="79" t="n">
        <f aca="false">V100+(V100*11%)</f>
        <v>6725.49</v>
      </c>
      <c r="V100" s="79" t="n">
        <v>6059</v>
      </c>
      <c r="W100" s="1" t="e">
        <f aca="false">VLOOKUP($G100,#REF!,2,0)</f>
        <v>#VALUE!</v>
      </c>
    </row>
    <row r="101" customFormat="false" ht="22.5" hidden="true" customHeight="true" outlineLevel="0" collapsed="false">
      <c r="A101" s="53"/>
      <c r="B101" s="53"/>
      <c r="C101" s="73" t="n">
        <v>35</v>
      </c>
      <c r="D101" s="74" t="s">
        <v>119</v>
      </c>
      <c r="E101" s="75" t="s">
        <v>122</v>
      </c>
      <c r="F101" s="73" t="s">
        <v>116</v>
      </c>
      <c r="G101" s="73" t="s">
        <v>117</v>
      </c>
      <c r="H101" s="73" t="s">
        <v>118</v>
      </c>
      <c r="I101" s="73" t="s">
        <v>118</v>
      </c>
      <c r="J101" s="76" t="n">
        <v>1</v>
      </c>
      <c r="K101" s="73" t="str">
        <f aca="false">IFERROR(VLOOKUP($J101,$J$10:$K$13,2,0),"")</f>
        <v>DISTRIBUTOR</v>
      </c>
      <c r="L101" s="73" t="s">
        <v>26</v>
      </c>
      <c r="M101" s="76" t="n">
        <v>9</v>
      </c>
      <c r="N101" s="73" t="str">
        <f aca="false">IFERROR(VLOOKUP($M101,$M$3:$Q$14,2,0),"")</f>
        <v>In Pcs</v>
      </c>
      <c r="O101" s="73" t="str">
        <f aca="false">IFERROR(VLOOKUP($M101,$M$3:$Q$14,3,0),"")</f>
        <v>Pcs</v>
      </c>
      <c r="P101" s="76" t="n">
        <f aca="false">IFERROR(VLOOKUP($M101,$M$3:$Q$14,4,0),"")</f>
        <v>4</v>
      </c>
      <c r="Q101" s="73" t="str">
        <f aca="false">IFERROR(VLOOKUP($M101,$M$3:$Q$14,5,0),"")</f>
        <v>small</v>
      </c>
      <c r="R101" s="73" t="n">
        <v>100</v>
      </c>
      <c r="S101" s="77" t="n">
        <f aca="false">S100/10</f>
        <v>798</v>
      </c>
      <c r="T101" s="78" t="n">
        <f aca="false">S101/1.11</f>
        <v>718.918918918919</v>
      </c>
      <c r="U101" s="79" t="n">
        <f aca="false">V101+(V101*11%)</f>
        <v>671.55</v>
      </c>
      <c r="V101" s="79" t="n">
        <v>605</v>
      </c>
      <c r="W101" s="1" t="e">
        <f aca="false">VLOOKUP($G101,#REF!,2,0)</f>
        <v>#VALUE!</v>
      </c>
    </row>
    <row r="102" customFormat="false" ht="22.5" hidden="true" customHeight="true" outlineLevel="0" collapsed="false">
      <c r="A102" s="53"/>
      <c r="B102" s="53"/>
      <c r="C102" s="73" t="n">
        <v>36</v>
      </c>
      <c r="D102" s="74" t="s">
        <v>123</v>
      </c>
      <c r="E102" s="75" t="s">
        <v>124</v>
      </c>
      <c r="F102" s="73" t="s">
        <v>116</v>
      </c>
      <c r="G102" s="73" t="s">
        <v>117</v>
      </c>
      <c r="H102" s="73" t="s">
        <v>118</v>
      </c>
      <c r="I102" s="73" t="s">
        <v>118</v>
      </c>
      <c r="J102" s="76" t="n">
        <v>1</v>
      </c>
      <c r="K102" s="73" t="str">
        <f aca="false">IFERROR(VLOOKUP($J102,$J$10:$K$13,2,0),"")</f>
        <v>DISTRIBUTOR</v>
      </c>
      <c r="L102" s="73" t="s">
        <v>26</v>
      </c>
      <c r="M102" s="76" t="n">
        <v>1</v>
      </c>
      <c r="N102" s="73" t="str">
        <f aca="false">IFERROR(VLOOKUP($M102,$M$3:$Q$14,2,0),"")</f>
        <v>In Carton</v>
      </c>
      <c r="O102" s="73" t="str">
        <f aca="false">IFERROR(VLOOKUP($M102,$M$3:$Q$14,3,0),"")</f>
        <v>Carton</v>
      </c>
      <c r="P102" s="76" t="n">
        <f aca="false">IFERROR(VLOOKUP($M102,$M$3:$Q$14,4,0),"")</f>
        <v>1</v>
      </c>
      <c r="Q102" s="73" t="str">
        <f aca="false">IFERROR(VLOOKUP($M102,$M$3:$Q$14,5,0),"")</f>
        <v>large</v>
      </c>
      <c r="R102" s="73" t="n">
        <v>1</v>
      </c>
      <c r="S102" s="77" t="n">
        <f aca="false">7980*10</f>
        <v>79800</v>
      </c>
      <c r="T102" s="78" t="n">
        <f aca="false">S102/1.11</f>
        <v>71891.8918918919</v>
      </c>
      <c r="U102" s="79" t="n">
        <f aca="false">V102+(V102*11%)</f>
        <v>67254.9</v>
      </c>
      <c r="V102" s="79" t="n">
        <v>60590</v>
      </c>
      <c r="W102" s="1" t="e">
        <f aca="false">VLOOKUP($G102,#REF!,2,0)</f>
        <v>#VALUE!</v>
      </c>
    </row>
    <row r="103" customFormat="false" ht="22.5" hidden="true" customHeight="true" outlineLevel="0" collapsed="false">
      <c r="A103" s="53"/>
      <c r="B103" s="53"/>
      <c r="C103" s="73" t="n">
        <v>36</v>
      </c>
      <c r="D103" s="74" t="s">
        <v>123</v>
      </c>
      <c r="E103" s="75" t="s">
        <v>125</v>
      </c>
      <c r="F103" s="73" t="s">
        <v>116</v>
      </c>
      <c r="G103" s="73" t="s">
        <v>117</v>
      </c>
      <c r="H103" s="73" t="s">
        <v>118</v>
      </c>
      <c r="I103" s="73" t="s">
        <v>118</v>
      </c>
      <c r="J103" s="76" t="n">
        <v>1</v>
      </c>
      <c r="K103" s="73" t="str">
        <f aca="false">IFERROR(VLOOKUP($J103,$J$10:$K$13,2,0),"")</f>
        <v>DISTRIBUTOR</v>
      </c>
      <c r="L103" s="73" t="s">
        <v>26</v>
      </c>
      <c r="M103" s="76" t="n">
        <v>3</v>
      </c>
      <c r="N103" s="73" t="str">
        <f aca="false">IFERROR(VLOOKUP($M103,$M$3:$Q$14,2,0),"")</f>
        <v>In Pack</v>
      </c>
      <c r="O103" s="73" t="str">
        <f aca="false">IFERROR(VLOOKUP($M103,$M$3:$Q$14,3,0),"")</f>
        <v>Pack</v>
      </c>
      <c r="P103" s="76" t="n">
        <f aca="false">IFERROR(VLOOKUP($M103,$M$3:$Q$14,4,0),"")</f>
        <v>2</v>
      </c>
      <c r="Q103" s="73" t="n">
        <f aca="false">IFERROR(VLOOKUP($M103,$M$3:$Q$14,5,0),"")</f>
        <v>0</v>
      </c>
      <c r="R103" s="73" t="n">
        <v>10</v>
      </c>
      <c r="S103" s="77" t="n">
        <f aca="false">S102/10</f>
        <v>7980</v>
      </c>
      <c r="T103" s="78" t="n">
        <f aca="false">S103/1.11</f>
        <v>7189.18918918919</v>
      </c>
      <c r="U103" s="79" t="n">
        <f aca="false">V103+(V103*11%)</f>
        <v>6725.49</v>
      </c>
      <c r="V103" s="79" t="n">
        <v>6059</v>
      </c>
      <c r="W103" s="1" t="e">
        <f aca="false">VLOOKUP($G103,#REF!,2,0)</f>
        <v>#VALUE!</v>
      </c>
    </row>
    <row r="104" customFormat="false" ht="22.5" hidden="true" customHeight="true" outlineLevel="0" collapsed="false">
      <c r="A104" s="53"/>
      <c r="B104" s="53"/>
      <c r="C104" s="73" t="n">
        <v>36</v>
      </c>
      <c r="D104" s="74" t="s">
        <v>123</v>
      </c>
      <c r="E104" s="75" t="s">
        <v>126</v>
      </c>
      <c r="F104" s="73" t="s">
        <v>116</v>
      </c>
      <c r="G104" s="73" t="s">
        <v>117</v>
      </c>
      <c r="H104" s="73" t="s">
        <v>118</v>
      </c>
      <c r="I104" s="73" t="s">
        <v>118</v>
      </c>
      <c r="J104" s="76" t="n">
        <v>1</v>
      </c>
      <c r="K104" s="73" t="str">
        <f aca="false">IFERROR(VLOOKUP($J104,$J$10:$K$13,2,0),"")</f>
        <v>DISTRIBUTOR</v>
      </c>
      <c r="L104" s="73" t="s">
        <v>26</v>
      </c>
      <c r="M104" s="76" t="n">
        <v>9</v>
      </c>
      <c r="N104" s="73" t="str">
        <f aca="false">IFERROR(VLOOKUP($M104,$M$3:$Q$14,2,0),"")</f>
        <v>In Pcs</v>
      </c>
      <c r="O104" s="73" t="str">
        <f aca="false">IFERROR(VLOOKUP($M104,$M$3:$Q$14,3,0),"")</f>
        <v>Pcs</v>
      </c>
      <c r="P104" s="76" t="n">
        <f aca="false">IFERROR(VLOOKUP($M104,$M$3:$Q$14,4,0),"")</f>
        <v>4</v>
      </c>
      <c r="Q104" s="73" t="str">
        <f aca="false">IFERROR(VLOOKUP($M104,$M$3:$Q$14,5,0),"")</f>
        <v>small</v>
      </c>
      <c r="R104" s="73" t="n">
        <v>100</v>
      </c>
      <c r="S104" s="77" t="n">
        <f aca="false">S103/10</f>
        <v>798</v>
      </c>
      <c r="T104" s="78" t="n">
        <f aca="false">S104/1.11</f>
        <v>718.918918918919</v>
      </c>
      <c r="U104" s="79" t="n">
        <f aca="false">V104+(V104*11%)</f>
        <v>671.55</v>
      </c>
      <c r="V104" s="79" t="n">
        <v>605</v>
      </c>
      <c r="W104" s="1" t="e">
        <f aca="false">VLOOKUP($G104,#REF!,2,0)</f>
        <v>#VALUE!</v>
      </c>
    </row>
    <row r="105" customFormat="false" ht="22.5" hidden="true" customHeight="true" outlineLevel="0" collapsed="false">
      <c r="A105" s="53"/>
      <c r="B105" s="53"/>
      <c r="C105" s="73" t="n">
        <v>37</v>
      </c>
      <c r="D105" s="74" t="s">
        <v>127</v>
      </c>
      <c r="E105" s="75" t="s">
        <v>128</v>
      </c>
      <c r="F105" s="73" t="s">
        <v>116</v>
      </c>
      <c r="G105" s="73" t="s">
        <v>117</v>
      </c>
      <c r="H105" s="73" t="s">
        <v>118</v>
      </c>
      <c r="I105" s="73" t="s">
        <v>118</v>
      </c>
      <c r="J105" s="76" t="n">
        <v>1</v>
      </c>
      <c r="K105" s="73" t="str">
        <f aca="false">IFERROR(VLOOKUP($J105,$J$10:$K$13,2,0),"")</f>
        <v>DISTRIBUTOR</v>
      </c>
      <c r="L105" s="73" t="s">
        <v>26</v>
      </c>
      <c r="M105" s="76" t="n">
        <v>1</v>
      </c>
      <c r="N105" s="73" t="str">
        <f aca="false">IFERROR(VLOOKUP($M105,$M$3:$Q$14,2,0),"")</f>
        <v>In Carton</v>
      </c>
      <c r="O105" s="73" t="str">
        <f aca="false">IFERROR(VLOOKUP($M105,$M$3:$Q$14,3,0),"")</f>
        <v>Carton</v>
      </c>
      <c r="P105" s="76" t="n">
        <f aca="false">IFERROR(VLOOKUP($M105,$M$3:$Q$14,4,0),"")</f>
        <v>1</v>
      </c>
      <c r="Q105" s="73" t="str">
        <f aca="false">IFERROR(VLOOKUP($M105,$M$3:$Q$14,5,0),"")</f>
        <v>large</v>
      </c>
      <c r="R105" s="73" t="n">
        <v>1</v>
      </c>
      <c r="S105" s="77" t="n">
        <f aca="false">7980*10</f>
        <v>79800</v>
      </c>
      <c r="T105" s="78" t="n">
        <f aca="false">S105/1.11</f>
        <v>71891.8918918919</v>
      </c>
      <c r="U105" s="79" t="n">
        <f aca="false">V105+(V105*11%)</f>
        <v>67254.9</v>
      </c>
      <c r="V105" s="79" t="n">
        <v>60590</v>
      </c>
      <c r="W105" s="1" t="e">
        <f aca="false">VLOOKUP($G105,#REF!,2,0)</f>
        <v>#VALUE!</v>
      </c>
    </row>
    <row r="106" customFormat="false" ht="22.5" hidden="true" customHeight="true" outlineLevel="0" collapsed="false">
      <c r="A106" s="53"/>
      <c r="B106" s="53"/>
      <c r="C106" s="73" t="n">
        <v>37</v>
      </c>
      <c r="D106" s="74" t="s">
        <v>127</v>
      </c>
      <c r="E106" s="75" t="s">
        <v>129</v>
      </c>
      <c r="F106" s="73" t="s">
        <v>116</v>
      </c>
      <c r="G106" s="73" t="s">
        <v>117</v>
      </c>
      <c r="H106" s="73" t="s">
        <v>118</v>
      </c>
      <c r="I106" s="73" t="s">
        <v>118</v>
      </c>
      <c r="J106" s="76" t="n">
        <v>1</v>
      </c>
      <c r="K106" s="73" t="str">
        <f aca="false">IFERROR(VLOOKUP($J106,$J$10:$K$13,2,0),"")</f>
        <v>DISTRIBUTOR</v>
      </c>
      <c r="L106" s="73" t="s">
        <v>26</v>
      </c>
      <c r="M106" s="76" t="n">
        <v>3</v>
      </c>
      <c r="N106" s="73" t="str">
        <f aca="false">IFERROR(VLOOKUP($M106,$M$3:$Q$14,2,0),"")</f>
        <v>In Pack</v>
      </c>
      <c r="O106" s="73" t="str">
        <f aca="false">IFERROR(VLOOKUP($M106,$M$3:$Q$14,3,0),"")</f>
        <v>Pack</v>
      </c>
      <c r="P106" s="76" t="n">
        <f aca="false">IFERROR(VLOOKUP($M106,$M$3:$Q$14,4,0),"")</f>
        <v>2</v>
      </c>
      <c r="Q106" s="73" t="n">
        <f aca="false">IFERROR(VLOOKUP($M106,$M$3:$Q$14,5,0),"")</f>
        <v>0</v>
      </c>
      <c r="R106" s="73" t="n">
        <v>10</v>
      </c>
      <c r="S106" s="77" t="n">
        <f aca="false">S105/10</f>
        <v>7980</v>
      </c>
      <c r="T106" s="78" t="n">
        <f aca="false">S106/1.11</f>
        <v>7189.18918918919</v>
      </c>
      <c r="U106" s="79" t="n">
        <f aca="false">V106+(V106*11%)</f>
        <v>6725.49</v>
      </c>
      <c r="V106" s="79" t="n">
        <v>6059</v>
      </c>
      <c r="W106" s="1" t="e">
        <f aca="false">VLOOKUP($G106,#REF!,2,0)</f>
        <v>#VALUE!</v>
      </c>
    </row>
    <row r="107" customFormat="false" ht="22.5" hidden="true" customHeight="true" outlineLevel="0" collapsed="false">
      <c r="A107" s="53"/>
      <c r="B107" s="53"/>
      <c r="C107" s="73" t="n">
        <v>37</v>
      </c>
      <c r="D107" s="74" t="s">
        <v>127</v>
      </c>
      <c r="E107" s="75" t="s">
        <v>130</v>
      </c>
      <c r="F107" s="73" t="s">
        <v>116</v>
      </c>
      <c r="G107" s="73" t="s">
        <v>117</v>
      </c>
      <c r="H107" s="73" t="s">
        <v>118</v>
      </c>
      <c r="I107" s="73" t="s">
        <v>118</v>
      </c>
      <c r="J107" s="76" t="n">
        <v>1</v>
      </c>
      <c r="K107" s="73" t="str">
        <f aca="false">IFERROR(VLOOKUP($J107,$J$10:$K$13,2,0),"")</f>
        <v>DISTRIBUTOR</v>
      </c>
      <c r="L107" s="73" t="s">
        <v>26</v>
      </c>
      <c r="M107" s="76" t="n">
        <v>9</v>
      </c>
      <c r="N107" s="73" t="str">
        <f aca="false">IFERROR(VLOOKUP($M107,$M$3:$Q$14,2,0),"")</f>
        <v>In Pcs</v>
      </c>
      <c r="O107" s="73" t="str">
        <f aca="false">IFERROR(VLOOKUP($M107,$M$3:$Q$14,3,0),"")</f>
        <v>Pcs</v>
      </c>
      <c r="P107" s="76" t="n">
        <f aca="false">IFERROR(VLOOKUP($M107,$M$3:$Q$14,4,0),"")</f>
        <v>4</v>
      </c>
      <c r="Q107" s="73" t="str">
        <f aca="false">IFERROR(VLOOKUP($M107,$M$3:$Q$14,5,0),"")</f>
        <v>small</v>
      </c>
      <c r="R107" s="73" t="n">
        <v>100</v>
      </c>
      <c r="S107" s="77" t="n">
        <f aca="false">S106/10</f>
        <v>798</v>
      </c>
      <c r="T107" s="78" t="n">
        <f aca="false">S107/1.11</f>
        <v>718.918918918919</v>
      </c>
      <c r="U107" s="79" t="n">
        <f aca="false">V107+(V107*11%)</f>
        <v>671.55</v>
      </c>
      <c r="V107" s="79" t="n">
        <v>605</v>
      </c>
      <c r="W107" s="1" t="e">
        <f aca="false">VLOOKUP($G107,#REF!,2,0)</f>
        <v>#VALUE!</v>
      </c>
    </row>
    <row r="108" customFormat="false" ht="22.5" hidden="true" customHeight="true" outlineLevel="0" collapsed="false">
      <c r="A108" s="53"/>
      <c r="B108" s="53"/>
      <c r="C108" s="73" t="n">
        <v>38</v>
      </c>
      <c r="D108" s="74" t="s">
        <v>131</v>
      </c>
      <c r="E108" s="75" t="s">
        <v>132</v>
      </c>
      <c r="F108" s="73" t="s">
        <v>116</v>
      </c>
      <c r="G108" s="73" t="s">
        <v>117</v>
      </c>
      <c r="H108" s="73" t="s">
        <v>118</v>
      </c>
      <c r="I108" s="73" t="s">
        <v>118</v>
      </c>
      <c r="J108" s="76" t="n">
        <v>1</v>
      </c>
      <c r="K108" s="73" t="str">
        <f aca="false">IFERROR(VLOOKUP($J108,$J$10:$K$13,2,0),"")</f>
        <v>DISTRIBUTOR</v>
      </c>
      <c r="L108" s="73" t="s">
        <v>26</v>
      </c>
      <c r="M108" s="76" t="n">
        <v>1</v>
      </c>
      <c r="N108" s="73" t="str">
        <f aca="false">IFERROR(VLOOKUP($M108,$M$3:$Q$14,2,0),"")</f>
        <v>In Carton</v>
      </c>
      <c r="O108" s="73" t="str">
        <f aca="false">IFERROR(VLOOKUP($M108,$M$3:$Q$14,3,0),"")</f>
        <v>Carton</v>
      </c>
      <c r="P108" s="76" t="n">
        <f aca="false">IFERROR(VLOOKUP($M108,$M$3:$Q$14,4,0),"")</f>
        <v>1</v>
      </c>
      <c r="Q108" s="73" t="str">
        <f aca="false">IFERROR(VLOOKUP($M108,$M$3:$Q$14,5,0),"")</f>
        <v>large</v>
      </c>
      <c r="R108" s="73" t="n">
        <v>1</v>
      </c>
      <c r="S108" s="77" t="n">
        <f aca="false">7980*10</f>
        <v>79800</v>
      </c>
      <c r="T108" s="78" t="n">
        <f aca="false">S108/1.11</f>
        <v>71891.8918918919</v>
      </c>
      <c r="U108" s="79" t="n">
        <f aca="false">V108+(V108*11%)</f>
        <v>67254.9</v>
      </c>
      <c r="V108" s="79" t="n">
        <v>60590</v>
      </c>
      <c r="W108" s="1" t="e">
        <f aca="false">VLOOKUP($G108,#REF!,2,0)</f>
        <v>#VALUE!</v>
      </c>
    </row>
    <row r="109" customFormat="false" ht="22.5" hidden="true" customHeight="true" outlineLevel="0" collapsed="false">
      <c r="A109" s="53"/>
      <c r="B109" s="53"/>
      <c r="C109" s="73" t="n">
        <v>38</v>
      </c>
      <c r="D109" s="74" t="s">
        <v>131</v>
      </c>
      <c r="E109" s="75" t="s">
        <v>132</v>
      </c>
      <c r="F109" s="73" t="s">
        <v>116</v>
      </c>
      <c r="G109" s="73" t="s">
        <v>117</v>
      </c>
      <c r="H109" s="73" t="s">
        <v>118</v>
      </c>
      <c r="I109" s="73" t="s">
        <v>118</v>
      </c>
      <c r="J109" s="76" t="n">
        <v>1</v>
      </c>
      <c r="K109" s="73" t="str">
        <f aca="false">IFERROR(VLOOKUP($J109,$J$10:$K$13,2,0),"")</f>
        <v>DISTRIBUTOR</v>
      </c>
      <c r="L109" s="73" t="s">
        <v>26</v>
      </c>
      <c r="M109" s="76" t="n">
        <v>8</v>
      </c>
      <c r="N109" s="73" t="str">
        <f aca="false">IFERROR(VLOOKUP($M109,$M$3:$Q$14,2,0),"")</f>
        <v>In Renceng</v>
      </c>
      <c r="O109" s="73" t="str">
        <f aca="false">IFERROR(VLOOKUP($M109,$M$3:$Q$14,3,0),"")</f>
        <v>Renceng</v>
      </c>
      <c r="P109" s="76" t="n">
        <f aca="false">IFERROR(VLOOKUP($M109,$M$3:$Q$14,4,0),"")</f>
        <v>3</v>
      </c>
      <c r="Q109" s="73" t="n">
        <f aca="false">IFERROR(VLOOKUP($M109,$M$3:$Q$14,5,0),"")</f>
        <v>0</v>
      </c>
      <c r="R109" s="73" t="n">
        <v>10</v>
      </c>
      <c r="S109" s="77" t="n">
        <f aca="false">S108/10</f>
        <v>7980</v>
      </c>
      <c r="T109" s="78" t="n">
        <f aca="false">S109/1.11</f>
        <v>7189.18918918919</v>
      </c>
      <c r="U109" s="79" t="n">
        <f aca="false">V109+(V109*11%)</f>
        <v>6725.49</v>
      </c>
      <c r="V109" s="79" t="n">
        <v>6059</v>
      </c>
      <c r="W109" s="1" t="e">
        <f aca="false">VLOOKUP($G109,#REF!,2,0)</f>
        <v>#VALUE!</v>
      </c>
    </row>
    <row r="110" customFormat="false" ht="22.5" hidden="true" customHeight="true" outlineLevel="0" collapsed="false">
      <c r="A110" s="53"/>
      <c r="B110" s="53"/>
      <c r="C110" s="73" t="n">
        <v>38</v>
      </c>
      <c r="D110" s="74" t="s">
        <v>131</v>
      </c>
      <c r="E110" s="75" t="s">
        <v>132</v>
      </c>
      <c r="F110" s="73" t="s">
        <v>116</v>
      </c>
      <c r="G110" s="73" t="s">
        <v>117</v>
      </c>
      <c r="H110" s="73" t="s">
        <v>118</v>
      </c>
      <c r="I110" s="73" t="s">
        <v>118</v>
      </c>
      <c r="J110" s="76" t="n">
        <v>1</v>
      </c>
      <c r="K110" s="73" t="str">
        <f aca="false">IFERROR(VLOOKUP($J110,$J$10:$K$13,2,0),"")</f>
        <v>DISTRIBUTOR</v>
      </c>
      <c r="L110" s="73" t="s">
        <v>26</v>
      </c>
      <c r="M110" s="76" t="n">
        <v>9</v>
      </c>
      <c r="N110" s="73" t="str">
        <f aca="false">IFERROR(VLOOKUP($M110,$M$3:$Q$14,2,0),"")</f>
        <v>In Pcs</v>
      </c>
      <c r="O110" s="73" t="str">
        <f aca="false">IFERROR(VLOOKUP($M110,$M$3:$Q$14,3,0),"")</f>
        <v>Pcs</v>
      </c>
      <c r="P110" s="76" t="n">
        <f aca="false">IFERROR(VLOOKUP($M110,$M$3:$Q$14,4,0),"")</f>
        <v>4</v>
      </c>
      <c r="Q110" s="73" t="str">
        <f aca="false">IFERROR(VLOOKUP($M110,$M$3:$Q$14,5,0),"")</f>
        <v>small</v>
      </c>
      <c r="R110" s="73" t="n">
        <v>100</v>
      </c>
      <c r="S110" s="77" t="n">
        <f aca="false">S109/10</f>
        <v>798</v>
      </c>
      <c r="T110" s="78" t="n">
        <f aca="false">S110/1.11</f>
        <v>718.918918918919</v>
      </c>
      <c r="U110" s="79" t="n">
        <f aca="false">V110+(V110*11%)</f>
        <v>671.55</v>
      </c>
      <c r="V110" s="79" t="n">
        <v>605</v>
      </c>
      <c r="W110" s="1" t="e">
        <f aca="false">VLOOKUP($G110,#REF!,2,0)</f>
        <v>#VALUE!</v>
      </c>
    </row>
    <row r="111" customFormat="false" ht="22.5" hidden="true" customHeight="true" outlineLevel="0" collapsed="false">
      <c r="A111" s="53"/>
      <c r="B111" s="53"/>
      <c r="C111" s="73" t="n">
        <v>39</v>
      </c>
      <c r="D111" s="74" t="s">
        <v>133</v>
      </c>
      <c r="E111" s="75" t="s">
        <v>134</v>
      </c>
      <c r="F111" s="73" t="s">
        <v>116</v>
      </c>
      <c r="G111" s="73" t="s">
        <v>117</v>
      </c>
      <c r="H111" s="73" t="s">
        <v>118</v>
      </c>
      <c r="I111" s="73" t="s">
        <v>118</v>
      </c>
      <c r="J111" s="76" t="n">
        <v>1</v>
      </c>
      <c r="K111" s="73" t="str">
        <f aca="false">IFERROR(VLOOKUP($J111,$J$10:$K$13,2,0),"")</f>
        <v>DISTRIBUTOR</v>
      </c>
      <c r="L111" s="73" t="s">
        <v>26</v>
      </c>
      <c r="M111" s="76" t="n">
        <v>1</v>
      </c>
      <c r="N111" s="73" t="str">
        <f aca="false">IFERROR(VLOOKUP($M111,$M$3:$Q$14,2,0),"")</f>
        <v>In Carton</v>
      </c>
      <c r="O111" s="73" t="str">
        <f aca="false">IFERROR(VLOOKUP($M111,$M$3:$Q$14,3,0),"")</f>
        <v>Carton</v>
      </c>
      <c r="P111" s="76" t="n">
        <f aca="false">IFERROR(VLOOKUP($M111,$M$3:$Q$14,4,0),"")</f>
        <v>1</v>
      </c>
      <c r="Q111" s="73" t="str">
        <f aca="false">IFERROR(VLOOKUP($M111,$M$3:$Q$14,5,0),"")</f>
        <v>large</v>
      </c>
      <c r="R111" s="73" t="n">
        <v>1</v>
      </c>
      <c r="S111" s="77" t="n">
        <f aca="false">7980*10</f>
        <v>79800</v>
      </c>
      <c r="T111" s="78" t="n">
        <f aca="false">S111/1.11</f>
        <v>71891.8918918919</v>
      </c>
      <c r="U111" s="79" t="n">
        <f aca="false">V111+(V111*11%)</f>
        <v>67254.9</v>
      </c>
      <c r="V111" s="79" t="n">
        <v>60590</v>
      </c>
      <c r="W111" s="1" t="e">
        <f aca="false">VLOOKUP($G111,#REF!,2,0)</f>
        <v>#VALUE!</v>
      </c>
    </row>
    <row r="112" customFormat="false" ht="22.5" hidden="true" customHeight="true" outlineLevel="0" collapsed="false">
      <c r="A112" s="53"/>
      <c r="B112" s="53"/>
      <c r="C112" s="73" t="n">
        <v>39</v>
      </c>
      <c r="D112" s="74" t="s">
        <v>133</v>
      </c>
      <c r="E112" s="75" t="s">
        <v>134</v>
      </c>
      <c r="F112" s="73" t="s">
        <v>116</v>
      </c>
      <c r="G112" s="73" t="s">
        <v>117</v>
      </c>
      <c r="H112" s="73" t="s">
        <v>118</v>
      </c>
      <c r="I112" s="73" t="s">
        <v>118</v>
      </c>
      <c r="J112" s="76" t="n">
        <v>1</v>
      </c>
      <c r="K112" s="73" t="str">
        <f aca="false">IFERROR(VLOOKUP($J112,$J$10:$K$13,2,0),"")</f>
        <v>DISTRIBUTOR</v>
      </c>
      <c r="L112" s="73" t="s">
        <v>26</v>
      </c>
      <c r="M112" s="76" t="n">
        <v>8</v>
      </c>
      <c r="N112" s="73" t="str">
        <f aca="false">IFERROR(VLOOKUP($M112,$M$3:$Q$14,2,0),"")</f>
        <v>In Renceng</v>
      </c>
      <c r="O112" s="73" t="str">
        <f aca="false">IFERROR(VLOOKUP($M112,$M$3:$Q$14,3,0),"")</f>
        <v>Renceng</v>
      </c>
      <c r="P112" s="76" t="n">
        <f aca="false">IFERROR(VLOOKUP($M112,$M$3:$Q$14,4,0),"")</f>
        <v>3</v>
      </c>
      <c r="Q112" s="73" t="n">
        <f aca="false">IFERROR(VLOOKUP($M112,$M$3:$Q$14,5,0),"")</f>
        <v>0</v>
      </c>
      <c r="R112" s="73" t="n">
        <v>10</v>
      </c>
      <c r="S112" s="77" t="n">
        <f aca="false">S111/10</f>
        <v>7980</v>
      </c>
      <c r="T112" s="78" t="n">
        <f aca="false">S112/1.11</f>
        <v>7189.18918918919</v>
      </c>
      <c r="U112" s="79" t="n">
        <f aca="false">V112+(V112*11%)</f>
        <v>6725.49</v>
      </c>
      <c r="V112" s="79" t="n">
        <v>6059</v>
      </c>
      <c r="W112" s="1" t="e">
        <f aca="false">VLOOKUP($G112,#REF!,2,0)</f>
        <v>#VALUE!</v>
      </c>
    </row>
    <row r="113" customFormat="false" ht="22.5" hidden="true" customHeight="true" outlineLevel="0" collapsed="false">
      <c r="A113" s="53"/>
      <c r="B113" s="53"/>
      <c r="C113" s="73" t="n">
        <v>39</v>
      </c>
      <c r="D113" s="74" t="s">
        <v>133</v>
      </c>
      <c r="E113" s="75" t="s">
        <v>134</v>
      </c>
      <c r="F113" s="73" t="s">
        <v>116</v>
      </c>
      <c r="G113" s="73" t="s">
        <v>117</v>
      </c>
      <c r="H113" s="73" t="s">
        <v>118</v>
      </c>
      <c r="I113" s="73" t="s">
        <v>118</v>
      </c>
      <c r="J113" s="76" t="n">
        <v>1</v>
      </c>
      <c r="K113" s="73" t="str">
        <f aca="false">IFERROR(VLOOKUP($J113,$J$10:$K$13,2,0),"")</f>
        <v>DISTRIBUTOR</v>
      </c>
      <c r="L113" s="73" t="s">
        <v>26</v>
      </c>
      <c r="M113" s="76" t="n">
        <v>9</v>
      </c>
      <c r="N113" s="73" t="str">
        <f aca="false">IFERROR(VLOOKUP($M113,$M$3:$Q$14,2,0),"")</f>
        <v>In Pcs</v>
      </c>
      <c r="O113" s="73" t="str">
        <f aca="false">IFERROR(VLOOKUP($M113,$M$3:$Q$14,3,0),"")</f>
        <v>Pcs</v>
      </c>
      <c r="P113" s="76" t="n">
        <f aca="false">IFERROR(VLOOKUP($M113,$M$3:$Q$14,4,0),"")</f>
        <v>4</v>
      </c>
      <c r="Q113" s="73" t="str">
        <f aca="false">IFERROR(VLOOKUP($M113,$M$3:$Q$14,5,0),"")</f>
        <v>small</v>
      </c>
      <c r="R113" s="73" t="n">
        <v>100</v>
      </c>
      <c r="S113" s="77" t="n">
        <f aca="false">S112/10</f>
        <v>798</v>
      </c>
      <c r="T113" s="78" t="n">
        <f aca="false">S113/1.11</f>
        <v>718.918918918919</v>
      </c>
      <c r="U113" s="79" t="n">
        <f aca="false">V113+(V113*11%)</f>
        <v>671.55</v>
      </c>
      <c r="V113" s="79" t="n">
        <v>605</v>
      </c>
      <c r="W113" s="1" t="e">
        <f aca="false">VLOOKUP($G113,#REF!,2,0)</f>
        <v>#VALUE!</v>
      </c>
    </row>
    <row r="114" customFormat="false" ht="22.5" hidden="true" customHeight="true" outlineLevel="0" collapsed="false">
      <c r="A114" s="53"/>
      <c r="B114" s="53"/>
      <c r="C114" s="73" t="n">
        <v>40</v>
      </c>
      <c r="D114" s="74" t="s">
        <v>135</v>
      </c>
      <c r="E114" s="75" t="s">
        <v>136</v>
      </c>
      <c r="F114" s="73" t="s">
        <v>116</v>
      </c>
      <c r="G114" s="73" t="s">
        <v>117</v>
      </c>
      <c r="H114" s="73" t="s">
        <v>118</v>
      </c>
      <c r="I114" s="73" t="s">
        <v>118</v>
      </c>
      <c r="J114" s="76" t="n">
        <v>1</v>
      </c>
      <c r="K114" s="73" t="str">
        <f aca="false">IFERROR(VLOOKUP($J114,$J$10:$K$13,2,0),"")</f>
        <v>DISTRIBUTOR</v>
      </c>
      <c r="L114" s="73" t="s">
        <v>26</v>
      </c>
      <c r="M114" s="76" t="n">
        <v>1</v>
      </c>
      <c r="N114" s="73" t="str">
        <f aca="false">IFERROR(VLOOKUP($M114,$M$3:$Q$14,2,0),"")</f>
        <v>In Carton</v>
      </c>
      <c r="O114" s="73" t="str">
        <f aca="false">IFERROR(VLOOKUP($M114,$M$3:$Q$14,3,0),"")</f>
        <v>Carton</v>
      </c>
      <c r="P114" s="76" t="n">
        <f aca="false">IFERROR(VLOOKUP($M114,$M$3:$Q$14,4,0),"")</f>
        <v>1</v>
      </c>
      <c r="Q114" s="73" t="str">
        <f aca="false">IFERROR(VLOOKUP($M114,$M$3:$Q$14,5,0),"")</f>
        <v>large</v>
      </c>
      <c r="R114" s="73" t="n">
        <v>1</v>
      </c>
      <c r="S114" s="77" t="n">
        <f aca="false">7980*10</f>
        <v>79800</v>
      </c>
      <c r="T114" s="78" t="n">
        <f aca="false">S114/1.11</f>
        <v>71891.8918918919</v>
      </c>
      <c r="U114" s="79" t="n">
        <f aca="false">V114+(V114*11%)</f>
        <v>67254.9</v>
      </c>
      <c r="V114" s="79" t="n">
        <v>60590</v>
      </c>
      <c r="W114" s="1" t="e">
        <f aca="false">VLOOKUP($G114,#REF!,2,0)</f>
        <v>#VALUE!</v>
      </c>
    </row>
    <row r="115" customFormat="false" ht="22.5" hidden="true" customHeight="true" outlineLevel="0" collapsed="false">
      <c r="A115" s="53"/>
      <c r="B115" s="53"/>
      <c r="C115" s="73" t="n">
        <v>40</v>
      </c>
      <c r="D115" s="74" t="s">
        <v>135</v>
      </c>
      <c r="E115" s="75" t="s">
        <v>136</v>
      </c>
      <c r="F115" s="73" t="s">
        <v>116</v>
      </c>
      <c r="G115" s="73" t="s">
        <v>117</v>
      </c>
      <c r="H115" s="73" t="s">
        <v>118</v>
      </c>
      <c r="I115" s="73" t="s">
        <v>118</v>
      </c>
      <c r="J115" s="76" t="n">
        <v>1</v>
      </c>
      <c r="K115" s="73" t="str">
        <f aca="false">IFERROR(VLOOKUP($J115,$J$10:$K$13,2,0),"")</f>
        <v>DISTRIBUTOR</v>
      </c>
      <c r="L115" s="73" t="s">
        <v>26</v>
      </c>
      <c r="M115" s="76" t="n">
        <v>8</v>
      </c>
      <c r="N115" s="73" t="str">
        <f aca="false">IFERROR(VLOOKUP($M115,$M$3:$Q$14,2,0),"")</f>
        <v>In Renceng</v>
      </c>
      <c r="O115" s="73" t="str">
        <f aca="false">IFERROR(VLOOKUP($M115,$M$3:$Q$14,3,0),"")</f>
        <v>Renceng</v>
      </c>
      <c r="P115" s="76" t="n">
        <f aca="false">IFERROR(VLOOKUP($M115,$M$3:$Q$14,4,0),"")</f>
        <v>3</v>
      </c>
      <c r="Q115" s="73" t="n">
        <f aca="false">IFERROR(VLOOKUP($M115,$M$3:$Q$14,5,0),"")</f>
        <v>0</v>
      </c>
      <c r="R115" s="73" t="n">
        <v>10</v>
      </c>
      <c r="S115" s="77" t="n">
        <f aca="false">S114/10</f>
        <v>7980</v>
      </c>
      <c r="T115" s="78" t="n">
        <f aca="false">S115/1.11</f>
        <v>7189.18918918919</v>
      </c>
      <c r="U115" s="79" t="n">
        <f aca="false">V115+(V115*11%)</f>
        <v>6725.49</v>
      </c>
      <c r="V115" s="79" t="n">
        <v>6059</v>
      </c>
      <c r="W115" s="1" t="e">
        <f aca="false">VLOOKUP($G115,#REF!,2,0)</f>
        <v>#VALUE!</v>
      </c>
    </row>
    <row r="116" customFormat="false" ht="22.5" hidden="true" customHeight="true" outlineLevel="0" collapsed="false">
      <c r="A116" s="53"/>
      <c r="B116" s="53"/>
      <c r="C116" s="73" t="n">
        <v>40</v>
      </c>
      <c r="D116" s="74" t="s">
        <v>135</v>
      </c>
      <c r="E116" s="75" t="s">
        <v>136</v>
      </c>
      <c r="F116" s="73" t="s">
        <v>116</v>
      </c>
      <c r="G116" s="73" t="s">
        <v>117</v>
      </c>
      <c r="H116" s="73" t="s">
        <v>118</v>
      </c>
      <c r="I116" s="73" t="s">
        <v>118</v>
      </c>
      <c r="J116" s="76" t="n">
        <v>1</v>
      </c>
      <c r="K116" s="73" t="str">
        <f aca="false">IFERROR(VLOOKUP($J116,$J$10:$K$13,2,0),"")</f>
        <v>DISTRIBUTOR</v>
      </c>
      <c r="L116" s="73" t="s">
        <v>26</v>
      </c>
      <c r="M116" s="76" t="n">
        <v>9</v>
      </c>
      <c r="N116" s="73" t="str">
        <f aca="false">IFERROR(VLOOKUP($M116,$M$3:$Q$14,2,0),"")</f>
        <v>In Pcs</v>
      </c>
      <c r="O116" s="73" t="str">
        <f aca="false">IFERROR(VLOOKUP($M116,$M$3:$Q$14,3,0),"")</f>
        <v>Pcs</v>
      </c>
      <c r="P116" s="76" t="n">
        <f aca="false">IFERROR(VLOOKUP($M116,$M$3:$Q$14,4,0),"")</f>
        <v>4</v>
      </c>
      <c r="Q116" s="73" t="str">
        <f aca="false">IFERROR(VLOOKUP($M116,$M$3:$Q$14,5,0),"")</f>
        <v>small</v>
      </c>
      <c r="R116" s="73" t="n">
        <v>100</v>
      </c>
      <c r="S116" s="77" t="n">
        <f aca="false">S115/10</f>
        <v>798</v>
      </c>
      <c r="T116" s="78" t="n">
        <f aca="false">S116/1.11</f>
        <v>718.918918918919</v>
      </c>
      <c r="U116" s="79" t="n">
        <f aca="false">V116+(V116*11%)</f>
        <v>671.55</v>
      </c>
      <c r="V116" s="79" t="n">
        <v>605</v>
      </c>
      <c r="W116" s="1" t="e">
        <f aca="false">VLOOKUP($G116,#REF!,2,0)</f>
        <v>#VALUE!</v>
      </c>
    </row>
    <row r="117" customFormat="false" ht="22.5" hidden="true" customHeight="true" outlineLevel="0" collapsed="false">
      <c r="A117" s="53"/>
      <c r="B117" s="53"/>
      <c r="C117" s="73" t="n">
        <v>41</v>
      </c>
      <c r="D117" s="74" t="s">
        <v>137</v>
      </c>
      <c r="E117" s="75" t="s">
        <v>138</v>
      </c>
      <c r="F117" s="73" t="s">
        <v>116</v>
      </c>
      <c r="G117" s="73" t="s">
        <v>117</v>
      </c>
      <c r="H117" s="73" t="s">
        <v>118</v>
      </c>
      <c r="I117" s="73" t="s">
        <v>118</v>
      </c>
      <c r="J117" s="76" t="n">
        <v>1</v>
      </c>
      <c r="K117" s="73" t="str">
        <f aca="false">IFERROR(VLOOKUP($J117,$J$10:$K$13,2,0),"")</f>
        <v>DISTRIBUTOR</v>
      </c>
      <c r="L117" s="73" t="s">
        <v>26</v>
      </c>
      <c r="M117" s="76" t="n">
        <v>1</v>
      </c>
      <c r="N117" s="73" t="str">
        <f aca="false">IFERROR(VLOOKUP($M117,$M$3:$Q$14,2,0),"")</f>
        <v>In Carton</v>
      </c>
      <c r="O117" s="73" t="str">
        <f aca="false">IFERROR(VLOOKUP($M117,$M$3:$Q$14,3,0),"")</f>
        <v>Carton</v>
      </c>
      <c r="P117" s="76" t="n">
        <f aca="false">IFERROR(VLOOKUP($M117,$M$3:$Q$14,4,0),"")</f>
        <v>1</v>
      </c>
      <c r="Q117" s="73" t="str">
        <f aca="false">IFERROR(VLOOKUP($M117,$M$3:$Q$14,5,0),"")</f>
        <v>large</v>
      </c>
      <c r="R117" s="73" t="n">
        <v>1</v>
      </c>
      <c r="S117" s="77" t="n">
        <f aca="false">7980*10</f>
        <v>79800</v>
      </c>
      <c r="T117" s="78" t="n">
        <f aca="false">S117/1.11</f>
        <v>71891.8918918919</v>
      </c>
      <c r="U117" s="79" t="n">
        <f aca="false">V117+(V117*11%)</f>
        <v>67254.9</v>
      </c>
      <c r="V117" s="79" t="n">
        <v>60590</v>
      </c>
      <c r="W117" s="1" t="e">
        <f aca="false">VLOOKUP($G117,#REF!,2,0)</f>
        <v>#VALUE!</v>
      </c>
    </row>
    <row r="118" customFormat="false" ht="22.5" hidden="true" customHeight="true" outlineLevel="0" collapsed="false">
      <c r="A118" s="53"/>
      <c r="B118" s="53"/>
      <c r="C118" s="73" t="n">
        <v>41</v>
      </c>
      <c r="D118" s="74" t="s">
        <v>137</v>
      </c>
      <c r="E118" s="75" t="s">
        <v>138</v>
      </c>
      <c r="F118" s="73" t="s">
        <v>116</v>
      </c>
      <c r="G118" s="73" t="s">
        <v>117</v>
      </c>
      <c r="H118" s="73" t="s">
        <v>118</v>
      </c>
      <c r="I118" s="73" t="s">
        <v>118</v>
      </c>
      <c r="J118" s="76" t="n">
        <v>1</v>
      </c>
      <c r="K118" s="73" t="str">
        <f aca="false">IFERROR(VLOOKUP($J118,$J$10:$K$13,2,0),"")</f>
        <v>DISTRIBUTOR</v>
      </c>
      <c r="L118" s="73" t="s">
        <v>26</v>
      </c>
      <c r="M118" s="76" t="n">
        <v>8</v>
      </c>
      <c r="N118" s="73" t="str">
        <f aca="false">IFERROR(VLOOKUP($M118,$M$3:$Q$14,2,0),"")</f>
        <v>In Renceng</v>
      </c>
      <c r="O118" s="73" t="str">
        <f aca="false">IFERROR(VLOOKUP($M118,$M$3:$Q$14,3,0),"")</f>
        <v>Renceng</v>
      </c>
      <c r="P118" s="76" t="n">
        <f aca="false">IFERROR(VLOOKUP($M118,$M$3:$Q$14,4,0),"")</f>
        <v>3</v>
      </c>
      <c r="Q118" s="73" t="n">
        <f aca="false">IFERROR(VLOOKUP($M118,$M$3:$Q$14,5,0),"")</f>
        <v>0</v>
      </c>
      <c r="R118" s="73" t="n">
        <v>10</v>
      </c>
      <c r="S118" s="77" t="n">
        <f aca="false">S117/10</f>
        <v>7980</v>
      </c>
      <c r="T118" s="78" t="n">
        <f aca="false">S118/1.11</f>
        <v>7189.18918918919</v>
      </c>
      <c r="U118" s="79" t="n">
        <f aca="false">V118+(V118*11%)</f>
        <v>6725.49</v>
      </c>
      <c r="V118" s="79" t="n">
        <v>6059</v>
      </c>
      <c r="W118" s="1" t="e">
        <f aca="false">VLOOKUP($G118,#REF!,2,0)</f>
        <v>#VALUE!</v>
      </c>
    </row>
    <row r="119" customFormat="false" ht="22.5" hidden="true" customHeight="true" outlineLevel="0" collapsed="false">
      <c r="A119" s="53"/>
      <c r="B119" s="53"/>
      <c r="C119" s="73" t="n">
        <v>41</v>
      </c>
      <c r="D119" s="74" t="s">
        <v>137</v>
      </c>
      <c r="E119" s="75" t="s">
        <v>138</v>
      </c>
      <c r="F119" s="73" t="s">
        <v>116</v>
      </c>
      <c r="G119" s="73" t="s">
        <v>117</v>
      </c>
      <c r="H119" s="73" t="s">
        <v>118</v>
      </c>
      <c r="I119" s="73" t="s">
        <v>118</v>
      </c>
      <c r="J119" s="76" t="n">
        <v>1</v>
      </c>
      <c r="K119" s="73" t="str">
        <f aca="false">IFERROR(VLOOKUP($J119,$J$10:$K$13,2,0),"")</f>
        <v>DISTRIBUTOR</v>
      </c>
      <c r="L119" s="73" t="s">
        <v>26</v>
      </c>
      <c r="M119" s="76" t="n">
        <v>9</v>
      </c>
      <c r="N119" s="73" t="str">
        <f aca="false">IFERROR(VLOOKUP($M119,$M$3:$Q$14,2,0),"")</f>
        <v>In Pcs</v>
      </c>
      <c r="O119" s="73" t="str">
        <f aca="false">IFERROR(VLOOKUP($M119,$M$3:$Q$14,3,0),"")</f>
        <v>Pcs</v>
      </c>
      <c r="P119" s="76" t="n">
        <f aca="false">IFERROR(VLOOKUP($M119,$M$3:$Q$14,4,0),"")</f>
        <v>4</v>
      </c>
      <c r="Q119" s="73" t="str">
        <f aca="false">IFERROR(VLOOKUP($M119,$M$3:$Q$14,5,0),"")</f>
        <v>small</v>
      </c>
      <c r="R119" s="73" t="n">
        <v>100</v>
      </c>
      <c r="S119" s="77" t="n">
        <f aca="false">S118/10</f>
        <v>798</v>
      </c>
      <c r="T119" s="78" t="n">
        <f aca="false">S119/1.11</f>
        <v>718.918918918919</v>
      </c>
      <c r="U119" s="79" t="n">
        <f aca="false">V119+(V119*11%)</f>
        <v>671.55</v>
      </c>
      <c r="V119" s="79" t="n">
        <v>605</v>
      </c>
      <c r="W119" s="1" t="e">
        <f aca="false">VLOOKUP($G119,#REF!,2,0)</f>
        <v>#VALUE!</v>
      </c>
    </row>
    <row r="120" customFormat="false" ht="22.5" hidden="true" customHeight="true" outlineLevel="0" collapsed="false">
      <c r="A120" s="53"/>
      <c r="B120" s="53"/>
      <c r="C120" s="73" t="n">
        <v>42</v>
      </c>
      <c r="D120" s="74" t="s">
        <v>139</v>
      </c>
      <c r="E120" s="75" t="s">
        <v>140</v>
      </c>
      <c r="F120" s="73" t="s">
        <v>141</v>
      </c>
      <c r="G120" s="75" t="s">
        <v>142</v>
      </c>
      <c r="H120" s="73" t="s">
        <v>118</v>
      </c>
      <c r="I120" s="73" t="s">
        <v>118</v>
      </c>
      <c r="J120" s="76" t="n">
        <v>1</v>
      </c>
      <c r="K120" s="73" t="str">
        <f aca="false">IFERROR(VLOOKUP($J120,$J$10:$K$13,2,0),"")</f>
        <v>DISTRIBUTOR</v>
      </c>
      <c r="L120" s="73" t="s">
        <v>26</v>
      </c>
      <c r="M120" s="76" t="n">
        <v>1</v>
      </c>
      <c r="N120" s="73" t="str">
        <f aca="false">IFERROR(VLOOKUP($M120,$M$3:$Q$14,2,0),"")</f>
        <v>In Carton</v>
      </c>
      <c r="O120" s="73" t="str">
        <f aca="false">IFERROR(VLOOKUP($M120,$M$3:$Q$14,3,0),"")</f>
        <v>Carton</v>
      </c>
      <c r="P120" s="76" t="n">
        <f aca="false">IFERROR(VLOOKUP($M120,$M$3:$Q$14,4,0),"")</f>
        <v>1</v>
      </c>
      <c r="Q120" s="73" t="str">
        <f aca="false">IFERROR(VLOOKUP($M120,$M$3:$Q$14,5,0),"")</f>
        <v>large</v>
      </c>
      <c r="R120" s="73" t="n">
        <v>1</v>
      </c>
      <c r="S120" s="77" t="n">
        <f aca="false">17000*5</f>
        <v>85000</v>
      </c>
      <c r="T120" s="78" t="n">
        <f aca="false">S120/1.11</f>
        <v>76576.5765765766</v>
      </c>
      <c r="U120" s="79" t="n">
        <f aca="false">V120+(V120*11%)</f>
        <v>66412.41</v>
      </c>
      <c r="V120" s="79" t="n">
        <v>59831</v>
      </c>
      <c r="W120" s="1" t="e">
        <f aca="false">VLOOKUP($G120,#REF!,2,0)</f>
        <v>#VALUE!</v>
      </c>
    </row>
    <row r="121" customFormat="false" ht="22.5" hidden="true" customHeight="true" outlineLevel="0" collapsed="false">
      <c r="A121" s="53"/>
      <c r="B121" s="53"/>
      <c r="C121" s="73" t="n">
        <v>42</v>
      </c>
      <c r="D121" s="74" t="s">
        <v>139</v>
      </c>
      <c r="E121" s="75" t="s">
        <v>140</v>
      </c>
      <c r="F121" s="73" t="s">
        <v>141</v>
      </c>
      <c r="G121" s="75" t="s">
        <v>142</v>
      </c>
      <c r="H121" s="73" t="s">
        <v>118</v>
      </c>
      <c r="I121" s="73" t="s">
        <v>118</v>
      </c>
      <c r="J121" s="76" t="n">
        <v>1</v>
      </c>
      <c r="K121" s="73" t="str">
        <f aca="false">IFERROR(VLOOKUP($J121,$J$10:$K$13,2,0),"")</f>
        <v>DISTRIBUTOR</v>
      </c>
      <c r="L121" s="73" t="s">
        <v>26</v>
      </c>
      <c r="M121" s="76" t="n">
        <v>3</v>
      </c>
      <c r="N121" s="73" t="str">
        <f aca="false">IFERROR(VLOOKUP($M121,$M$3:$Q$14,2,0),"")</f>
        <v>In Pack</v>
      </c>
      <c r="O121" s="73" t="str">
        <f aca="false">IFERROR(VLOOKUP($M121,$M$3:$Q$14,3,0),"")</f>
        <v>Pack</v>
      </c>
      <c r="P121" s="76" t="n">
        <f aca="false">IFERROR(VLOOKUP($M121,$M$3:$Q$14,4,0),"")</f>
        <v>2</v>
      </c>
      <c r="Q121" s="73" t="n">
        <f aca="false">IFERROR(VLOOKUP($M121,$M$3:$Q$14,5,0),"")</f>
        <v>0</v>
      </c>
      <c r="R121" s="73" t="n">
        <v>5</v>
      </c>
      <c r="S121" s="77" t="n">
        <f aca="false">S120/R121</f>
        <v>17000</v>
      </c>
      <c r="T121" s="78" t="n">
        <f aca="false">S121/1.11</f>
        <v>15315.3153153153</v>
      </c>
      <c r="U121" s="79" t="n">
        <f aca="false">V121+(V121*11%)</f>
        <v>13282.26</v>
      </c>
      <c r="V121" s="79" t="n">
        <v>11966</v>
      </c>
      <c r="W121" s="1" t="e">
        <f aca="false">VLOOKUP($G121,#REF!,2,0)</f>
        <v>#VALUE!</v>
      </c>
    </row>
    <row r="122" customFormat="false" ht="22.5" hidden="true" customHeight="true" outlineLevel="0" collapsed="false">
      <c r="A122" s="53"/>
      <c r="B122" s="53"/>
      <c r="C122" s="73" t="n">
        <v>42</v>
      </c>
      <c r="D122" s="74" t="s">
        <v>139</v>
      </c>
      <c r="E122" s="75" t="s">
        <v>140</v>
      </c>
      <c r="F122" s="73" t="s">
        <v>141</v>
      </c>
      <c r="G122" s="75" t="s">
        <v>142</v>
      </c>
      <c r="H122" s="73" t="s">
        <v>118</v>
      </c>
      <c r="I122" s="73" t="s">
        <v>118</v>
      </c>
      <c r="J122" s="76" t="n">
        <v>1</v>
      </c>
      <c r="K122" s="73" t="str">
        <f aca="false">IFERROR(VLOOKUP($J122,$J$10:$K$13,2,0),"")</f>
        <v>DISTRIBUTOR</v>
      </c>
      <c r="L122" s="73" t="s">
        <v>26</v>
      </c>
      <c r="M122" s="76" t="n">
        <v>9</v>
      </c>
      <c r="N122" s="73" t="str">
        <f aca="false">IFERROR(VLOOKUP($M122,$M$3:$Q$14,2,0),"")</f>
        <v>In Pcs</v>
      </c>
      <c r="O122" s="73" t="str">
        <f aca="false">IFERROR(VLOOKUP($M122,$M$3:$Q$14,3,0),"")</f>
        <v>Pcs</v>
      </c>
      <c r="P122" s="76" t="n">
        <f aca="false">IFERROR(VLOOKUP($M122,$M$3:$Q$14,4,0),"")</f>
        <v>4</v>
      </c>
      <c r="Q122" s="73" t="str">
        <f aca="false">IFERROR(VLOOKUP($M122,$M$3:$Q$14,5,0),"")</f>
        <v>small</v>
      </c>
      <c r="R122" s="73" t="n">
        <v>50</v>
      </c>
      <c r="S122" s="77" t="n">
        <v>1700</v>
      </c>
      <c r="T122" s="78" t="n">
        <v>1531</v>
      </c>
      <c r="U122" s="79" t="n">
        <f aca="false">V122+(V122*11%)</f>
        <v>1327.56</v>
      </c>
      <c r="V122" s="79" t="n">
        <v>1196</v>
      </c>
      <c r="W122" s="1" t="e">
        <f aca="false">VLOOKUP($G122,#REF!,2,0)</f>
        <v>#VALUE!</v>
      </c>
    </row>
    <row r="123" customFormat="false" ht="22.5" hidden="true" customHeight="true" outlineLevel="0" collapsed="false">
      <c r="A123" s="53"/>
      <c r="B123" s="53"/>
      <c r="C123" s="73" t="n">
        <v>43</v>
      </c>
      <c r="D123" s="74" t="s">
        <v>143</v>
      </c>
      <c r="E123" s="75" t="s">
        <v>144</v>
      </c>
      <c r="F123" s="73" t="s">
        <v>141</v>
      </c>
      <c r="G123" s="75" t="s">
        <v>142</v>
      </c>
      <c r="H123" s="73" t="s">
        <v>118</v>
      </c>
      <c r="I123" s="73" t="s">
        <v>118</v>
      </c>
      <c r="J123" s="76" t="n">
        <v>1</v>
      </c>
      <c r="K123" s="73" t="str">
        <f aca="false">IFERROR(VLOOKUP($J123,$J$10:$K$13,2,0),"")</f>
        <v>DISTRIBUTOR</v>
      </c>
      <c r="L123" s="73" t="s">
        <v>26</v>
      </c>
      <c r="M123" s="76" t="n">
        <v>1</v>
      </c>
      <c r="N123" s="73" t="str">
        <f aca="false">IFERROR(VLOOKUP($M123,$M$3:$Q$14,2,0),"")</f>
        <v>In Carton</v>
      </c>
      <c r="O123" s="73" t="str">
        <f aca="false">IFERROR(VLOOKUP($M123,$M$3:$Q$14,3,0),"")</f>
        <v>Carton</v>
      </c>
      <c r="P123" s="76" t="n">
        <f aca="false">IFERROR(VLOOKUP($M123,$M$3:$Q$14,4,0),"")</f>
        <v>1</v>
      </c>
      <c r="Q123" s="73" t="str">
        <f aca="false">IFERROR(VLOOKUP($M123,$M$3:$Q$14,5,0),"")</f>
        <v>large</v>
      </c>
      <c r="R123" s="73" t="n">
        <v>1</v>
      </c>
      <c r="S123" s="77" t="n">
        <f aca="false">17000*5</f>
        <v>85000</v>
      </c>
      <c r="T123" s="78" t="n">
        <f aca="false">S123/1.11</f>
        <v>76576.5765765766</v>
      </c>
      <c r="U123" s="79" t="n">
        <f aca="false">V123+(V123*11%)</f>
        <v>66412.41</v>
      </c>
      <c r="V123" s="79" t="n">
        <v>59831</v>
      </c>
      <c r="W123" s="1" t="e">
        <f aca="false">VLOOKUP($G123,#REF!,2,0)</f>
        <v>#VALUE!</v>
      </c>
    </row>
    <row r="124" customFormat="false" ht="22.5" hidden="true" customHeight="true" outlineLevel="0" collapsed="false">
      <c r="A124" s="53"/>
      <c r="B124" s="53"/>
      <c r="C124" s="73" t="n">
        <v>43</v>
      </c>
      <c r="D124" s="74" t="s">
        <v>143</v>
      </c>
      <c r="E124" s="75" t="s">
        <v>144</v>
      </c>
      <c r="F124" s="73" t="s">
        <v>141</v>
      </c>
      <c r="G124" s="75" t="s">
        <v>142</v>
      </c>
      <c r="H124" s="73" t="s">
        <v>118</v>
      </c>
      <c r="I124" s="73" t="s">
        <v>118</v>
      </c>
      <c r="J124" s="76" t="n">
        <v>1</v>
      </c>
      <c r="K124" s="73" t="str">
        <f aca="false">IFERROR(VLOOKUP($J124,$J$10:$K$13,2,0),"")</f>
        <v>DISTRIBUTOR</v>
      </c>
      <c r="L124" s="73" t="s">
        <v>26</v>
      </c>
      <c r="M124" s="76" t="n">
        <v>3</v>
      </c>
      <c r="N124" s="73" t="str">
        <f aca="false">IFERROR(VLOOKUP($M124,$M$3:$Q$14,2,0),"")</f>
        <v>In Pack</v>
      </c>
      <c r="O124" s="73" t="str">
        <f aca="false">IFERROR(VLOOKUP($M124,$M$3:$Q$14,3,0),"")</f>
        <v>Pack</v>
      </c>
      <c r="P124" s="76" t="n">
        <f aca="false">IFERROR(VLOOKUP($M124,$M$3:$Q$14,4,0),"")</f>
        <v>2</v>
      </c>
      <c r="Q124" s="73" t="n">
        <f aca="false">IFERROR(VLOOKUP($M124,$M$3:$Q$14,5,0),"")</f>
        <v>0</v>
      </c>
      <c r="R124" s="73" t="n">
        <v>5</v>
      </c>
      <c r="S124" s="77" t="n">
        <f aca="false">S123/R124</f>
        <v>17000</v>
      </c>
      <c r="T124" s="78" t="n">
        <f aca="false">S124/1.11</f>
        <v>15315.3153153153</v>
      </c>
      <c r="U124" s="79" t="n">
        <f aca="false">V124+(V124*11%)</f>
        <v>13282.26</v>
      </c>
      <c r="V124" s="79" t="n">
        <v>11966</v>
      </c>
      <c r="W124" s="1" t="e">
        <f aca="false">VLOOKUP($G124,#REF!,2,0)</f>
        <v>#VALUE!</v>
      </c>
    </row>
    <row r="125" customFormat="false" ht="22.5" hidden="true" customHeight="true" outlineLevel="0" collapsed="false">
      <c r="A125" s="53"/>
      <c r="B125" s="53"/>
      <c r="C125" s="73" t="n">
        <v>43</v>
      </c>
      <c r="D125" s="74" t="s">
        <v>143</v>
      </c>
      <c r="E125" s="75" t="s">
        <v>144</v>
      </c>
      <c r="F125" s="73" t="s">
        <v>141</v>
      </c>
      <c r="G125" s="75" t="s">
        <v>142</v>
      </c>
      <c r="H125" s="73" t="s">
        <v>118</v>
      </c>
      <c r="I125" s="73" t="s">
        <v>118</v>
      </c>
      <c r="J125" s="76" t="n">
        <v>1</v>
      </c>
      <c r="K125" s="73" t="str">
        <f aca="false">IFERROR(VLOOKUP($J125,$J$10:$K$13,2,0),"")</f>
        <v>DISTRIBUTOR</v>
      </c>
      <c r="L125" s="73" t="s">
        <v>26</v>
      </c>
      <c r="M125" s="76" t="n">
        <v>9</v>
      </c>
      <c r="N125" s="73" t="str">
        <f aca="false">IFERROR(VLOOKUP($M125,$M$3:$Q$14,2,0),"")</f>
        <v>In Pcs</v>
      </c>
      <c r="O125" s="73" t="str">
        <f aca="false">IFERROR(VLOOKUP($M125,$M$3:$Q$14,3,0),"")</f>
        <v>Pcs</v>
      </c>
      <c r="P125" s="76" t="n">
        <f aca="false">IFERROR(VLOOKUP($M125,$M$3:$Q$14,4,0),"")</f>
        <v>4</v>
      </c>
      <c r="Q125" s="73" t="str">
        <f aca="false">IFERROR(VLOOKUP($M125,$M$3:$Q$14,5,0),"")</f>
        <v>small</v>
      </c>
      <c r="R125" s="73" t="n">
        <v>50</v>
      </c>
      <c r="S125" s="77" t="n">
        <v>1700</v>
      </c>
      <c r="T125" s="78" t="n">
        <v>1531</v>
      </c>
      <c r="U125" s="79" t="n">
        <f aca="false">V125+(V125*11%)</f>
        <v>1327.56</v>
      </c>
      <c r="V125" s="79" t="n">
        <v>1196</v>
      </c>
      <c r="W125" s="1" t="e">
        <f aca="false">VLOOKUP($G125,#REF!,2,0)</f>
        <v>#VALUE!</v>
      </c>
    </row>
    <row r="126" customFormat="false" ht="22.5" hidden="true" customHeight="true" outlineLevel="0" collapsed="false">
      <c r="A126" s="53"/>
      <c r="B126" s="53"/>
      <c r="C126" s="73" t="n">
        <v>44</v>
      </c>
      <c r="D126" s="74" t="s">
        <v>145</v>
      </c>
      <c r="E126" s="75" t="s">
        <v>146</v>
      </c>
      <c r="F126" s="73" t="s">
        <v>141</v>
      </c>
      <c r="G126" s="75" t="s">
        <v>142</v>
      </c>
      <c r="H126" s="73" t="s">
        <v>118</v>
      </c>
      <c r="I126" s="73" t="s">
        <v>118</v>
      </c>
      <c r="J126" s="76" t="n">
        <v>1</v>
      </c>
      <c r="K126" s="73" t="str">
        <f aca="false">IFERROR(VLOOKUP($J126,$J$10:$K$13,2,0),"")</f>
        <v>DISTRIBUTOR</v>
      </c>
      <c r="L126" s="73" t="s">
        <v>26</v>
      </c>
      <c r="M126" s="76" t="n">
        <v>1</v>
      </c>
      <c r="N126" s="73" t="str">
        <f aca="false">IFERROR(VLOOKUP($M126,$M$3:$Q$14,2,0),"")</f>
        <v>In Carton</v>
      </c>
      <c r="O126" s="73" t="str">
        <f aca="false">IFERROR(VLOOKUP($M126,$M$3:$Q$14,3,0),"")</f>
        <v>Carton</v>
      </c>
      <c r="P126" s="76" t="n">
        <f aca="false">IFERROR(VLOOKUP($M126,$M$3:$Q$14,4,0),"")</f>
        <v>1</v>
      </c>
      <c r="Q126" s="73" t="str">
        <f aca="false">IFERROR(VLOOKUP($M126,$M$3:$Q$14,5,0),"")</f>
        <v>large</v>
      </c>
      <c r="R126" s="73" t="n">
        <v>1</v>
      </c>
      <c r="S126" s="77" t="n">
        <f aca="false">17000*5</f>
        <v>85000</v>
      </c>
      <c r="T126" s="78" t="n">
        <f aca="false">S126/1.11</f>
        <v>76576.5765765766</v>
      </c>
      <c r="U126" s="79" t="n">
        <f aca="false">V126+(V126*11%)</f>
        <v>66412.41</v>
      </c>
      <c r="V126" s="79" t="n">
        <v>59831</v>
      </c>
      <c r="W126" s="1" t="e">
        <f aca="false">VLOOKUP($G126,#REF!,2,0)</f>
        <v>#VALUE!</v>
      </c>
    </row>
    <row r="127" customFormat="false" ht="22.5" hidden="true" customHeight="true" outlineLevel="0" collapsed="false">
      <c r="A127" s="53"/>
      <c r="B127" s="53"/>
      <c r="C127" s="73" t="n">
        <v>44</v>
      </c>
      <c r="D127" s="74" t="s">
        <v>145</v>
      </c>
      <c r="E127" s="75" t="s">
        <v>146</v>
      </c>
      <c r="F127" s="73" t="s">
        <v>141</v>
      </c>
      <c r="G127" s="75" t="s">
        <v>142</v>
      </c>
      <c r="H127" s="73" t="s">
        <v>118</v>
      </c>
      <c r="I127" s="73" t="s">
        <v>118</v>
      </c>
      <c r="J127" s="76" t="n">
        <v>1</v>
      </c>
      <c r="K127" s="73" t="str">
        <f aca="false">IFERROR(VLOOKUP($J127,$J$10:$K$13,2,0),"")</f>
        <v>DISTRIBUTOR</v>
      </c>
      <c r="L127" s="73" t="s">
        <v>26</v>
      </c>
      <c r="M127" s="76" t="n">
        <v>3</v>
      </c>
      <c r="N127" s="73" t="str">
        <f aca="false">IFERROR(VLOOKUP($M127,$M$3:$Q$14,2,0),"")</f>
        <v>In Pack</v>
      </c>
      <c r="O127" s="73" t="str">
        <f aca="false">IFERROR(VLOOKUP($M127,$M$3:$Q$14,3,0),"")</f>
        <v>Pack</v>
      </c>
      <c r="P127" s="76" t="n">
        <f aca="false">IFERROR(VLOOKUP($M127,$M$3:$Q$14,4,0),"")</f>
        <v>2</v>
      </c>
      <c r="Q127" s="73" t="n">
        <f aca="false">IFERROR(VLOOKUP($M127,$M$3:$Q$14,5,0),"")</f>
        <v>0</v>
      </c>
      <c r="R127" s="73" t="n">
        <v>5</v>
      </c>
      <c r="S127" s="77" t="n">
        <f aca="false">S126/R127</f>
        <v>17000</v>
      </c>
      <c r="T127" s="78" t="n">
        <f aca="false">S127/1.11</f>
        <v>15315.3153153153</v>
      </c>
      <c r="U127" s="79" t="n">
        <f aca="false">V127+(V127*11%)</f>
        <v>13282.26</v>
      </c>
      <c r="V127" s="79" t="n">
        <v>11966</v>
      </c>
      <c r="W127" s="1" t="e">
        <f aca="false">VLOOKUP($G127,#REF!,2,0)</f>
        <v>#VALUE!</v>
      </c>
    </row>
    <row r="128" customFormat="false" ht="22.5" hidden="true" customHeight="true" outlineLevel="0" collapsed="false">
      <c r="A128" s="53"/>
      <c r="B128" s="53"/>
      <c r="C128" s="73" t="n">
        <v>44</v>
      </c>
      <c r="D128" s="74" t="s">
        <v>145</v>
      </c>
      <c r="E128" s="75" t="s">
        <v>146</v>
      </c>
      <c r="F128" s="73" t="s">
        <v>141</v>
      </c>
      <c r="G128" s="75" t="s">
        <v>142</v>
      </c>
      <c r="H128" s="73" t="s">
        <v>118</v>
      </c>
      <c r="I128" s="73" t="s">
        <v>118</v>
      </c>
      <c r="J128" s="76" t="n">
        <v>1</v>
      </c>
      <c r="K128" s="73" t="str">
        <f aca="false">IFERROR(VLOOKUP($J128,$J$10:$K$13,2,0),"")</f>
        <v>DISTRIBUTOR</v>
      </c>
      <c r="L128" s="73" t="s">
        <v>26</v>
      </c>
      <c r="M128" s="76" t="n">
        <v>9</v>
      </c>
      <c r="N128" s="73" t="str">
        <f aca="false">IFERROR(VLOOKUP($M128,$M$3:$Q$14,2,0),"")</f>
        <v>In Pcs</v>
      </c>
      <c r="O128" s="73" t="str">
        <f aca="false">IFERROR(VLOOKUP($M128,$M$3:$Q$14,3,0),"")</f>
        <v>Pcs</v>
      </c>
      <c r="P128" s="76" t="n">
        <f aca="false">IFERROR(VLOOKUP($M128,$M$3:$Q$14,4,0),"")</f>
        <v>4</v>
      </c>
      <c r="Q128" s="73" t="str">
        <f aca="false">IFERROR(VLOOKUP($M128,$M$3:$Q$14,5,0),"")</f>
        <v>small</v>
      </c>
      <c r="R128" s="73" t="n">
        <v>50</v>
      </c>
      <c r="S128" s="77" t="n">
        <v>1700</v>
      </c>
      <c r="T128" s="78" t="n">
        <v>1531</v>
      </c>
      <c r="U128" s="79" t="n">
        <f aca="false">V128+(V128*11%)</f>
        <v>1327.56</v>
      </c>
      <c r="V128" s="79" t="n">
        <v>1196</v>
      </c>
      <c r="W128" s="1" t="e">
        <f aca="false">VLOOKUP($G128,#REF!,2,0)</f>
        <v>#VALUE!</v>
      </c>
    </row>
    <row r="129" customFormat="false" ht="22.5" hidden="true" customHeight="true" outlineLevel="0" collapsed="false">
      <c r="A129" s="53"/>
      <c r="B129" s="53"/>
      <c r="C129" s="73" t="n">
        <v>45</v>
      </c>
      <c r="D129" s="74" t="s">
        <v>147</v>
      </c>
      <c r="E129" s="75" t="s">
        <v>148</v>
      </c>
      <c r="F129" s="73" t="s">
        <v>141</v>
      </c>
      <c r="G129" s="75" t="s">
        <v>142</v>
      </c>
      <c r="H129" s="73" t="s">
        <v>118</v>
      </c>
      <c r="I129" s="73" t="s">
        <v>118</v>
      </c>
      <c r="J129" s="76" t="n">
        <v>1</v>
      </c>
      <c r="K129" s="73" t="str">
        <f aca="false">IFERROR(VLOOKUP($J129,$J$10:$K$13,2,0),"")</f>
        <v>DISTRIBUTOR</v>
      </c>
      <c r="L129" s="73" t="s">
        <v>26</v>
      </c>
      <c r="M129" s="76" t="n">
        <v>1</v>
      </c>
      <c r="N129" s="73" t="str">
        <f aca="false">IFERROR(VLOOKUP($M129,$M$3:$Q$14,2,0),"")</f>
        <v>In Carton</v>
      </c>
      <c r="O129" s="73" t="str">
        <f aca="false">IFERROR(VLOOKUP($M129,$M$3:$Q$14,3,0),"")</f>
        <v>Carton</v>
      </c>
      <c r="P129" s="76" t="n">
        <f aca="false">IFERROR(VLOOKUP($M129,$M$3:$Q$14,4,0),"")</f>
        <v>1</v>
      </c>
      <c r="Q129" s="73" t="str">
        <f aca="false">IFERROR(VLOOKUP($M129,$M$3:$Q$14,5,0),"")</f>
        <v>large</v>
      </c>
      <c r="R129" s="73" t="n">
        <v>1</v>
      </c>
      <c r="S129" s="77" t="n">
        <f aca="false">17000*5</f>
        <v>85000</v>
      </c>
      <c r="T129" s="78" t="n">
        <f aca="false">S129/1.11</f>
        <v>76576.5765765766</v>
      </c>
      <c r="U129" s="79" t="n">
        <f aca="false">V129+(V129*11%)</f>
        <v>66412.41</v>
      </c>
      <c r="V129" s="79" t="n">
        <v>59831</v>
      </c>
      <c r="W129" s="1" t="e">
        <f aca="false">VLOOKUP($G129,#REF!,2,0)</f>
        <v>#VALUE!</v>
      </c>
    </row>
    <row r="130" customFormat="false" ht="22.5" hidden="true" customHeight="true" outlineLevel="0" collapsed="false">
      <c r="A130" s="53"/>
      <c r="B130" s="53"/>
      <c r="C130" s="73" t="n">
        <v>45</v>
      </c>
      <c r="D130" s="74" t="s">
        <v>147</v>
      </c>
      <c r="E130" s="75" t="s">
        <v>148</v>
      </c>
      <c r="F130" s="73" t="s">
        <v>141</v>
      </c>
      <c r="G130" s="75" t="s">
        <v>142</v>
      </c>
      <c r="H130" s="73" t="s">
        <v>118</v>
      </c>
      <c r="I130" s="73" t="s">
        <v>118</v>
      </c>
      <c r="J130" s="76" t="n">
        <v>1</v>
      </c>
      <c r="K130" s="73" t="str">
        <f aca="false">IFERROR(VLOOKUP($J130,$J$10:$K$13,2,0),"")</f>
        <v>DISTRIBUTOR</v>
      </c>
      <c r="L130" s="73" t="s">
        <v>26</v>
      </c>
      <c r="M130" s="76" t="n">
        <v>3</v>
      </c>
      <c r="N130" s="73" t="str">
        <f aca="false">IFERROR(VLOOKUP($M130,$M$3:$Q$14,2,0),"")</f>
        <v>In Pack</v>
      </c>
      <c r="O130" s="73" t="str">
        <f aca="false">IFERROR(VLOOKUP($M130,$M$3:$Q$14,3,0),"")</f>
        <v>Pack</v>
      </c>
      <c r="P130" s="76" t="n">
        <f aca="false">IFERROR(VLOOKUP($M130,$M$3:$Q$14,4,0),"")</f>
        <v>2</v>
      </c>
      <c r="Q130" s="73" t="n">
        <f aca="false">IFERROR(VLOOKUP($M130,$M$3:$Q$14,5,0),"")</f>
        <v>0</v>
      </c>
      <c r="R130" s="73" t="n">
        <v>5</v>
      </c>
      <c r="S130" s="77" t="n">
        <f aca="false">S129/R130</f>
        <v>17000</v>
      </c>
      <c r="T130" s="78" t="n">
        <f aca="false">S130/1.11</f>
        <v>15315.3153153153</v>
      </c>
      <c r="U130" s="79" t="n">
        <f aca="false">V130+(V130*11%)</f>
        <v>13282.26</v>
      </c>
      <c r="V130" s="79" t="n">
        <v>11966</v>
      </c>
      <c r="W130" s="1" t="e">
        <f aca="false">VLOOKUP($G130,#REF!,2,0)</f>
        <v>#VALUE!</v>
      </c>
    </row>
    <row r="131" customFormat="false" ht="22.5" hidden="true" customHeight="true" outlineLevel="0" collapsed="false">
      <c r="A131" s="53"/>
      <c r="B131" s="53"/>
      <c r="C131" s="73" t="n">
        <v>45</v>
      </c>
      <c r="D131" s="74" t="s">
        <v>147</v>
      </c>
      <c r="E131" s="75" t="s">
        <v>148</v>
      </c>
      <c r="F131" s="73" t="s">
        <v>141</v>
      </c>
      <c r="G131" s="75" t="s">
        <v>142</v>
      </c>
      <c r="H131" s="73" t="s">
        <v>118</v>
      </c>
      <c r="I131" s="73" t="s">
        <v>118</v>
      </c>
      <c r="J131" s="76" t="n">
        <v>1</v>
      </c>
      <c r="K131" s="73" t="str">
        <f aca="false">IFERROR(VLOOKUP($J131,$J$10:$K$13,2,0),"")</f>
        <v>DISTRIBUTOR</v>
      </c>
      <c r="L131" s="73" t="s">
        <v>26</v>
      </c>
      <c r="M131" s="76" t="n">
        <v>9</v>
      </c>
      <c r="N131" s="73" t="str">
        <f aca="false">IFERROR(VLOOKUP($M131,$M$3:$Q$14,2,0),"")</f>
        <v>In Pcs</v>
      </c>
      <c r="O131" s="73" t="str">
        <f aca="false">IFERROR(VLOOKUP($M131,$M$3:$Q$14,3,0),"")</f>
        <v>Pcs</v>
      </c>
      <c r="P131" s="76" t="n">
        <f aca="false">IFERROR(VLOOKUP($M131,$M$3:$Q$14,4,0),"")</f>
        <v>4</v>
      </c>
      <c r="Q131" s="73" t="str">
        <f aca="false">IFERROR(VLOOKUP($M131,$M$3:$Q$14,5,0),"")</f>
        <v>small</v>
      </c>
      <c r="R131" s="73" t="n">
        <v>50</v>
      </c>
      <c r="S131" s="77" t="n">
        <v>1700</v>
      </c>
      <c r="T131" s="78" t="n">
        <v>1531</v>
      </c>
      <c r="U131" s="79" t="n">
        <f aca="false">V131+(V131*11%)</f>
        <v>1327.56</v>
      </c>
      <c r="V131" s="79" t="n">
        <v>1196</v>
      </c>
      <c r="W131" s="1" t="e">
        <f aca="false">VLOOKUP($G131,#REF!,2,0)</f>
        <v>#VALUE!</v>
      </c>
    </row>
    <row r="132" customFormat="false" ht="22.5" hidden="true" customHeight="true" outlineLevel="0" collapsed="false">
      <c r="A132" s="53"/>
      <c r="B132" s="53"/>
      <c r="C132" s="73" t="n">
        <v>46</v>
      </c>
      <c r="D132" s="74" t="s">
        <v>149</v>
      </c>
      <c r="E132" s="75" t="s">
        <v>150</v>
      </c>
      <c r="F132" s="73" t="s">
        <v>141</v>
      </c>
      <c r="G132" s="75" t="s">
        <v>142</v>
      </c>
      <c r="H132" s="73" t="s">
        <v>118</v>
      </c>
      <c r="I132" s="73" t="s">
        <v>118</v>
      </c>
      <c r="J132" s="76" t="n">
        <v>1</v>
      </c>
      <c r="K132" s="73" t="str">
        <f aca="false">IFERROR(VLOOKUP($J132,$J$10:$K$13,2,0),"")</f>
        <v>DISTRIBUTOR</v>
      </c>
      <c r="L132" s="73" t="s">
        <v>26</v>
      </c>
      <c r="M132" s="76" t="n">
        <v>1</v>
      </c>
      <c r="N132" s="73" t="str">
        <f aca="false">IFERROR(VLOOKUP($M132,$M$3:$Q$14,2,0),"")</f>
        <v>In Carton</v>
      </c>
      <c r="O132" s="73" t="str">
        <f aca="false">IFERROR(VLOOKUP($M132,$M$3:$Q$14,3,0),"")</f>
        <v>Carton</v>
      </c>
      <c r="P132" s="76" t="n">
        <f aca="false">IFERROR(VLOOKUP($M132,$M$3:$Q$14,4,0),"")</f>
        <v>1</v>
      </c>
      <c r="Q132" s="73" t="str">
        <f aca="false">IFERROR(VLOOKUP($M132,$M$3:$Q$14,5,0),"")</f>
        <v>large</v>
      </c>
      <c r="R132" s="73" t="n">
        <v>1</v>
      </c>
      <c r="S132" s="77" t="n">
        <f aca="false">17000*5</f>
        <v>85000</v>
      </c>
      <c r="T132" s="78" t="n">
        <f aca="false">S132/1.11</f>
        <v>76576.5765765766</v>
      </c>
      <c r="U132" s="79" t="n">
        <f aca="false">V132+(V132*11%)</f>
        <v>66412.41</v>
      </c>
      <c r="V132" s="79" t="n">
        <v>59831</v>
      </c>
      <c r="W132" s="1" t="e">
        <f aca="false">VLOOKUP($G132,#REF!,2,0)</f>
        <v>#VALUE!</v>
      </c>
    </row>
    <row r="133" customFormat="false" ht="22.5" hidden="true" customHeight="true" outlineLevel="0" collapsed="false">
      <c r="A133" s="53"/>
      <c r="B133" s="53"/>
      <c r="C133" s="73" t="n">
        <v>46</v>
      </c>
      <c r="D133" s="74" t="s">
        <v>149</v>
      </c>
      <c r="E133" s="75" t="s">
        <v>150</v>
      </c>
      <c r="F133" s="73" t="s">
        <v>141</v>
      </c>
      <c r="G133" s="75" t="s">
        <v>142</v>
      </c>
      <c r="H133" s="73" t="s">
        <v>118</v>
      </c>
      <c r="I133" s="73" t="s">
        <v>118</v>
      </c>
      <c r="J133" s="76" t="n">
        <v>1</v>
      </c>
      <c r="K133" s="73" t="str">
        <f aca="false">IFERROR(VLOOKUP($J133,$J$10:$K$13,2,0),"")</f>
        <v>DISTRIBUTOR</v>
      </c>
      <c r="L133" s="73" t="s">
        <v>26</v>
      </c>
      <c r="M133" s="76" t="n">
        <v>3</v>
      </c>
      <c r="N133" s="73" t="str">
        <f aca="false">IFERROR(VLOOKUP($M133,$M$3:$Q$14,2,0),"")</f>
        <v>In Pack</v>
      </c>
      <c r="O133" s="73" t="str">
        <f aca="false">IFERROR(VLOOKUP($M133,$M$3:$Q$14,3,0),"")</f>
        <v>Pack</v>
      </c>
      <c r="P133" s="76" t="n">
        <f aca="false">IFERROR(VLOOKUP($M133,$M$3:$Q$14,4,0),"")</f>
        <v>2</v>
      </c>
      <c r="Q133" s="73" t="n">
        <f aca="false">IFERROR(VLOOKUP($M133,$M$3:$Q$14,5,0),"")</f>
        <v>0</v>
      </c>
      <c r="R133" s="73" t="n">
        <v>5</v>
      </c>
      <c r="S133" s="77" t="n">
        <f aca="false">S132/R133</f>
        <v>17000</v>
      </c>
      <c r="T133" s="78" t="n">
        <f aca="false">S133/1.11</f>
        <v>15315.3153153153</v>
      </c>
      <c r="U133" s="79" t="n">
        <f aca="false">V133+(V133*11%)</f>
        <v>13282.26</v>
      </c>
      <c r="V133" s="79" t="n">
        <v>11966</v>
      </c>
      <c r="W133" s="1" t="e">
        <f aca="false">VLOOKUP($G133,#REF!,2,0)</f>
        <v>#VALUE!</v>
      </c>
    </row>
    <row r="134" customFormat="false" ht="22.5" hidden="true" customHeight="true" outlineLevel="0" collapsed="false">
      <c r="A134" s="53"/>
      <c r="B134" s="53"/>
      <c r="C134" s="73" t="n">
        <v>46</v>
      </c>
      <c r="D134" s="74" t="s">
        <v>149</v>
      </c>
      <c r="E134" s="75" t="s">
        <v>150</v>
      </c>
      <c r="F134" s="73" t="s">
        <v>141</v>
      </c>
      <c r="G134" s="75" t="s">
        <v>142</v>
      </c>
      <c r="H134" s="73" t="s">
        <v>118</v>
      </c>
      <c r="I134" s="73" t="s">
        <v>118</v>
      </c>
      <c r="J134" s="76" t="n">
        <v>1</v>
      </c>
      <c r="K134" s="73" t="str">
        <f aca="false">IFERROR(VLOOKUP($J134,$J$10:$K$13,2,0),"")</f>
        <v>DISTRIBUTOR</v>
      </c>
      <c r="L134" s="73" t="s">
        <v>26</v>
      </c>
      <c r="M134" s="76" t="n">
        <v>9</v>
      </c>
      <c r="N134" s="73" t="str">
        <f aca="false">IFERROR(VLOOKUP($M134,$M$3:$Q$14,2,0),"")</f>
        <v>In Pcs</v>
      </c>
      <c r="O134" s="73" t="str">
        <f aca="false">IFERROR(VLOOKUP($M134,$M$3:$Q$14,3,0),"")</f>
        <v>Pcs</v>
      </c>
      <c r="P134" s="76" t="n">
        <f aca="false">IFERROR(VLOOKUP($M134,$M$3:$Q$14,4,0),"")</f>
        <v>4</v>
      </c>
      <c r="Q134" s="73" t="str">
        <f aca="false">IFERROR(VLOOKUP($M134,$M$3:$Q$14,5,0),"")</f>
        <v>small</v>
      </c>
      <c r="R134" s="73" t="n">
        <v>50</v>
      </c>
      <c r="S134" s="77" t="n">
        <v>1700</v>
      </c>
      <c r="T134" s="78" t="n">
        <v>1531</v>
      </c>
      <c r="U134" s="79" t="n">
        <f aca="false">V134+(V134*11%)</f>
        <v>1327.56</v>
      </c>
      <c r="V134" s="79" t="n">
        <v>1196</v>
      </c>
      <c r="W134" s="1" t="e">
        <f aca="false">VLOOKUP($G134,#REF!,2,0)</f>
        <v>#VALUE!</v>
      </c>
    </row>
    <row r="135" customFormat="false" ht="22.5" hidden="true" customHeight="true" outlineLevel="0" collapsed="false">
      <c r="A135" s="53"/>
      <c r="B135" s="53"/>
      <c r="C135" s="73" t="n">
        <v>47</v>
      </c>
      <c r="D135" s="74" t="s">
        <v>151</v>
      </c>
      <c r="E135" s="75" t="s">
        <v>152</v>
      </c>
      <c r="F135" s="73" t="s">
        <v>141</v>
      </c>
      <c r="G135" s="75" t="s">
        <v>142</v>
      </c>
      <c r="H135" s="73" t="s">
        <v>118</v>
      </c>
      <c r="I135" s="73" t="s">
        <v>118</v>
      </c>
      <c r="J135" s="76" t="n">
        <v>1</v>
      </c>
      <c r="K135" s="73" t="str">
        <f aca="false">IFERROR(VLOOKUP($J135,$J$10:$K$13,2,0),"")</f>
        <v>DISTRIBUTOR</v>
      </c>
      <c r="L135" s="73" t="s">
        <v>26</v>
      </c>
      <c r="M135" s="76" t="n">
        <v>1</v>
      </c>
      <c r="N135" s="73" t="str">
        <f aca="false">IFERROR(VLOOKUP($M135,$M$3:$Q$14,2,0),"")</f>
        <v>In Carton</v>
      </c>
      <c r="O135" s="73" t="str">
        <f aca="false">IFERROR(VLOOKUP($M135,$M$3:$Q$14,3,0),"")</f>
        <v>Carton</v>
      </c>
      <c r="P135" s="76" t="n">
        <f aca="false">IFERROR(VLOOKUP($M135,$M$3:$Q$14,4,0),"")</f>
        <v>1</v>
      </c>
      <c r="Q135" s="73" t="str">
        <f aca="false">IFERROR(VLOOKUP($M135,$M$3:$Q$14,5,0),"")</f>
        <v>large</v>
      </c>
      <c r="R135" s="73" t="n">
        <v>1</v>
      </c>
      <c r="S135" s="77" t="n">
        <f aca="false">17000*5</f>
        <v>85000</v>
      </c>
      <c r="T135" s="78" t="n">
        <f aca="false">S135/1.11</f>
        <v>76576.5765765766</v>
      </c>
      <c r="U135" s="79" t="n">
        <f aca="false">V135+(V135*11%)</f>
        <v>66412.41</v>
      </c>
      <c r="V135" s="79" t="n">
        <v>59831</v>
      </c>
      <c r="W135" s="1" t="e">
        <f aca="false">VLOOKUP($G135,#REF!,2,0)</f>
        <v>#VALUE!</v>
      </c>
    </row>
    <row r="136" customFormat="false" ht="22.5" hidden="true" customHeight="true" outlineLevel="0" collapsed="false">
      <c r="A136" s="53"/>
      <c r="B136" s="53"/>
      <c r="C136" s="73" t="n">
        <v>47</v>
      </c>
      <c r="D136" s="74" t="s">
        <v>151</v>
      </c>
      <c r="E136" s="75" t="s">
        <v>152</v>
      </c>
      <c r="F136" s="73" t="s">
        <v>141</v>
      </c>
      <c r="G136" s="75" t="s">
        <v>142</v>
      </c>
      <c r="H136" s="73" t="s">
        <v>118</v>
      </c>
      <c r="I136" s="73" t="s">
        <v>118</v>
      </c>
      <c r="J136" s="76" t="n">
        <v>1</v>
      </c>
      <c r="K136" s="73" t="str">
        <f aca="false">IFERROR(VLOOKUP($J136,$J$10:$K$13,2,0),"")</f>
        <v>DISTRIBUTOR</v>
      </c>
      <c r="L136" s="73" t="s">
        <v>26</v>
      </c>
      <c r="M136" s="76" t="n">
        <v>3</v>
      </c>
      <c r="N136" s="73" t="str">
        <f aca="false">IFERROR(VLOOKUP($M136,$M$3:$Q$14,2,0),"")</f>
        <v>In Pack</v>
      </c>
      <c r="O136" s="73" t="str">
        <f aca="false">IFERROR(VLOOKUP($M136,$M$3:$Q$14,3,0),"")</f>
        <v>Pack</v>
      </c>
      <c r="P136" s="76" t="n">
        <f aca="false">IFERROR(VLOOKUP($M136,$M$3:$Q$14,4,0),"")</f>
        <v>2</v>
      </c>
      <c r="Q136" s="73" t="n">
        <f aca="false">IFERROR(VLOOKUP($M136,$M$3:$Q$14,5,0),"")</f>
        <v>0</v>
      </c>
      <c r="R136" s="73" t="n">
        <v>5</v>
      </c>
      <c r="S136" s="77" t="n">
        <f aca="false">S135/R136</f>
        <v>17000</v>
      </c>
      <c r="T136" s="78" t="n">
        <f aca="false">S136/1.11</f>
        <v>15315.3153153153</v>
      </c>
      <c r="U136" s="79" t="n">
        <f aca="false">V136+(V136*11%)</f>
        <v>13282.26</v>
      </c>
      <c r="V136" s="79" t="n">
        <v>11966</v>
      </c>
      <c r="W136" s="1" t="e">
        <f aca="false">VLOOKUP($G136,#REF!,2,0)</f>
        <v>#VALUE!</v>
      </c>
    </row>
    <row r="137" customFormat="false" ht="22.5" hidden="true" customHeight="true" outlineLevel="0" collapsed="false">
      <c r="A137" s="53"/>
      <c r="B137" s="53"/>
      <c r="C137" s="73" t="n">
        <v>47</v>
      </c>
      <c r="D137" s="74" t="s">
        <v>151</v>
      </c>
      <c r="E137" s="75" t="s">
        <v>152</v>
      </c>
      <c r="F137" s="73" t="s">
        <v>141</v>
      </c>
      <c r="G137" s="75" t="s">
        <v>142</v>
      </c>
      <c r="H137" s="73" t="s">
        <v>118</v>
      </c>
      <c r="I137" s="73" t="s">
        <v>118</v>
      </c>
      <c r="J137" s="76" t="n">
        <v>1</v>
      </c>
      <c r="K137" s="73" t="str">
        <f aca="false">IFERROR(VLOOKUP($J137,$J$10:$K$13,2,0),"")</f>
        <v>DISTRIBUTOR</v>
      </c>
      <c r="L137" s="73" t="s">
        <v>26</v>
      </c>
      <c r="M137" s="76" t="n">
        <v>9</v>
      </c>
      <c r="N137" s="73" t="str">
        <f aca="false">IFERROR(VLOOKUP($M137,$M$3:$Q$14,2,0),"")</f>
        <v>In Pcs</v>
      </c>
      <c r="O137" s="73" t="str">
        <f aca="false">IFERROR(VLOOKUP($M137,$M$3:$Q$14,3,0),"")</f>
        <v>Pcs</v>
      </c>
      <c r="P137" s="76" t="n">
        <f aca="false">IFERROR(VLOOKUP($M137,$M$3:$Q$14,4,0),"")</f>
        <v>4</v>
      </c>
      <c r="Q137" s="73" t="str">
        <f aca="false">IFERROR(VLOOKUP($M137,$M$3:$Q$14,5,0),"")</f>
        <v>small</v>
      </c>
      <c r="R137" s="73" t="n">
        <v>50</v>
      </c>
      <c r="S137" s="77" t="n">
        <v>1700</v>
      </c>
      <c r="T137" s="78" t="n">
        <v>1531</v>
      </c>
      <c r="U137" s="79" t="n">
        <f aca="false">V137+(V137*11%)</f>
        <v>1327.56</v>
      </c>
      <c r="V137" s="79" t="n">
        <v>1196</v>
      </c>
      <c r="W137" s="1" t="e">
        <f aca="false">VLOOKUP($G137,#REF!,2,0)</f>
        <v>#VALUE!</v>
      </c>
    </row>
    <row r="138" customFormat="false" ht="22.5" hidden="true" customHeight="true" outlineLevel="0" collapsed="false">
      <c r="A138" s="53"/>
      <c r="B138" s="53"/>
      <c r="C138" s="73" t="n">
        <v>48</v>
      </c>
      <c r="D138" s="80" t="s">
        <v>153</v>
      </c>
      <c r="E138" s="73" t="s">
        <v>154</v>
      </c>
      <c r="F138" s="73" t="s">
        <v>155</v>
      </c>
      <c r="G138" s="73" t="s">
        <v>156</v>
      </c>
      <c r="H138" s="73" t="s">
        <v>118</v>
      </c>
      <c r="I138" s="73" t="s">
        <v>118</v>
      </c>
      <c r="J138" s="76" t="n">
        <v>1</v>
      </c>
      <c r="K138" s="73" t="str">
        <f aca="false">IFERROR(VLOOKUP($J138,$J$10:$K$13,2,0),"")</f>
        <v>DISTRIBUTOR</v>
      </c>
      <c r="L138" s="73" t="s">
        <v>26</v>
      </c>
      <c r="M138" s="76" t="n">
        <v>1</v>
      </c>
      <c r="N138" s="73" t="str">
        <f aca="false">IFERROR(VLOOKUP($M138,$M$3:$Q$14,2,0),"")</f>
        <v>In Carton</v>
      </c>
      <c r="O138" s="73" t="str">
        <f aca="false">IFERROR(VLOOKUP($M138,$M$3:$Q$14,3,0),"")</f>
        <v>Carton</v>
      </c>
      <c r="P138" s="76" t="n">
        <f aca="false">IFERROR(VLOOKUP($M138,$M$3:$Q$14,4,0),"")</f>
        <v>1</v>
      </c>
      <c r="Q138" s="73" t="str">
        <f aca="false">IFERROR(VLOOKUP($M138,$M$3:$Q$14,5,0),"")</f>
        <v>large</v>
      </c>
      <c r="R138" s="73" t="n">
        <v>1</v>
      </c>
      <c r="S138" s="77" t="n">
        <f aca="false">7980*10</f>
        <v>79800</v>
      </c>
      <c r="T138" s="78" t="n">
        <f aca="false">S138/1.11</f>
        <v>71891.8918918919</v>
      </c>
      <c r="U138" s="79" t="n">
        <f aca="false">V138+(V138*11%)</f>
        <v>67254.9</v>
      </c>
      <c r="V138" s="79" t="n">
        <v>60590</v>
      </c>
      <c r="W138" s="1" t="e">
        <f aca="false">VLOOKUP($G138,#REF!,2,0)</f>
        <v>#VALUE!</v>
      </c>
    </row>
    <row r="139" customFormat="false" ht="22.5" hidden="true" customHeight="true" outlineLevel="0" collapsed="false">
      <c r="A139" s="53"/>
      <c r="B139" s="53"/>
      <c r="C139" s="73" t="n">
        <v>48</v>
      </c>
      <c r="D139" s="80" t="s">
        <v>153</v>
      </c>
      <c r="E139" s="73" t="s">
        <v>154</v>
      </c>
      <c r="F139" s="73" t="s">
        <v>155</v>
      </c>
      <c r="G139" s="73" t="s">
        <v>156</v>
      </c>
      <c r="H139" s="73" t="s">
        <v>118</v>
      </c>
      <c r="I139" s="73" t="s">
        <v>118</v>
      </c>
      <c r="J139" s="76" t="n">
        <v>1</v>
      </c>
      <c r="K139" s="73" t="str">
        <f aca="false">IFERROR(VLOOKUP($J139,$J$10:$K$13,2,0),"")</f>
        <v>DISTRIBUTOR</v>
      </c>
      <c r="L139" s="73" t="s">
        <v>26</v>
      </c>
      <c r="M139" s="76" t="n">
        <v>3</v>
      </c>
      <c r="N139" s="73" t="str">
        <f aca="false">IFERROR(VLOOKUP($M139,$M$3:$Q$14,2,0),"")</f>
        <v>In Pack</v>
      </c>
      <c r="O139" s="73" t="str">
        <f aca="false">IFERROR(VLOOKUP($M139,$M$3:$Q$14,3,0),"")</f>
        <v>Pack</v>
      </c>
      <c r="P139" s="76" t="n">
        <f aca="false">IFERROR(VLOOKUP($M139,$M$3:$Q$14,4,0),"")</f>
        <v>2</v>
      </c>
      <c r="Q139" s="73" t="n">
        <f aca="false">IFERROR(VLOOKUP($M139,$M$3:$Q$14,5,0),"")</f>
        <v>0</v>
      </c>
      <c r="R139" s="73" t="n">
        <v>10</v>
      </c>
      <c r="S139" s="77" t="n">
        <v>7980</v>
      </c>
      <c r="T139" s="78" t="n">
        <f aca="false">S139/1.11</f>
        <v>7189.18918918919</v>
      </c>
      <c r="U139" s="79" t="n">
        <f aca="false">V139+(V139*11%)</f>
        <v>6725.49</v>
      </c>
      <c r="V139" s="79" t="n">
        <v>6059</v>
      </c>
      <c r="W139" s="1" t="e">
        <f aca="false">VLOOKUP($G139,#REF!,2,0)</f>
        <v>#VALUE!</v>
      </c>
    </row>
    <row r="140" customFormat="false" ht="22.5" hidden="true" customHeight="true" outlineLevel="0" collapsed="false">
      <c r="A140" s="53"/>
      <c r="B140" s="53"/>
      <c r="C140" s="73" t="n">
        <v>48</v>
      </c>
      <c r="D140" s="80" t="s">
        <v>153</v>
      </c>
      <c r="E140" s="73" t="s">
        <v>154</v>
      </c>
      <c r="F140" s="73" t="s">
        <v>155</v>
      </c>
      <c r="G140" s="73" t="s">
        <v>156</v>
      </c>
      <c r="H140" s="73" t="s">
        <v>118</v>
      </c>
      <c r="I140" s="73" t="s">
        <v>118</v>
      </c>
      <c r="J140" s="76" t="n">
        <v>1</v>
      </c>
      <c r="K140" s="73" t="str">
        <f aca="false">IFERROR(VLOOKUP($J140,$J$10:$K$13,2,0),"")</f>
        <v>DISTRIBUTOR</v>
      </c>
      <c r="L140" s="73" t="s">
        <v>26</v>
      </c>
      <c r="M140" s="76" t="n">
        <v>9</v>
      </c>
      <c r="N140" s="73" t="str">
        <f aca="false">IFERROR(VLOOKUP($M140,$M$3:$Q$14,2,0),"")</f>
        <v>In Pcs</v>
      </c>
      <c r="O140" s="73" t="str">
        <f aca="false">IFERROR(VLOOKUP($M140,$M$3:$Q$14,3,0),"")</f>
        <v>Pcs</v>
      </c>
      <c r="P140" s="76" t="n">
        <f aca="false">IFERROR(VLOOKUP($M140,$M$3:$Q$14,4,0),"")</f>
        <v>4</v>
      </c>
      <c r="Q140" s="73" t="str">
        <f aca="false">IFERROR(VLOOKUP($M140,$M$3:$Q$14,5,0),"")</f>
        <v>small</v>
      </c>
      <c r="R140" s="73" t="n">
        <v>100</v>
      </c>
      <c r="S140" s="77" t="n">
        <f aca="false">S139/10</f>
        <v>798</v>
      </c>
      <c r="T140" s="78" t="n">
        <f aca="false">S140/1.11</f>
        <v>718.918918918919</v>
      </c>
      <c r="U140" s="79" t="n">
        <f aca="false">V140+(V140*11%)</f>
        <v>671.55</v>
      </c>
      <c r="V140" s="79" t="n">
        <v>605</v>
      </c>
      <c r="W140" s="1" t="e">
        <f aca="false">VLOOKUP($G140,#REF!,2,0)</f>
        <v>#VALUE!</v>
      </c>
    </row>
    <row r="141" customFormat="false" ht="22.5" hidden="true" customHeight="true" outlineLevel="0" collapsed="false">
      <c r="A141" s="53"/>
      <c r="B141" s="53"/>
      <c r="C141" s="73" t="n">
        <v>49</v>
      </c>
      <c r="D141" s="80" t="s">
        <v>157</v>
      </c>
      <c r="E141" s="73" t="s">
        <v>158</v>
      </c>
      <c r="F141" s="73" t="s">
        <v>155</v>
      </c>
      <c r="G141" s="73" t="s">
        <v>156</v>
      </c>
      <c r="H141" s="73" t="s">
        <v>118</v>
      </c>
      <c r="I141" s="73" t="s">
        <v>118</v>
      </c>
      <c r="J141" s="76" t="n">
        <v>1</v>
      </c>
      <c r="K141" s="73" t="str">
        <f aca="false">IFERROR(VLOOKUP($J141,$J$10:$K$13,2,0),"")</f>
        <v>DISTRIBUTOR</v>
      </c>
      <c r="L141" s="73" t="s">
        <v>26</v>
      </c>
      <c r="M141" s="76" t="n">
        <v>1</v>
      </c>
      <c r="N141" s="73" t="str">
        <f aca="false">IFERROR(VLOOKUP($M141,$M$3:$Q$14,2,0),"")</f>
        <v>In Carton</v>
      </c>
      <c r="O141" s="73" t="str">
        <f aca="false">IFERROR(VLOOKUP($M141,$M$3:$Q$14,3,0),"")</f>
        <v>Carton</v>
      </c>
      <c r="P141" s="76" t="n">
        <f aca="false">IFERROR(VLOOKUP($M141,$M$3:$Q$14,4,0),"")</f>
        <v>1</v>
      </c>
      <c r="Q141" s="73" t="str">
        <f aca="false">IFERROR(VLOOKUP($M141,$M$3:$Q$14,5,0),"")</f>
        <v>large</v>
      </c>
      <c r="R141" s="73" t="n">
        <v>1</v>
      </c>
      <c r="S141" s="77" t="n">
        <f aca="false">7980*10</f>
        <v>79800</v>
      </c>
      <c r="T141" s="78" t="n">
        <f aca="false">S141/1.11</f>
        <v>71891.8918918919</v>
      </c>
      <c r="U141" s="79" t="n">
        <f aca="false">V141+(V141*11%)</f>
        <v>67254.9</v>
      </c>
      <c r="V141" s="79" t="n">
        <v>60590</v>
      </c>
      <c r="W141" s="1" t="e">
        <f aca="false">VLOOKUP($G141,#REF!,2,0)</f>
        <v>#VALUE!</v>
      </c>
    </row>
    <row r="142" customFormat="false" ht="22.5" hidden="true" customHeight="true" outlineLevel="0" collapsed="false">
      <c r="A142" s="53"/>
      <c r="B142" s="53"/>
      <c r="C142" s="73" t="n">
        <v>49</v>
      </c>
      <c r="D142" s="80" t="s">
        <v>157</v>
      </c>
      <c r="E142" s="73" t="s">
        <v>158</v>
      </c>
      <c r="F142" s="73" t="s">
        <v>155</v>
      </c>
      <c r="G142" s="73" t="s">
        <v>156</v>
      </c>
      <c r="H142" s="73" t="s">
        <v>118</v>
      </c>
      <c r="I142" s="73" t="s">
        <v>118</v>
      </c>
      <c r="J142" s="76" t="n">
        <v>1</v>
      </c>
      <c r="K142" s="73" t="str">
        <f aca="false">IFERROR(VLOOKUP($J142,$J$10:$K$13,2,0),"")</f>
        <v>DISTRIBUTOR</v>
      </c>
      <c r="L142" s="73" t="s">
        <v>26</v>
      </c>
      <c r="M142" s="76" t="n">
        <v>3</v>
      </c>
      <c r="N142" s="73" t="str">
        <f aca="false">IFERROR(VLOOKUP($M142,$M$3:$Q$14,2,0),"")</f>
        <v>In Pack</v>
      </c>
      <c r="O142" s="73" t="str">
        <f aca="false">IFERROR(VLOOKUP($M142,$M$3:$Q$14,3,0),"")</f>
        <v>Pack</v>
      </c>
      <c r="P142" s="76" t="n">
        <f aca="false">IFERROR(VLOOKUP($M142,$M$3:$Q$14,4,0),"")</f>
        <v>2</v>
      </c>
      <c r="Q142" s="73" t="n">
        <f aca="false">IFERROR(VLOOKUP($M142,$M$3:$Q$14,5,0),"")</f>
        <v>0</v>
      </c>
      <c r="R142" s="73" t="n">
        <v>10</v>
      </c>
      <c r="S142" s="77" t="n">
        <v>7980</v>
      </c>
      <c r="T142" s="78" t="n">
        <f aca="false">S142/1.11</f>
        <v>7189.18918918919</v>
      </c>
      <c r="U142" s="79" t="n">
        <f aca="false">V142+(V142*11%)</f>
        <v>6725.49</v>
      </c>
      <c r="V142" s="79" t="n">
        <v>6059</v>
      </c>
      <c r="W142" s="1" t="e">
        <f aca="false">VLOOKUP($G142,#REF!,2,0)</f>
        <v>#VALUE!</v>
      </c>
    </row>
    <row r="143" customFormat="false" ht="22.5" hidden="true" customHeight="true" outlineLevel="0" collapsed="false">
      <c r="A143" s="53"/>
      <c r="B143" s="53"/>
      <c r="C143" s="73" t="n">
        <v>49</v>
      </c>
      <c r="D143" s="80" t="s">
        <v>157</v>
      </c>
      <c r="E143" s="73" t="s">
        <v>158</v>
      </c>
      <c r="F143" s="73" t="s">
        <v>155</v>
      </c>
      <c r="G143" s="73" t="s">
        <v>156</v>
      </c>
      <c r="H143" s="73" t="s">
        <v>118</v>
      </c>
      <c r="I143" s="73" t="s">
        <v>118</v>
      </c>
      <c r="J143" s="76" t="n">
        <v>1</v>
      </c>
      <c r="K143" s="73" t="str">
        <f aca="false">IFERROR(VLOOKUP($J143,$J$10:$K$13,2,0),"")</f>
        <v>DISTRIBUTOR</v>
      </c>
      <c r="L143" s="73" t="s">
        <v>26</v>
      </c>
      <c r="M143" s="76" t="n">
        <v>9</v>
      </c>
      <c r="N143" s="73" t="str">
        <f aca="false">IFERROR(VLOOKUP($M143,$M$3:$Q$14,2,0),"")</f>
        <v>In Pcs</v>
      </c>
      <c r="O143" s="73" t="str">
        <f aca="false">IFERROR(VLOOKUP($M143,$M$3:$Q$14,3,0),"")</f>
        <v>Pcs</v>
      </c>
      <c r="P143" s="76" t="n">
        <f aca="false">IFERROR(VLOOKUP($M143,$M$3:$Q$14,4,0),"")</f>
        <v>4</v>
      </c>
      <c r="Q143" s="73" t="str">
        <f aca="false">IFERROR(VLOOKUP($M143,$M$3:$Q$14,5,0),"")</f>
        <v>small</v>
      </c>
      <c r="R143" s="73" t="n">
        <v>100</v>
      </c>
      <c r="S143" s="77" t="n">
        <f aca="false">S142/10</f>
        <v>798</v>
      </c>
      <c r="T143" s="78" t="n">
        <f aca="false">S143/1.11</f>
        <v>718.918918918919</v>
      </c>
      <c r="U143" s="79" t="n">
        <f aca="false">V143+(V143*11%)</f>
        <v>671.55</v>
      </c>
      <c r="V143" s="79" t="n">
        <v>605</v>
      </c>
      <c r="W143" s="1" t="e">
        <f aca="false">VLOOKUP($G143,#REF!,2,0)</f>
        <v>#VALUE!</v>
      </c>
    </row>
    <row r="144" customFormat="false" ht="22.5" hidden="true" customHeight="true" outlineLevel="0" collapsed="false">
      <c r="A144" s="53"/>
      <c r="B144" s="53"/>
      <c r="C144" s="73" t="n">
        <v>50</v>
      </c>
      <c r="D144" s="80" t="s">
        <v>159</v>
      </c>
      <c r="E144" s="73" t="s">
        <v>160</v>
      </c>
      <c r="F144" s="73" t="s">
        <v>155</v>
      </c>
      <c r="G144" s="73" t="s">
        <v>156</v>
      </c>
      <c r="H144" s="73" t="s">
        <v>118</v>
      </c>
      <c r="I144" s="73" t="s">
        <v>118</v>
      </c>
      <c r="J144" s="76" t="n">
        <v>1</v>
      </c>
      <c r="K144" s="73" t="str">
        <f aca="false">IFERROR(VLOOKUP($J144,$J$10:$K$13,2,0),"")</f>
        <v>DISTRIBUTOR</v>
      </c>
      <c r="L144" s="73" t="s">
        <v>26</v>
      </c>
      <c r="M144" s="76" t="n">
        <v>1</v>
      </c>
      <c r="N144" s="73" t="str">
        <f aca="false">IFERROR(VLOOKUP($M144,$M$3:$Q$14,2,0),"")</f>
        <v>In Carton</v>
      </c>
      <c r="O144" s="73" t="str">
        <f aca="false">IFERROR(VLOOKUP($M144,$M$3:$Q$14,3,0),"")</f>
        <v>Carton</v>
      </c>
      <c r="P144" s="76" t="n">
        <f aca="false">IFERROR(VLOOKUP($M144,$M$3:$Q$14,4,0),"")</f>
        <v>1</v>
      </c>
      <c r="Q144" s="73" t="str">
        <f aca="false">IFERROR(VLOOKUP($M144,$M$3:$Q$14,5,0),"")</f>
        <v>large</v>
      </c>
      <c r="R144" s="73" t="n">
        <v>1</v>
      </c>
      <c r="S144" s="77" t="n">
        <f aca="false">7980*10</f>
        <v>79800</v>
      </c>
      <c r="T144" s="78" t="n">
        <f aca="false">S144/1.11</f>
        <v>71891.8918918919</v>
      </c>
      <c r="U144" s="79" t="n">
        <f aca="false">V144+(V144*11%)</f>
        <v>67254.9</v>
      </c>
      <c r="V144" s="79" t="n">
        <v>60590</v>
      </c>
      <c r="W144" s="1" t="e">
        <f aca="false">VLOOKUP($G144,#REF!,2,0)</f>
        <v>#VALUE!</v>
      </c>
    </row>
    <row r="145" customFormat="false" ht="22.5" hidden="true" customHeight="true" outlineLevel="0" collapsed="false">
      <c r="A145" s="53"/>
      <c r="B145" s="53"/>
      <c r="C145" s="73" t="n">
        <v>50</v>
      </c>
      <c r="D145" s="80" t="s">
        <v>159</v>
      </c>
      <c r="E145" s="73" t="s">
        <v>160</v>
      </c>
      <c r="F145" s="73" t="s">
        <v>155</v>
      </c>
      <c r="G145" s="73" t="s">
        <v>156</v>
      </c>
      <c r="H145" s="73" t="s">
        <v>118</v>
      </c>
      <c r="I145" s="73" t="s">
        <v>118</v>
      </c>
      <c r="J145" s="76" t="n">
        <v>1</v>
      </c>
      <c r="K145" s="73" t="str">
        <f aca="false">IFERROR(VLOOKUP($J145,$J$10:$K$13,2,0),"")</f>
        <v>DISTRIBUTOR</v>
      </c>
      <c r="L145" s="73" t="s">
        <v>26</v>
      </c>
      <c r="M145" s="76" t="n">
        <v>3</v>
      </c>
      <c r="N145" s="73" t="str">
        <f aca="false">IFERROR(VLOOKUP($M145,$M$3:$Q$14,2,0),"")</f>
        <v>In Pack</v>
      </c>
      <c r="O145" s="73" t="str">
        <f aca="false">IFERROR(VLOOKUP($M145,$M$3:$Q$14,3,0),"")</f>
        <v>Pack</v>
      </c>
      <c r="P145" s="76" t="n">
        <f aca="false">IFERROR(VLOOKUP($M145,$M$3:$Q$14,4,0),"")</f>
        <v>2</v>
      </c>
      <c r="Q145" s="73" t="n">
        <f aca="false">IFERROR(VLOOKUP($M145,$M$3:$Q$14,5,0),"")</f>
        <v>0</v>
      </c>
      <c r="R145" s="73" t="n">
        <v>10</v>
      </c>
      <c r="S145" s="77" t="n">
        <v>7980</v>
      </c>
      <c r="T145" s="78" t="n">
        <f aca="false">S145/1.11</f>
        <v>7189.18918918919</v>
      </c>
      <c r="U145" s="79" t="n">
        <f aca="false">V145+(V145*11%)</f>
        <v>6725.49</v>
      </c>
      <c r="V145" s="79" t="n">
        <v>6059</v>
      </c>
      <c r="W145" s="1" t="e">
        <f aca="false">VLOOKUP($G145,#REF!,2,0)</f>
        <v>#VALUE!</v>
      </c>
    </row>
    <row r="146" customFormat="false" ht="22.5" hidden="true" customHeight="true" outlineLevel="0" collapsed="false">
      <c r="A146" s="53"/>
      <c r="B146" s="53"/>
      <c r="C146" s="73" t="n">
        <v>50</v>
      </c>
      <c r="D146" s="80" t="s">
        <v>159</v>
      </c>
      <c r="E146" s="73" t="s">
        <v>160</v>
      </c>
      <c r="F146" s="73" t="s">
        <v>155</v>
      </c>
      <c r="G146" s="73" t="s">
        <v>156</v>
      </c>
      <c r="H146" s="73" t="s">
        <v>118</v>
      </c>
      <c r="I146" s="73" t="s">
        <v>118</v>
      </c>
      <c r="J146" s="76" t="n">
        <v>1</v>
      </c>
      <c r="K146" s="73" t="str">
        <f aca="false">IFERROR(VLOOKUP($J146,$J$10:$K$13,2,0),"")</f>
        <v>DISTRIBUTOR</v>
      </c>
      <c r="L146" s="73" t="s">
        <v>26</v>
      </c>
      <c r="M146" s="76" t="n">
        <v>9</v>
      </c>
      <c r="N146" s="73" t="str">
        <f aca="false">IFERROR(VLOOKUP($M146,$M$3:$Q$14,2,0),"")</f>
        <v>In Pcs</v>
      </c>
      <c r="O146" s="73" t="str">
        <f aca="false">IFERROR(VLOOKUP($M146,$M$3:$Q$14,3,0),"")</f>
        <v>Pcs</v>
      </c>
      <c r="P146" s="76" t="n">
        <f aca="false">IFERROR(VLOOKUP($M146,$M$3:$Q$14,4,0),"")</f>
        <v>4</v>
      </c>
      <c r="Q146" s="73" t="str">
        <f aca="false">IFERROR(VLOOKUP($M146,$M$3:$Q$14,5,0),"")</f>
        <v>small</v>
      </c>
      <c r="R146" s="73" t="n">
        <v>100</v>
      </c>
      <c r="S146" s="77" t="n">
        <f aca="false">S145/10</f>
        <v>798</v>
      </c>
      <c r="T146" s="78" t="n">
        <f aca="false">S146/1.11</f>
        <v>718.918918918919</v>
      </c>
      <c r="U146" s="79" t="n">
        <f aca="false">V146+(V146*11%)</f>
        <v>671.55</v>
      </c>
      <c r="V146" s="79" t="n">
        <v>605</v>
      </c>
      <c r="W146" s="1" t="e">
        <f aca="false">VLOOKUP($G146,#REF!,2,0)</f>
        <v>#VALUE!</v>
      </c>
    </row>
    <row r="147" customFormat="false" ht="22.5" hidden="true" customHeight="true" outlineLevel="0" collapsed="false">
      <c r="A147" s="53"/>
      <c r="B147" s="53"/>
      <c r="C147" s="73" t="n">
        <v>51</v>
      </c>
      <c r="D147" s="80" t="s">
        <v>161</v>
      </c>
      <c r="E147" s="73" t="s">
        <v>162</v>
      </c>
      <c r="F147" s="73" t="s">
        <v>155</v>
      </c>
      <c r="G147" s="73" t="s">
        <v>156</v>
      </c>
      <c r="H147" s="73" t="s">
        <v>118</v>
      </c>
      <c r="I147" s="73" t="s">
        <v>118</v>
      </c>
      <c r="J147" s="76" t="n">
        <v>1</v>
      </c>
      <c r="K147" s="73" t="str">
        <f aca="false">IFERROR(VLOOKUP($J147,$J$10:$K$13,2,0),"")</f>
        <v>DISTRIBUTOR</v>
      </c>
      <c r="L147" s="73" t="s">
        <v>26</v>
      </c>
      <c r="M147" s="76" t="n">
        <v>1</v>
      </c>
      <c r="N147" s="73" t="str">
        <f aca="false">IFERROR(VLOOKUP($M147,$M$3:$Q$14,2,0),"")</f>
        <v>In Carton</v>
      </c>
      <c r="O147" s="73" t="str">
        <f aca="false">IFERROR(VLOOKUP($M147,$M$3:$Q$14,3,0),"")</f>
        <v>Carton</v>
      </c>
      <c r="P147" s="76" t="n">
        <f aca="false">IFERROR(VLOOKUP($M147,$M$3:$Q$14,4,0),"")</f>
        <v>1</v>
      </c>
      <c r="Q147" s="73" t="str">
        <f aca="false">IFERROR(VLOOKUP($M147,$M$3:$Q$14,5,0),"")</f>
        <v>large</v>
      </c>
      <c r="R147" s="73" t="n">
        <v>1</v>
      </c>
      <c r="S147" s="77" t="n">
        <f aca="false">7980*10</f>
        <v>79800</v>
      </c>
      <c r="T147" s="78" t="n">
        <f aca="false">S147/1.11</f>
        <v>71891.8918918919</v>
      </c>
      <c r="U147" s="79" t="n">
        <f aca="false">V147+(V147*11%)</f>
        <v>67254.9</v>
      </c>
      <c r="V147" s="79" t="n">
        <v>60590</v>
      </c>
      <c r="W147" s="1" t="e">
        <f aca="false">VLOOKUP($G147,#REF!,2,0)</f>
        <v>#VALUE!</v>
      </c>
    </row>
    <row r="148" customFormat="false" ht="22.5" hidden="true" customHeight="true" outlineLevel="0" collapsed="false">
      <c r="A148" s="53"/>
      <c r="B148" s="53"/>
      <c r="C148" s="73" t="n">
        <v>51</v>
      </c>
      <c r="D148" s="80" t="s">
        <v>161</v>
      </c>
      <c r="E148" s="73" t="s">
        <v>162</v>
      </c>
      <c r="F148" s="73" t="s">
        <v>155</v>
      </c>
      <c r="G148" s="73" t="s">
        <v>156</v>
      </c>
      <c r="H148" s="73" t="s">
        <v>118</v>
      </c>
      <c r="I148" s="73" t="s">
        <v>118</v>
      </c>
      <c r="J148" s="76" t="n">
        <v>1</v>
      </c>
      <c r="K148" s="73" t="str">
        <f aca="false">IFERROR(VLOOKUP($J148,$J$10:$K$13,2,0),"")</f>
        <v>DISTRIBUTOR</v>
      </c>
      <c r="L148" s="73" t="s">
        <v>26</v>
      </c>
      <c r="M148" s="76" t="n">
        <v>3</v>
      </c>
      <c r="N148" s="73" t="str">
        <f aca="false">IFERROR(VLOOKUP($M148,$M$3:$Q$14,2,0),"")</f>
        <v>In Pack</v>
      </c>
      <c r="O148" s="73" t="str">
        <f aca="false">IFERROR(VLOOKUP($M148,$M$3:$Q$14,3,0),"")</f>
        <v>Pack</v>
      </c>
      <c r="P148" s="76" t="n">
        <f aca="false">IFERROR(VLOOKUP($M148,$M$3:$Q$14,4,0),"")</f>
        <v>2</v>
      </c>
      <c r="Q148" s="73" t="n">
        <f aca="false">IFERROR(VLOOKUP($M148,$M$3:$Q$14,5,0),"")</f>
        <v>0</v>
      </c>
      <c r="R148" s="73" t="n">
        <v>10</v>
      </c>
      <c r="S148" s="77" t="n">
        <v>7980</v>
      </c>
      <c r="T148" s="78" t="n">
        <f aca="false">S148/1.11</f>
        <v>7189.18918918919</v>
      </c>
      <c r="U148" s="79" t="n">
        <f aca="false">V148+(V148*11%)</f>
        <v>6725.49</v>
      </c>
      <c r="V148" s="79" t="n">
        <v>6059</v>
      </c>
      <c r="W148" s="1" t="e">
        <f aca="false">VLOOKUP($G148,#REF!,2,0)</f>
        <v>#VALUE!</v>
      </c>
    </row>
    <row r="149" customFormat="false" ht="22.5" hidden="true" customHeight="true" outlineLevel="0" collapsed="false">
      <c r="A149" s="53"/>
      <c r="B149" s="53"/>
      <c r="C149" s="73" t="n">
        <v>51</v>
      </c>
      <c r="D149" s="80" t="s">
        <v>161</v>
      </c>
      <c r="E149" s="73" t="s">
        <v>162</v>
      </c>
      <c r="F149" s="73" t="s">
        <v>155</v>
      </c>
      <c r="G149" s="73" t="s">
        <v>156</v>
      </c>
      <c r="H149" s="73" t="s">
        <v>118</v>
      </c>
      <c r="I149" s="73" t="s">
        <v>118</v>
      </c>
      <c r="J149" s="76" t="n">
        <v>1</v>
      </c>
      <c r="K149" s="73" t="str">
        <f aca="false">IFERROR(VLOOKUP($J149,$J$10:$K$13,2,0),"")</f>
        <v>DISTRIBUTOR</v>
      </c>
      <c r="L149" s="73" t="s">
        <v>26</v>
      </c>
      <c r="M149" s="76" t="n">
        <v>9</v>
      </c>
      <c r="N149" s="73" t="str">
        <f aca="false">IFERROR(VLOOKUP($M149,$M$3:$Q$14,2,0),"")</f>
        <v>In Pcs</v>
      </c>
      <c r="O149" s="73" t="str">
        <f aca="false">IFERROR(VLOOKUP($M149,$M$3:$Q$14,3,0),"")</f>
        <v>Pcs</v>
      </c>
      <c r="P149" s="76" t="n">
        <f aca="false">IFERROR(VLOOKUP($M149,$M$3:$Q$14,4,0),"")</f>
        <v>4</v>
      </c>
      <c r="Q149" s="73" t="str">
        <f aca="false">IFERROR(VLOOKUP($M149,$M$3:$Q$14,5,0),"")</f>
        <v>small</v>
      </c>
      <c r="R149" s="73" t="n">
        <v>100</v>
      </c>
      <c r="S149" s="77" t="n">
        <f aca="false">S148/10</f>
        <v>798</v>
      </c>
      <c r="T149" s="78" t="n">
        <f aca="false">S149/1.11</f>
        <v>718.918918918919</v>
      </c>
      <c r="U149" s="79" t="n">
        <f aca="false">V149+(V149*11%)</f>
        <v>671.55</v>
      </c>
      <c r="V149" s="79" t="n">
        <v>605</v>
      </c>
      <c r="W149" s="1" t="e">
        <f aca="false">VLOOKUP($G149,#REF!,2,0)</f>
        <v>#VALUE!</v>
      </c>
    </row>
    <row r="150" customFormat="false" ht="22.5" hidden="true" customHeight="true" outlineLevel="0" collapsed="false">
      <c r="A150" s="53"/>
      <c r="B150" s="53"/>
      <c r="C150" s="73" t="n">
        <v>52</v>
      </c>
      <c r="D150" s="80" t="s">
        <v>163</v>
      </c>
      <c r="E150" s="73" t="s">
        <v>164</v>
      </c>
      <c r="F150" s="73" t="s">
        <v>155</v>
      </c>
      <c r="G150" s="73" t="s">
        <v>156</v>
      </c>
      <c r="H150" s="73" t="s">
        <v>118</v>
      </c>
      <c r="I150" s="73" t="s">
        <v>118</v>
      </c>
      <c r="J150" s="76" t="n">
        <v>1</v>
      </c>
      <c r="K150" s="73" t="str">
        <f aca="false">IFERROR(VLOOKUP($J150,$J$10:$K$13,2,0),"")</f>
        <v>DISTRIBUTOR</v>
      </c>
      <c r="L150" s="73" t="s">
        <v>26</v>
      </c>
      <c r="M150" s="76" t="n">
        <v>1</v>
      </c>
      <c r="N150" s="73" t="str">
        <f aca="false">IFERROR(VLOOKUP($M150,$M$3:$Q$14,2,0),"")</f>
        <v>In Carton</v>
      </c>
      <c r="O150" s="73" t="str">
        <f aca="false">IFERROR(VLOOKUP($M150,$M$3:$Q$14,3,0),"")</f>
        <v>Carton</v>
      </c>
      <c r="P150" s="76" t="n">
        <f aca="false">IFERROR(VLOOKUP($M150,$M$3:$Q$14,4,0),"")</f>
        <v>1</v>
      </c>
      <c r="Q150" s="73" t="str">
        <f aca="false">IFERROR(VLOOKUP($M150,$M$3:$Q$14,5,0),"")</f>
        <v>large</v>
      </c>
      <c r="R150" s="73" t="n">
        <v>1</v>
      </c>
      <c r="S150" s="77" t="n">
        <f aca="false">7980*10</f>
        <v>79800</v>
      </c>
      <c r="T150" s="78" t="n">
        <f aca="false">S150/1.11</f>
        <v>71891.8918918919</v>
      </c>
      <c r="U150" s="79" t="n">
        <f aca="false">V150+(V150*11%)</f>
        <v>67254.9</v>
      </c>
      <c r="V150" s="79" t="n">
        <v>60590</v>
      </c>
      <c r="W150" s="1" t="e">
        <f aca="false">VLOOKUP($G150,#REF!,2,0)</f>
        <v>#VALUE!</v>
      </c>
    </row>
    <row r="151" customFormat="false" ht="22.5" hidden="true" customHeight="true" outlineLevel="0" collapsed="false">
      <c r="A151" s="53"/>
      <c r="B151" s="53"/>
      <c r="C151" s="73" t="n">
        <v>52</v>
      </c>
      <c r="D151" s="80" t="s">
        <v>163</v>
      </c>
      <c r="E151" s="73" t="s">
        <v>164</v>
      </c>
      <c r="F151" s="73" t="s">
        <v>155</v>
      </c>
      <c r="G151" s="73" t="s">
        <v>156</v>
      </c>
      <c r="H151" s="73" t="s">
        <v>118</v>
      </c>
      <c r="I151" s="73" t="s">
        <v>118</v>
      </c>
      <c r="J151" s="76" t="n">
        <v>1</v>
      </c>
      <c r="K151" s="73" t="str">
        <f aca="false">IFERROR(VLOOKUP($J151,$J$10:$K$13,2,0),"")</f>
        <v>DISTRIBUTOR</v>
      </c>
      <c r="L151" s="73" t="s">
        <v>26</v>
      </c>
      <c r="M151" s="76" t="n">
        <v>3</v>
      </c>
      <c r="N151" s="73" t="str">
        <f aca="false">IFERROR(VLOOKUP($M151,$M$3:$Q$14,2,0),"")</f>
        <v>In Pack</v>
      </c>
      <c r="O151" s="73" t="str">
        <f aca="false">IFERROR(VLOOKUP($M151,$M$3:$Q$14,3,0),"")</f>
        <v>Pack</v>
      </c>
      <c r="P151" s="76" t="n">
        <f aca="false">IFERROR(VLOOKUP($M151,$M$3:$Q$14,4,0),"")</f>
        <v>2</v>
      </c>
      <c r="Q151" s="73" t="n">
        <f aca="false">IFERROR(VLOOKUP($M151,$M$3:$Q$14,5,0),"")</f>
        <v>0</v>
      </c>
      <c r="R151" s="73" t="n">
        <v>10</v>
      </c>
      <c r="S151" s="77" t="n">
        <v>7980</v>
      </c>
      <c r="T151" s="78" t="n">
        <f aca="false">S151/1.11</f>
        <v>7189.18918918919</v>
      </c>
      <c r="U151" s="79" t="n">
        <f aca="false">V151+(V151*11%)</f>
        <v>6725.49</v>
      </c>
      <c r="V151" s="79" t="n">
        <v>6059</v>
      </c>
      <c r="W151" s="1" t="e">
        <f aca="false">VLOOKUP($G151,#REF!,2,0)</f>
        <v>#VALUE!</v>
      </c>
    </row>
    <row r="152" customFormat="false" ht="22.5" hidden="true" customHeight="true" outlineLevel="0" collapsed="false">
      <c r="A152" s="53"/>
      <c r="B152" s="53"/>
      <c r="C152" s="73" t="n">
        <v>52</v>
      </c>
      <c r="D152" s="80" t="s">
        <v>163</v>
      </c>
      <c r="E152" s="73" t="s">
        <v>164</v>
      </c>
      <c r="F152" s="73" t="s">
        <v>155</v>
      </c>
      <c r="G152" s="73" t="s">
        <v>156</v>
      </c>
      <c r="H152" s="73" t="s">
        <v>118</v>
      </c>
      <c r="I152" s="73" t="s">
        <v>118</v>
      </c>
      <c r="J152" s="76" t="n">
        <v>1</v>
      </c>
      <c r="K152" s="73" t="str">
        <f aca="false">IFERROR(VLOOKUP($J152,$J$10:$K$13,2,0),"")</f>
        <v>DISTRIBUTOR</v>
      </c>
      <c r="L152" s="73" t="s">
        <v>26</v>
      </c>
      <c r="M152" s="76" t="n">
        <v>9</v>
      </c>
      <c r="N152" s="73" t="str">
        <f aca="false">IFERROR(VLOOKUP($M152,$M$3:$Q$14,2,0),"")</f>
        <v>In Pcs</v>
      </c>
      <c r="O152" s="73" t="str">
        <f aca="false">IFERROR(VLOOKUP($M152,$M$3:$Q$14,3,0),"")</f>
        <v>Pcs</v>
      </c>
      <c r="P152" s="76" t="n">
        <f aca="false">IFERROR(VLOOKUP($M152,$M$3:$Q$14,4,0),"")</f>
        <v>4</v>
      </c>
      <c r="Q152" s="73" t="str">
        <f aca="false">IFERROR(VLOOKUP($M152,$M$3:$Q$14,5,0),"")</f>
        <v>small</v>
      </c>
      <c r="R152" s="73" t="n">
        <v>100</v>
      </c>
      <c r="S152" s="77" t="n">
        <f aca="false">S151/10</f>
        <v>798</v>
      </c>
      <c r="T152" s="78" t="n">
        <f aca="false">S152/1.11</f>
        <v>718.918918918919</v>
      </c>
      <c r="U152" s="79" t="n">
        <f aca="false">V152+(V152*11%)</f>
        <v>671.55</v>
      </c>
      <c r="V152" s="79" t="n">
        <v>605</v>
      </c>
      <c r="W152" s="1" t="e">
        <f aca="false">VLOOKUP($G152,#REF!,2,0)</f>
        <v>#VALUE!</v>
      </c>
    </row>
    <row r="153" customFormat="false" ht="22.5" hidden="true" customHeight="true" outlineLevel="0" collapsed="false">
      <c r="A153" s="53"/>
      <c r="B153" s="53"/>
      <c r="C153" s="73" t="n">
        <v>53</v>
      </c>
      <c r="D153" s="80" t="s">
        <v>165</v>
      </c>
      <c r="E153" s="73" t="s">
        <v>166</v>
      </c>
      <c r="F153" s="73" t="s">
        <v>155</v>
      </c>
      <c r="G153" s="73" t="s">
        <v>156</v>
      </c>
      <c r="H153" s="73" t="s">
        <v>118</v>
      </c>
      <c r="I153" s="73" t="s">
        <v>118</v>
      </c>
      <c r="J153" s="76" t="n">
        <v>1</v>
      </c>
      <c r="K153" s="73" t="str">
        <f aca="false">IFERROR(VLOOKUP($J153,$J$10:$K$13,2,0),"")</f>
        <v>DISTRIBUTOR</v>
      </c>
      <c r="L153" s="73" t="s">
        <v>26</v>
      </c>
      <c r="M153" s="76" t="n">
        <v>1</v>
      </c>
      <c r="N153" s="73" t="str">
        <f aca="false">IFERROR(VLOOKUP($M153,$M$3:$Q$14,2,0),"")</f>
        <v>In Carton</v>
      </c>
      <c r="O153" s="73" t="str">
        <f aca="false">IFERROR(VLOOKUP($M153,$M$3:$Q$14,3,0),"")</f>
        <v>Carton</v>
      </c>
      <c r="P153" s="76" t="n">
        <f aca="false">IFERROR(VLOOKUP($M153,$M$3:$Q$14,4,0),"")</f>
        <v>1</v>
      </c>
      <c r="Q153" s="73" t="str">
        <f aca="false">IFERROR(VLOOKUP($M153,$M$3:$Q$14,5,0),"")</f>
        <v>large</v>
      </c>
      <c r="R153" s="73" t="n">
        <v>1</v>
      </c>
      <c r="S153" s="77" t="n">
        <f aca="false">7980*10</f>
        <v>79800</v>
      </c>
      <c r="T153" s="78" t="n">
        <f aca="false">S153/1.11</f>
        <v>71891.8918918919</v>
      </c>
      <c r="U153" s="79" t="n">
        <f aca="false">V153+(V153*11%)</f>
        <v>67254.9</v>
      </c>
      <c r="V153" s="79" t="n">
        <v>60590</v>
      </c>
      <c r="W153" s="1" t="e">
        <f aca="false">VLOOKUP($G153,#REF!,2,0)</f>
        <v>#VALUE!</v>
      </c>
    </row>
    <row r="154" customFormat="false" ht="22.5" hidden="true" customHeight="true" outlineLevel="0" collapsed="false">
      <c r="A154" s="53"/>
      <c r="B154" s="53"/>
      <c r="C154" s="73" t="n">
        <v>53</v>
      </c>
      <c r="D154" s="80" t="s">
        <v>165</v>
      </c>
      <c r="E154" s="73" t="s">
        <v>166</v>
      </c>
      <c r="F154" s="73" t="s">
        <v>155</v>
      </c>
      <c r="G154" s="73" t="s">
        <v>156</v>
      </c>
      <c r="H154" s="73" t="s">
        <v>118</v>
      </c>
      <c r="I154" s="73" t="s">
        <v>118</v>
      </c>
      <c r="J154" s="76" t="n">
        <v>1</v>
      </c>
      <c r="K154" s="73" t="str">
        <f aca="false">IFERROR(VLOOKUP($J154,$J$10:$K$13,2,0),"")</f>
        <v>DISTRIBUTOR</v>
      </c>
      <c r="L154" s="73" t="s">
        <v>26</v>
      </c>
      <c r="M154" s="76" t="n">
        <v>3</v>
      </c>
      <c r="N154" s="73" t="str">
        <f aca="false">IFERROR(VLOOKUP($M154,$M$3:$Q$14,2,0),"")</f>
        <v>In Pack</v>
      </c>
      <c r="O154" s="73" t="str">
        <f aca="false">IFERROR(VLOOKUP($M154,$M$3:$Q$14,3,0),"")</f>
        <v>Pack</v>
      </c>
      <c r="P154" s="76" t="n">
        <f aca="false">IFERROR(VLOOKUP($M154,$M$3:$Q$14,4,0),"")</f>
        <v>2</v>
      </c>
      <c r="Q154" s="73" t="n">
        <f aca="false">IFERROR(VLOOKUP($M154,$M$3:$Q$14,5,0),"")</f>
        <v>0</v>
      </c>
      <c r="R154" s="73" t="n">
        <v>10</v>
      </c>
      <c r="S154" s="77" t="n">
        <v>7980</v>
      </c>
      <c r="T154" s="78" t="n">
        <f aca="false">S154/1.11</f>
        <v>7189.18918918919</v>
      </c>
      <c r="U154" s="79" t="n">
        <f aca="false">V154+(V154*11%)</f>
        <v>6725.49</v>
      </c>
      <c r="V154" s="79" t="n">
        <v>6059</v>
      </c>
      <c r="W154" s="1" t="e">
        <f aca="false">VLOOKUP($G154,#REF!,2,0)</f>
        <v>#VALUE!</v>
      </c>
    </row>
    <row r="155" customFormat="false" ht="22.5" hidden="true" customHeight="true" outlineLevel="0" collapsed="false">
      <c r="A155" s="53"/>
      <c r="B155" s="53"/>
      <c r="C155" s="73" t="n">
        <v>53</v>
      </c>
      <c r="D155" s="80" t="s">
        <v>165</v>
      </c>
      <c r="E155" s="73" t="s">
        <v>166</v>
      </c>
      <c r="F155" s="73" t="s">
        <v>155</v>
      </c>
      <c r="G155" s="73" t="s">
        <v>156</v>
      </c>
      <c r="H155" s="73" t="s">
        <v>118</v>
      </c>
      <c r="I155" s="73" t="s">
        <v>118</v>
      </c>
      <c r="J155" s="76" t="n">
        <v>1</v>
      </c>
      <c r="K155" s="73" t="str">
        <f aca="false">IFERROR(VLOOKUP($J155,$J$10:$K$13,2,0),"")</f>
        <v>DISTRIBUTOR</v>
      </c>
      <c r="L155" s="73" t="s">
        <v>26</v>
      </c>
      <c r="M155" s="76" t="n">
        <v>9</v>
      </c>
      <c r="N155" s="73" t="str">
        <f aca="false">IFERROR(VLOOKUP($M155,$M$3:$Q$14,2,0),"")</f>
        <v>In Pcs</v>
      </c>
      <c r="O155" s="73" t="str">
        <f aca="false">IFERROR(VLOOKUP($M155,$M$3:$Q$14,3,0),"")</f>
        <v>Pcs</v>
      </c>
      <c r="P155" s="76" t="n">
        <f aca="false">IFERROR(VLOOKUP($M155,$M$3:$Q$14,4,0),"")</f>
        <v>4</v>
      </c>
      <c r="Q155" s="73" t="str">
        <f aca="false">IFERROR(VLOOKUP($M155,$M$3:$Q$14,5,0),"")</f>
        <v>small</v>
      </c>
      <c r="R155" s="73" t="n">
        <v>100</v>
      </c>
      <c r="S155" s="77" t="n">
        <f aca="false">S154/10</f>
        <v>798</v>
      </c>
      <c r="T155" s="78" t="n">
        <f aca="false">S155/1.11</f>
        <v>718.918918918919</v>
      </c>
      <c r="U155" s="79" t="n">
        <f aca="false">V155+(V155*11%)</f>
        <v>671.55</v>
      </c>
      <c r="V155" s="79" t="n">
        <v>605</v>
      </c>
      <c r="W155" s="1" t="e">
        <f aca="false">VLOOKUP($G155,#REF!,2,0)</f>
        <v>#VALUE!</v>
      </c>
    </row>
    <row r="156" customFormat="false" ht="22.5" hidden="true" customHeight="true" outlineLevel="0" collapsed="false">
      <c r="A156" s="53"/>
      <c r="B156" s="53"/>
      <c r="C156" s="73" t="n">
        <v>54</v>
      </c>
      <c r="D156" s="80" t="s">
        <v>167</v>
      </c>
      <c r="E156" s="73" t="s">
        <v>168</v>
      </c>
      <c r="F156" s="73" t="s">
        <v>169</v>
      </c>
      <c r="G156" s="75" t="s">
        <v>142</v>
      </c>
      <c r="H156" s="73" t="s">
        <v>118</v>
      </c>
      <c r="I156" s="73" t="s">
        <v>118</v>
      </c>
      <c r="J156" s="76" t="n">
        <v>1</v>
      </c>
      <c r="K156" s="73" t="str">
        <f aca="false">IFERROR(VLOOKUP($J156,$J$10:$K$13,2,0),"")</f>
        <v>DISTRIBUTOR</v>
      </c>
      <c r="L156" s="73" t="s">
        <v>22</v>
      </c>
      <c r="M156" s="76" t="n">
        <v>1</v>
      </c>
      <c r="N156" s="73" t="str">
        <f aca="false">IFERROR(VLOOKUP($M156,$M$3:$Q$14,2,0),"")</f>
        <v>In Carton</v>
      </c>
      <c r="O156" s="73" t="str">
        <f aca="false">IFERROR(VLOOKUP($M156,$M$3:$Q$14,3,0),"")</f>
        <v>Carton</v>
      </c>
      <c r="P156" s="76" t="n">
        <f aca="false">IFERROR(VLOOKUP($M156,$M$3:$Q$14,4,0),"")</f>
        <v>1</v>
      </c>
      <c r="Q156" s="73" t="str">
        <f aca="false">IFERROR(VLOOKUP($M156,$M$3:$Q$14,5,0),"")</f>
        <v>large</v>
      </c>
      <c r="R156" s="73" t="n">
        <v>1</v>
      </c>
      <c r="S156" s="77" t="n">
        <f aca="false">5175*24</f>
        <v>124200</v>
      </c>
      <c r="T156" s="78" t="n">
        <f aca="false">S156/1.11</f>
        <v>111891.891891892</v>
      </c>
      <c r="U156" s="79" t="n">
        <f aca="false">V156+(V156*11%)</f>
        <v>107110.56</v>
      </c>
      <c r="V156" s="79" t="n">
        <v>96496</v>
      </c>
      <c r="W156" s="1" t="e">
        <f aca="false">VLOOKUP($G156,#REF!,2,0)</f>
        <v>#VALUE!</v>
      </c>
    </row>
    <row r="157" customFormat="false" ht="22.5" hidden="true" customHeight="true" outlineLevel="0" collapsed="false">
      <c r="A157" s="53"/>
      <c r="B157" s="53"/>
      <c r="C157" s="73" t="n">
        <v>54</v>
      </c>
      <c r="D157" s="80" t="s">
        <v>167</v>
      </c>
      <c r="E157" s="73" t="s">
        <v>168</v>
      </c>
      <c r="F157" s="73" t="s">
        <v>169</v>
      </c>
      <c r="G157" s="75" t="s">
        <v>142</v>
      </c>
      <c r="H157" s="73" t="s">
        <v>118</v>
      </c>
      <c r="I157" s="73" t="s">
        <v>118</v>
      </c>
      <c r="J157" s="76" t="n">
        <v>1</v>
      </c>
      <c r="K157" s="73" t="str">
        <f aca="false">IFERROR(VLOOKUP($J157,$J$10:$K$13,2,0),"")</f>
        <v>DISTRIBUTOR</v>
      </c>
      <c r="L157" s="73" t="s">
        <v>22</v>
      </c>
      <c r="M157" s="76" t="n">
        <v>9</v>
      </c>
      <c r="N157" s="73" t="str">
        <f aca="false">IFERROR(VLOOKUP($M157,$M$3:$Q$14,2,0),"")</f>
        <v>In Pcs</v>
      </c>
      <c r="O157" s="73" t="str">
        <f aca="false">IFERROR(VLOOKUP($M157,$M$3:$Q$14,3,0),"")</f>
        <v>Pcs</v>
      </c>
      <c r="P157" s="76" t="n">
        <f aca="false">IFERROR(VLOOKUP($M157,$M$3:$Q$14,4,0),"")</f>
        <v>4</v>
      </c>
      <c r="Q157" s="73" t="str">
        <f aca="false">IFERROR(VLOOKUP($M157,$M$3:$Q$14,5,0),"")</f>
        <v>small</v>
      </c>
      <c r="R157" s="73" t="n">
        <v>24</v>
      </c>
      <c r="S157" s="77" t="n">
        <f aca="false">S156/24</f>
        <v>5175</v>
      </c>
      <c r="T157" s="78" t="n">
        <f aca="false">S157/1.11</f>
        <v>4662.16216216216</v>
      </c>
      <c r="U157" s="79" t="n">
        <f aca="false">V157+(V157*11%)</f>
        <v>4462.2</v>
      </c>
      <c r="V157" s="79" t="n">
        <v>4020</v>
      </c>
      <c r="W157" s="1" t="e">
        <f aca="false">VLOOKUP($G157,#REF!,2,0)</f>
        <v>#VALUE!</v>
      </c>
    </row>
    <row r="158" customFormat="false" ht="22.5" hidden="true" customHeight="true" outlineLevel="0" collapsed="false">
      <c r="A158" s="53"/>
      <c r="B158" s="53"/>
      <c r="C158" s="73" t="n">
        <v>55</v>
      </c>
      <c r="D158" s="80" t="s">
        <v>170</v>
      </c>
      <c r="E158" s="73" t="s">
        <v>171</v>
      </c>
      <c r="F158" s="73" t="s">
        <v>169</v>
      </c>
      <c r="G158" s="75" t="s">
        <v>142</v>
      </c>
      <c r="H158" s="73" t="s">
        <v>118</v>
      </c>
      <c r="I158" s="73" t="s">
        <v>118</v>
      </c>
      <c r="J158" s="76" t="n">
        <v>1</v>
      </c>
      <c r="K158" s="73" t="str">
        <f aca="false">IFERROR(VLOOKUP($J158,$J$10:$K$13,2,0),"")</f>
        <v>DISTRIBUTOR</v>
      </c>
      <c r="L158" s="73" t="s">
        <v>22</v>
      </c>
      <c r="M158" s="76" t="n">
        <v>1</v>
      </c>
      <c r="N158" s="73" t="str">
        <f aca="false">IFERROR(VLOOKUP($M158,$M$3:$Q$14,2,0),"")</f>
        <v>In Carton</v>
      </c>
      <c r="O158" s="73" t="str">
        <f aca="false">IFERROR(VLOOKUP($M158,$M$3:$Q$14,3,0),"")</f>
        <v>Carton</v>
      </c>
      <c r="P158" s="76" t="n">
        <f aca="false">IFERROR(VLOOKUP($M158,$M$3:$Q$14,4,0),"")</f>
        <v>1</v>
      </c>
      <c r="Q158" s="73" t="str">
        <f aca="false">IFERROR(VLOOKUP($M158,$M$3:$Q$14,5,0),"")</f>
        <v>large</v>
      </c>
      <c r="R158" s="73" t="n">
        <v>1</v>
      </c>
      <c r="S158" s="77" t="n">
        <f aca="false">5175*24</f>
        <v>124200</v>
      </c>
      <c r="T158" s="78" t="n">
        <f aca="false">S158/1.11</f>
        <v>111891.891891892</v>
      </c>
      <c r="U158" s="79" t="n">
        <f aca="false">V158+(V158*11%)</f>
        <v>107110.56</v>
      </c>
      <c r="V158" s="79" t="n">
        <v>96496</v>
      </c>
      <c r="W158" s="1" t="e">
        <f aca="false">VLOOKUP($G158,#REF!,2,0)</f>
        <v>#VALUE!</v>
      </c>
    </row>
    <row r="159" customFormat="false" ht="22.5" hidden="true" customHeight="true" outlineLevel="0" collapsed="false">
      <c r="A159" s="53"/>
      <c r="B159" s="53"/>
      <c r="C159" s="73" t="n">
        <v>55</v>
      </c>
      <c r="D159" s="80" t="s">
        <v>170</v>
      </c>
      <c r="E159" s="73" t="s">
        <v>171</v>
      </c>
      <c r="F159" s="73" t="s">
        <v>169</v>
      </c>
      <c r="G159" s="75" t="s">
        <v>142</v>
      </c>
      <c r="H159" s="73" t="s">
        <v>118</v>
      </c>
      <c r="I159" s="73" t="s">
        <v>118</v>
      </c>
      <c r="J159" s="76" t="n">
        <v>1</v>
      </c>
      <c r="K159" s="73" t="str">
        <f aca="false">IFERROR(VLOOKUP($J159,$J$10:$K$13,2,0),"")</f>
        <v>DISTRIBUTOR</v>
      </c>
      <c r="L159" s="73" t="s">
        <v>22</v>
      </c>
      <c r="M159" s="76" t="n">
        <v>9</v>
      </c>
      <c r="N159" s="73" t="str">
        <f aca="false">IFERROR(VLOOKUP($M159,$M$3:$Q$14,2,0),"")</f>
        <v>In Pcs</v>
      </c>
      <c r="O159" s="73" t="str">
        <f aca="false">IFERROR(VLOOKUP($M159,$M$3:$Q$14,3,0),"")</f>
        <v>Pcs</v>
      </c>
      <c r="P159" s="76" t="n">
        <f aca="false">IFERROR(VLOOKUP($M159,$M$3:$Q$14,4,0),"")</f>
        <v>4</v>
      </c>
      <c r="Q159" s="73" t="str">
        <f aca="false">IFERROR(VLOOKUP($M159,$M$3:$Q$14,5,0),"")</f>
        <v>small</v>
      </c>
      <c r="R159" s="73" t="n">
        <v>24</v>
      </c>
      <c r="S159" s="77" t="n">
        <f aca="false">S158/24</f>
        <v>5175</v>
      </c>
      <c r="T159" s="78" t="n">
        <f aca="false">S159/1.11</f>
        <v>4662.16216216216</v>
      </c>
      <c r="U159" s="79" t="n">
        <f aca="false">V159+(V159*11%)</f>
        <v>4462.2</v>
      </c>
      <c r="V159" s="79" t="n">
        <v>4020</v>
      </c>
      <c r="W159" s="1" t="e">
        <f aca="false">VLOOKUP($G159,#REF!,2,0)</f>
        <v>#VALUE!</v>
      </c>
    </row>
    <row r="160" customFormat="false" ht="22.5" hidden="true" customHeight="true" outlineLevel="0" collapsed="false">
      <c r="A160" s="53"/>
      <c r="B160" s="53"/>
      <c r="C160" s="73" t="n">
        <v>56</v>
      </c>
      <c r="D160" s="80" t="s">
        <v>172</v>
      </c>
      <c r="E160" s="73" t="s">
        <v>173</v>
      </c>
      <c r="F160" s="73" t="s">
        <v>169</v>
      </c>
      <c r="G160" s="75" t="s">
        <v>142</v>
      </c>
      <c r="H160" s="73" t="s">
        <v>118</v>
      </c>
      <c r="I160" s="73" t="s">
        <v>118</v>
      </c>
      <c r="J160" s="76" t="n">
        <v>1</v>
      </c>
      <c r="K160" s="73" t="str">
        <f aca="false">IFERROR(VLOOKUP($J160,$J$10:$K$13,2,0),"")</f>
        <v>DISTRIBUTOR</v>
      </c>
      <c r="L160" s="73" t="s">
        <v>22</v>
      </c>
      <c r="M160" s="76" t="n">
        <v>1</v>
      </c>
      <c r="N160" s="73" t="str">
        <f aca="false">IFERROR(VLOOKUP($M160,$M$3:$Q$14,2,0),"")</f>
        <v>In Carton</v>
      </c>
      <c r="O160" s="73" t="str">
        <f aca="false">IFERROR(VLOOKUP($M160,$M$3:$Q$14,3,0),"")</f>
        <v>Carton</v>
      </c>
      <c r="P160" s="76" t="n">
        <f aca="false">IFERROR(VLOOKUP($M160,$M$3:$Q$14,4,0),"")</f>
        <v>1</v>
      </c>
      <c r="Q160" s="73" t="str">
        <f aca="false">IFERROR(VLOOKUP($M160,$M$3:$Q$14,5,0),"")</f>
        <v>large</v>
      </c>
      <c r="R160" s="73" t="n">
        <v>1</v>
      </c>
      <c r="S160" s="77" t="n">
        <f aca="false">5175*24</f>
        <v>124200</v>
      </c>
      <c r="T160" s="78" t="n">
        <f aca="false">S160/1.11</f>
        <v>111891.891891892</v>
      </c>
      <c r="U160" s="79" t="n">
        <f aca="false">V160+(V160*11%)</f>
        <v>107110.56</v>
      </c>
      <c r="V160" s="79" t="n">
        <v>96496</v>
      </c>
      <c r="W160" s="1" t="e">
        <f aca="false">VLOOKUP($G160,#REF!,2,0)</f>
        <v>#VALUE!</v>
      </c>
    </row>
    <row r="161" customFormat="false" ht="22.5" hidden="true" customHeight="true" outlineLevel="0" collapsed="false">
      <c r="A161" s="53"/>
      <c r="B161" s="53"/>
      <c r="C161" s="73" t="n">
        <v>56</v>
      </c>
      <c r="D161" s="80" t="s">
        <v>172</v>
      </c>
      <c r="E161" s="73" t="s">
        <v>173</v>
      </c>
      <c r="F161" s="73" t="s">
        <v>169</v>
      </c>
      <c r="G161" s="75" t="s">
        <v>142</v>
      </c>
      <c r="H161" s="73" t="s">
        <v>118</v>
      </c>
      <c r="I161" s="73" t="s">
        <v>118</v>
      </c>
      <c r="J161" s="76" t="n">
        <v>1</v>
      </c>
      <c r="K161" s="73" t="str">
        <f aca="false">IFERROR(VLOOKUP($J161,$J$10:$K$13,2,0),"")</f>
        <v>DISTRIBUTOR</v>
      </c>
      <c r="L161" s="73" t="s">
        <v>22</v>
      </c>
      <c r="M161" s="76" t="n">
        <v>9</v>
      </c>
      <c r="N161" s="73" t="str">
        <f aca="false">IFERROR(VLOOKUP($M161,$M$3:$Q$14,2,0),"")</f>
        <v>In Pcs</v>
      </c>
      <c r="O161" s="73" t="str">
        <f aca="false">IFERROR(VLOOKUP($M161,$M$3:$Q$14,3,0),"")</f>
        <v>Pcs</v>
      </c>
      <c r="P161" s="76" t="n">
        <f aca="false">IFERROR(VLOOKUP($M161,$M$3:$Q$14,4,0),"")</f>
        <v>4</v>
      </c>
      <c r="Q161" s="73" t="str">
        <f aca="false">IFERROR(VLOOKUP($M161,$M$3:$Q$14,5,0),"")</f>
        <v>small</v>
      </c>
      <c r="R161" s="73" t="n">
        <v>24</v>
      </c>
      <c r="S161" s="77" t="n">
        <f aca="false">S160/24</f>
        <v>5175</v>
      </c>
      <c r="T161" s="78" t="n">
        <f aca="false">S161/1.11</f>
        <v>4662.16216216216</v>
      </c>
      <c r="U161" s="79" t="n">
        <f aca="false">V161+(V161*11%)</f>
        <v>4462.2</v>
      </c>
      <c r="V161" s="79" t="n">
        <v>4020</v>
      </c>
      <c r="W161" s="1" t="e">
        <f aca="false">VLOOKUP($G161,#REF!,2,0)</f>
        <v>#VALUE!</v>
      </c>
    </row>
    <row r="162" customFormat="false" ht="22.5" hidden="true" customHeight="true" outlineLevel="0" collapsed="false">
      <c r="A162" s="53"/>
      <c r="B162" s="53"/>
      <c r="C162" s="81" t="n">
        <v>57</v>
      </c>
      <c r="D162" s="82" t="n">
        <v>1002.001</v>
      </c>
      <c r="E162" s="83" t="s">
        <v>174</v>
      </c>
      <c r="F162" s="81" t="s">
        <v>175</v>
      </c>
      <c r="G162" s="81" t="s">
        <v>175</v>
      </c>
      <c r="H162" s="81" t="s">
        <v>176</v>
      </c>
      <c r="I162" s="81" t="s">
        <v>176</v>
      </c>
      <c r="J162" s="84" t="n">
        <v>1</v>
      </c>
      <c r="K162" s="81" t="str">
        <f aca="false">IFERROR(VLOOKUP($J162,$J$10:$K$13,2,0),"")</f>
        <v>DISTRIBUTOR</v>
      </c>
      <c r="L162" s="81" t="s">
        <v>26</v>
      </c>
      <c r="M162" s="84" t="n">
        <v>1</v>
      </c>
      <c r="N162" s="81" t="str">
        <f aca="false">IFERROR(VLOOKUP($M162,$M$3:$Q$14,2,0),"")</f>
        <v>In Carton</v>
      </c>
      <c r="O162" s="81" t="str">
        <f aca="false">IFERROR(VLOOKUP($M162,$M$3:$Q$14,3,0),"")</f>
        <v>Carton</v>
      </c>
      <c r="P162" s="84" t="n">
        <f aca="false">IFERROR(VLOOKUP($M162,$M$3:$Q$14,4,0),"")</f>
        <v>1</v>
      </c>
      <c r="Q162" s="81" t="str">
        <f aca="false">IFERROR(VLOOKUP($M162,$M$3:$Q$14,5,0),"")</f>
        <v>large</v>
      </c>
      <c r="R162" s="81" t="n">
        <v>1</v>
      </c>
      <c r="S162" s="85" t="n">
        <f aca="false">1600*60</f>
        <v>96000</v>
      </c>
      <c r="T162" s="86" t="n">
        <f aca="false">S162/1.11</f>
        <v>86486.4864864865</v>
      </c>
      <c r="U162" s="87" t="n">
        <v>78000</v>
      </c>
      <c r="V162" s="87" t="n">
        <f aca="false">T162-(T162*11%)</f>
        <v>76972.972972973</v>
      </c>
      <c r="W162" s="1" t="e">
        <f aca="false">VLOOKUP($G162,#REF!,2,0)</f>
        <v>#VALUE!</v>
      </c>
    </row>
    <row r="163" customFormat="false" ht="22.5" hidden="true" customHeight="true" outlineLevel="0" collapsed="false">
      <c r="A163" s="53"/>
      <c r="B163" s="53"/>
      <c r="C163" s="81" t="n">
        <v>57</v>
      </c>
      <c r="D163" s="82" t="n">
        <v>1002.001</v>
      </c>
      <c r="E163" s="83" t="s">
        <v>174</v>
      </c>
      <c r="F163" s="81" t="s">
        <v>175</v>
      </c>
      <c r="G163" s="81" t="s">
        <v>175</v>
      </c>
      <c r="H163" s="81" t="s">
        <v>176</v>
      </c>
      <c r="I163" s="81" t="s">
        <v>176</v>
      </c>
      <c r="J163" s="84" t="n">
        <v>1</v>
      </c>
      <c r="K163" s="81" t="str">
        <f aca="false">IFERROR(VLOOKUP($J163,$J$10:$K$13,2,0),"")</f>
        <v>DISTRIBUTOR</v>
      </c>
      <c r="L163" s="81" t="s">
        <v>26</v>
      </c>
      <c r="M163" s="84" t="n">
        <v>3</v>
      </c>
      <c r="N163" s="81" t="str">
        <f aca="false">IFERROR(VLOOKUP($M163,$M$3:$Q$14,2,0),"")</f>
        <v>In Pack</v>
      </c>
      <c r="O163" s="81" t="str">
        <f aca="false">IFERROR(VLOOKUP($M163,$M$3:$Q$14,3,0),"")</f>
        <v>Pack</v>
      </c>
      <c r="P163" s="84" t="n">
        <f aca="false">IFERROR(VLOOKUP($M163,$M$3:$Q$14,4,0),"")</f>
        <v>2</v>
      </c>
      <c r="Q163" s="81" t="n">
        <f aca="false">IFERROR(VLOOKUP($M163,$M$3:$Q$14,5,0),"")</f>
        <v>0</v>
      </c>
      <c r="R163" s="81" t="n">
        <v>60</v>
      </c>
      <c r="S163" s="85" t="n">
        <f aca="false">S162/60</f>
        <v>1600</v>
      </c>
      <c r="T163" s="86" t="n">
        <f aca="false">S163/1.11</f>
        <v>1441.44144144144</v>
      </c>
      <c r="U163" s="87" t="n">
        <v>7800</v>
      </c>
      <c r="V163" s="87" t="n">
        <v>7679</v>
      </c>
      <c r="W163" s="1" t="e">
        <f aca="false">VLOOKUP($G163,#REF!,2,0)</f>
        <v>#VALUE!</v>
      </c>
    </row>
    <row r="164" customFormat="false" ht="22.5" hidden="true" customHeight="true" outlineLevel="0" collapsed="false">
      <c r="A164" s="53"/>
      <c r="B164" s="53"/>
      <c r="C164" s="81" t="n">
        <v>57</v>
      </c>
      <c r="D164" s="82" t="n">
        <v>1002.001</v>
      </c>
      <c r="E164" s="83" t="s">
        <v>174</v>
      </c>
      <c r="F164" s="81" t="s">
        <v>175</v>
      </c>
      <c r="G164" s="81" t="s">
        <v>175</v>
      </c>
      <c r="H164" s="81" t="s">
        <v>176</v>
      </c>
      <c r="I164" s="81" t="s">
        <v>176</v>
      </c>
      <c r="J164" s="84" t="n">
        <v>1</v>
      </c>
      <c r="K164" s="81" t="str">
        <f aca="false">IFERROR(VLOOKUP($J164,$J$10:$K$13,2,0),"")</f>
        <v>DISTRIBUTOR</v>
      </c>
      <c r="L164" s="81" t="s">
        <v>26</v>
      </c>
      <c r="M164" s="84" t="n">
        <v>9</v>
      </c>
      <c r="N164" s="81" t="str">
        <f aca="false">IFERROR(VLOOKUP($M164,$M$3:$Q$14,2,0),"")</f>
        <v>In Pcs</v>
      </c>
      <c r="O164" s="81" t="str">
        <f aca="false">IFERROR(VLOOKUP($M164,$M$3:$Q$14,3,0),"")</f>
        <v>Pcs</v>
      </c>
      <c r="P164" s="84" t="n">
        <f aca="false">IFERROR(VLOOKUP($M164,$M$3:$Q$14,4,0),"")</f>
        <v>4</v>
      </c>
      <c r="Q164" s="81" t="str">
        <f aca="false">IFERROR(VLOOKUP($M164,$M$3:$Q$14,5,0),"")</f>
        <v>small</v>
      </c>
      <c r="R164" s="81" t="n">
        <v>300</v>
      </c>
      <c r="S164" s="85" t="n">
        <f aca="false">S163/5</f>
        <v>320</v>
      </c>
      <c r="T164" s="86" t="n">
        <f aca="false">S164/1.11</f>
        <v>288.288288288288</v>
      </c>
      <c r="U164" s="87" t="n">
        <v>780</v>
      </c>
      <c r="V164" s="87" t="n">
        <v>256</v>
      </c>
      <c r="W164" s="1" t="e">
        <f aca="false">VLOOKUP($G164,#REF!,2,0)</f>
        <v>#VALUE!</v>
      </c>
    </row>
    <row r="165" customFormat="false" ht="22.5" hidden="true" customHeight="true" outlineLevel="0" collapsed="false">
      <c r="A165" s="53"/>
      <c r="B165" s="53"/>
      <c r="C165" s="81" t="n">
        <v>58</v>
      </c>
      <c r="D165" s="82" t="n">
        <v>1002.002</v>
      </c>
      <c r="E165" s="83" t="s">
        <v>177</v>
      </c>
      <c r="F165" s="81" t="s">
        <v>175</v>
      </c>
      <c r="G165" s="81" t="s">
        <v>175</v>
      </c>
      <c r="H165" s="81" t="s">
        <v>176</v>
      </c>
      <c r="I165" s="81" t="s">
        <v>176</v>
      </c>
      <c r="J165" s="84" t="n">
        <v>1</v>
      </c>
      <c r="K165" s="81" t="str">
        <f aca="false">IFERROR(VLOOKUP($J165,$J$10:$K$13,2,0),"")</f>
        <v>DISTRIBUTOR</v>
      </c>
      <c r="L165" s="81" t="s">
        <v>26</v>
      </c>
      <c r="M165" s="84" t="n">
        <v>1</v>
      </c>
      <c r="N165" s="81" t="str">
        <f aca="false">IFERROR(VLOOKUP($M165,$M$3:$Q$14,2,0),"")</f>
        <v>In Carton</v>
      </c>
      <c r="O165" s="81" t="str">
        <f aca="false">IFERROR(VLOOKUP($M165,$M$3:$Q$14,3,0),"")</f>
        <v>Carton</v>
      </c>
      <c r="P165" s="84" t="n">
        <f aca="false">IFERROR(VLOOKUP($M165,$M$3:$Q$14,4,0),"")</f>
        <v>1</v>
      </c>
      <c r="Q165" s="81" t="str">
        <f aca="false">IFERROR(VLOOKUP($M165,$M$3:$Q$14,5,0),"")</f>
        <v>large</v>
      </c>
      <c r="R165" s="81" t="n">
        <v>1</v>
      </c>
      <c r="S165" s="85" t="n">
        <f aca="false">1600*60</f>
        <v>96000</v>
      </c>
      <c r="T165" s="86" t="n">
        <f aca="false">S165/1.11</f>
        <v>86486.4864864865</v>
      </c>
      <c r="U165" s="87" t="n">
        <v>78000</v>
      </c>
      <c r="V165" s="87" t="n">
        <f aca="false">T165-(T165*11%)</f>
        <v>76972.972972973</v>
      </c>
      <c r="W165" s="1" t="e">
        <f aca="false">VLOOKUP($G165,#REF!,2,0)</f>
        <v>#VALUE!</v>
      </c>
    </row>
    <row r="166" customFormat="false" ht="22.5" hidden="true" customHeight="true" outlineLevel="0" collapsed="false">
      <c r="A166" s="53"/>
      <c r="B166" s="53"/>
      <c r="C166" s="81" t="n">
        <v>58</v>
      </c>
      <c r="D166" s="82" t="n">
        <v>1002.002</v>
      </c>
      <c r="E166" s="83" t="s">
        <v>177</v>
      </c>
      <c r="F166" s="81" t="s">
        <v>175</v>
      </c>
      <c r="G166" s="81" t="s">
        <v>175</v>
      </c>
      <c r="H166" s="81" t="s">
        <v>176</v>
      </c>
      <c r="I166" s="81" t="s">
        <v>176</v>
      </c>
      <c r="J166" s="84" t="n">
        <v>1</v>
      </c>
      <c r="K166" s="81" t="str">
        <f aca="false">IFERROR(VLOOKUP($J166,$J$10:$K$13,2,0),"")</f>
        <v>DISTRIBUTOR</v>
      </c>
      <c r="L166" s="81" t="s">
        <v>26</v>
      </c>
      <c r="M166" s="84" t="n">
        <v>3</v>
      </c>
      <c r="N166" s="81" t="str">
        <f aca="false">IFERROR(VLOOKUP($M166,$M$3:$Q$14,2,0),"")</f>
        <v>In Pack</v>
      </c>
      <c r="O166" s="81" t="str">
        <f aca="false">IFERROR(VLOOKUP($M166,$M$3:$Q$14,3,0),"")</f>
        <v>Pack</v>
      </c>
      <c r="P166" s="84" t="n">
        <f aca="false">IFERROR(VLOOKUP($M166,$M$3:$Q$14,4,0),"")</f>
        <v>2</v>
      </c>
      <c r="Q166" s="81" t="n">
        <f aca="false">IFERROR(VLOOKUP($M166,$M$3:$Q$14,5,0),"")</f>
        <v>0</v>
      </c>
      <c r="R166" s="81" t="n">
        <v>60</v>
      </c>
      <c r="S166" s="85" t="n">
        <f aca="false">S165/60</f>
        <v>1600</v>
      </c>
      <c r="T166" s="86" t="n">
        <f aca="false">S166/1.11</f>
        <v>1441.44144144144</v>
      </c>
      <c r="U166" s="87" t="n">
        <v>7800</v>
      </c>
      <c r="V166" s="87" t="n">
        <v>7679</v>
      </c>
      <c r="W166" s="1" t="e">
        <f aca="false">VLOOKUP($G166,#REF!,2,0)</f>
        <v>#VALUE!</v>
      </c>
    </row>
    <row r="167" customFormat="false" ht="22.5" hidden="true" customHeight="true" outlineLevel="0" collapsed="false">
      <c r="A167" s="53"/>
      <c r="B167" s="53"/>
      <c r="C167" s="81" t="n">
        <v>58</v>
      </c>
      <c r="D167" s="82" t="n">
        <v>1002.002</v>
      </c>
      <c r="E167" s="83" t="s">
        <v>177</v>
      </c>
      <c r="F167" s="81" t="s">
        <v>175</v>
      </c>
      <c r="G167" s="81" t="s">
        <v>175</v>
      </c>
      <c r="H167" s="81" t="s">
        <v>176</v>
      </c>
      <c r="I167" s="81" t="s">
        <v>176</v>
      </c>
      <c r="J167" s="84" t="n">
        <v>1</v>
      </c>
      <c r="K167" s="81" t="str">
        <f aca="false">IFERROR(VLOOKUP($J167,$J$10:$K$13,2,0),"")</f>
        <v>DISTRIBUTOR</v>
      </c>
      <c r="L167" s="81" t="s">
        <v>26</v>
      </c>
      <c r="M167" s="84" t="n">
        <v>9</v>
      </c>
      <c r="N167" s="81" t="str">
        <f aca="false">IFERROR(VLOOKUP($M167,$M$3:$Q$14,2,0),"")</f>
        <v>In Pcs</v>
      </c>
      <c r="O167" s="81" t="str">
        <f aca="false">IFERROR(VLOOKUP($M167,$M$3:$Q$14,3,0),"")</f>
        <v>Pcs</v>
      </c>
      <c r="P167" s="84" t="n">
        <f aca="false">IFERROR(VLOOKUP($M167,$M$3:$Q$14,4,0),"")</f>
        <v>4</v>
      </c>
      <c r="Q167" s="81" t="str">
        <f aca="false">IFERROR(VLOOKUP($M167,$M$3:$Q$14,5,0),"")</f>
        <v>small</v>
      </c>
      <c r="R167" s="81" t="n">
        <v>300</v>
      </c>
      <c r="S167" s="85" t="n">
        <f aca="false">S166/5</f>
        <v>320</v>
      </c>
      <c r="T167" s="86" t="n">
        <f aca="false">S167/1.11</f>
        <v>288.288288288288</v>
      </c>
      <c r="U167" s="87" t="n">
        <v>780</v>
      </c>
      <c r="V167" s="87" t="n">
        <v>256</v>
      </c>
      <c r="W167" s="1" t="e">
        <f aca="false">VLOOKUP($G167,#REF!,2,0)</f>
        <v>#VALUE!</v>
      </c>
    </row>
    <row r="168" customFormat="false" ht="22.5" hidden="true" customHeight="true" outlineLevel="0" collapsed="false">
      <c r="A168" s="53"/>
      <c r="B168" s="53"/>
      <c r="C168" s="81" t="n">
        <v>59</v>
      </c>
      <c r="D168" s="82" t="n">
        <v>1002.003</v>
      </c>
      <c r="E168" s="83" t="s">
        <v>178</v>
      </c>
      <c r="F168" s="81" t="s">
        <v>175</v>
      </c>
      <c r="G168" s="81" t="s">
        <v>175</v>
      </c>
      <c r="H168" s="81" t="s">
        <v>176</v>
      </c>
      <c r="I168" s="81" t="s">
        <v>176</v>
      </c>
      <c r="J168" s="84" t="n">
        <v>1</v>
      </c>
      <c r="K168" s="81" t="str">
        <f aca="false">IFERROR(VLOOKUP($J168,$J$10:$K$13,2,0),"")</f>
        <v>DISTRIBUTOR</v>
      </c>
      <c r="L168" s="81" t="s">
        <v>26</v>
      </c>
      <c r="M168" s="84" t="n">
        <v>1</v>
      </c>
      <c r="N168" s="81" t="str">
        <f aca="false">IFERROR(VLOOKUP($M168,$M$3:$Q$14,2,0),"")</f>
        <v>In Carton</v>
      </c>
      <c r="O168" s="81" t="str">
        <f aca="false">IFERROR(VLOOKUP($M168,$M$3:$Q$14,3,0),"")</f>
        <v>Carton</v>
      </c>
      <c r="P168" s="84" t="n">
        <f aca="false">IFERROR(VLOOKUP($M168,$M$3:$Q$14,4,0),"")</f>
        <v>1</v>
      </c>
      <c r="Q168" s="81" t="str">
        <f aca="false">IFERROR(VLOOKUP($M168,$M$3:$Q$14,5,0),"")</f>
        <v>large</v>
      </c>
      <c r="R168" s="81" t="n">
        <v>1</v>
      </c>
      <c r="S168" s="85" t="n">
        <f aca="false">30750*4</f>
        <v>123000</v>
      </c>
      <c r="T168" s="86" t="n">
        <f aca="false">S168/1.11</f>
        <v>110810.810810811</v>
      </c>
      <c r="U168" s="87" t="n">
        <v>100000</v>
      </c>
      <c r="V168" s="87" t="n">
        <f aca="false">U168-(U168*11%)</f>
        <v>89000</v>
      </c>
      <c r="W168" s="1" t="e">
        <f aca="false">VLOOKUP($G168,#REF!,2,0)</f>
        <v>#VALUE!</v>
      </c>
    </row>
    <row r="169" customFormat="false" ht="22.5" hidden="true" customHeight="true" outlineLevel="0" collapsed="false">
      <c r="A169" s="53"/>
      <c r="B169" s="53"/>
      <c r="C169" s="81" t="n">
        <v>59</v>
      </c>
      <c r="D169" s="82" t="n">
        <v>1002.003</v>
      </c>
      <c r="E169" s="83" t="s">
        <v>178</v>
      </c>
      <c r="F169" s="81" t="s">
        <v>175</v>
      </c>
      <c r="G169" s="81" t="s">
        <v>175</v>
      </c>
      <c r="H169" s="81" t="s">
        <v>176</v>
      </c>
      <c r="I169" s="81" t="s">
        <v>176</v>
      </c>
      <c r="J169" s="84" t="n">
        <v>1</v>
      </c>
      <c r="K169" s="81" t="str">
        <f aca="false">IFERROR(VLOOKUP($J169,$J$10:$K$13,2,0),"")</f>
        <v>DISTRIBUTOR</v>
      </c>
      <c r="L169" s="81" t="s">
        <v>26</v>
      </c>
      <c r="M169" s="84" t="n">
        <v>3</v>
      </c>
      <c r="N169" s="81" t="str">
        <f aca="false">IFERROR(VLOOKUP($M169,$M$3:$Q$14,2,0),"")</f>
        <v>In Pack</v>
      </c>
      <c r="O169" s="81" t="str">
        <f aca="false">IFERROR(VLOOKUP($M169,$M$3:$Q$14,3,0),"")</f>
        <v>Pack</v>
      </c>
      <c r="P169" s="84" t="n">
        <f aca="false">IFERROR(VLOOKUP($M169,$M$3:$Q$14,4,0),"")</f>
        <v>2</v>
      </c>
      <c r="Q169" s="81" t="n">
        <f aca="false">IFERROR(VLOOKUP($M169,$M$3:$Q$14,5,0),"")</f>
        <v>0</v>
      </c>
      <c r="R169" s="81" t="n">
        <v>4</v>
      </c>
      <c r="S169" s="85" t="n">
        <f aca="false">S168/4</f>
        <v>30750</v>
      </c>
      <c r="T169" s="86" t="n">
        <f aca="false">S169/1.11</f>
        <v>27702.7027027027</v>
      </c>
      <c r="U169" s="87" t="n">
        <v>25000</v>
      </c>
      <c r="V169" s="87" t="n">
        <v>22250</v>
      </c>
      <c r="W169" s="1" t="e">
        <f aca="false">VLOOKUP($G169,#REF!,2,0)</f>
        <v>#VALUE!</v>
      </c>
    </row>
    <row r="170" customFormat="false" ht="22.5" hidden="true" customHeight="true" outlineLevel="0" collapsed="false">
      <c r="A170" s="53"/>
      <c r="B170" s="53"/>
      <c r="C170" s="81" t="n">
        <v>59</v>
      </c>
      <c r="D170" s="82" t="n">
        <v>1002.003</v>
      </c>
      <c r="E170" s="83" t="s">
        <v>178</v>
      </c>
      <c r="F170" s="81" t="s">
        <v>175</v>
      </c>
      <c r="G170" s="81" t="s">
        <v>175</v>
      </c>
      <c r="H170" s="81" t="s">
        <v>176</v>
      </c>
      <c r="I170" s="81" t="s">
        <v>176</v>
      </c>
      <c r="J170" s="84" t="n">
        <v>1</v>
      </c>
      <c r="K170" s="81" t="str">
        <f aca="false">IFERROR(VLOOKUP($J170,$J$10:$K$13,2,0),"")</f>
        <v>DISTRIBUTOR</v>
      </c>
      <c r="L170" s="81" t="s">
        <v>26</v>
      </c>
      <c r="M170" s="84" t="n">
        <v>9</v>
      </c>
      <c r="N170" s="81" t="str">
        <f aca="false">IFERROR(VLOOKUP($M170,$M$3:$Q$14,2,0),"")</f>
        <v>In Pcs</v>
      </c>
      <c r="O170" s="81" t="str">
        <f aca="false">IFERROR(VLOOKUP($M170,$M$3:$Q$14,3,0),"")</f>
        <v>Pcs</v>
      </c>
      <c r="P170" s="84" t="n">
        <f aca="false">IFERROR(VLOOKUP($M170,$M$3:$Q$14,4,0),"")</f>
        <v>4</v>
      </c>
      <c r="Q170" s="81" t="str">
        <f aca="false">IFERROR(VLOOKUP($M170,$M$3:$Q$14,5,0),"")</f>
        <v>small</v>
      </c>
      <c r="R170" s="81" t="n">
        <v>400</v>
      </c>
      <c r="S170" s="88" t="n">
        <f aca="false">S169/100</f>
        <v>307.5</v>
      </c>
      <c r="T170" s="86" t="n">
        <f aca="false">S170/1.11</f>
        <v>277.027027027027</v>
      </c>
      <c r="U170" s="87" t="n">
        <v>250</v>
      </c>
      <c r="V170" s="87" t="n">
        <v>222</v>
      </c>
      <c r="W170" s="1" t="e">
        <f aca="false">VLOOKUP($G170,#REF!,2,0)</f>
        <v>#VALUE!</v>
      </c>
    </row>
    <row r="171" customFormat="false" ht="22.5" hidden="true" customHeight="true" outlineLevel="0" collapsed="false">
      <c r="A171" s="53"/>
      <c r="B171" s="53"/>
      <c r="C171" s="81" t="n">
        <v>60</v>
      </c>
      <c r="D171" s="82" t="n">
        <v>1002.004</v>
      </c>
      <c r="E171" s="83" t="s">
        <v>179</v>
      </c>
      <c r="F171" s="81" t="s">
        <v>175</v>
      </c>
      <c r="G171" s="81" t="s">
        <v>175</v>
      </c>
      <c r="H171" s="81" t="s">
        <v>176</v>
      </c>
      <c r="I171" s="81" t="s">
        <v>176</v>
      </c>
      <c r="J171" s="84" t="n">
        <v>1</v>
      </c>
      <c r="K171" s="81" t="str">
        <f aca="false">IFERROR(VLOOKUP($J171,$J$10:$K$13,2,0),"")</f>
        <v>DISTRIBUTOR</v>
      </c>
      <c r="L171" s="81" t="s">
        <v>26</v>
      </c>
      <c r="M171" s="84" t="n">
        <v>1</v>
      </c>
      <c r="N171" s="81" t="str">
        <f aca="false">IFERROR(VLOOKUP($M171,$M$3:$Q$14,2,0),"")</f>
        <v>In Carton</v>
      </c>
      <c r="O171" s="81" t="str">
        <f aca="false">IFERROR(VLOOKUP($M171,$M$3:$Q$14,3,0),"")</f>
        <v>Carton</v>
      </c>
      <c r="P171" s="84" t="n">
        <f aca="false">IFERROR(VLOOKUP($M171,$M$3:$Q$14,4,0),"")</f>
        <v>1</v>
      </c>
      <c r="Q171" s="81" t="str">
        <f aca="false">IFERROR(VLOOKUP($M171,$M$3:$Q$14,5,0),"")</f>
        <v>large</v>
      </c>
      <c r="R171" s="81" t="n">
        <v>1</v>
      </c>
      <c r="S171" s="85" t="n">
        <f aca="false">30750*4</f>
        <v>123000</v>
      </c>
      <c r="T171" s="86" t="n">
        <f aca="false">S171/1.11</f>
        <v>110810.810810811</v>
      </c>
      <c r="U171" s="87" t="n">
        <v>100000</v>
      </c>
      <c r="V171" s="87" t="n">
        <f aca="false">U171-(U171*11%)</f>
        <v>89000</v>
      </c>
      <c r="W171" s="1" t="e">
        <f aca="false">VLOOKUP($G171,#REF!,2,0)</f>
        <v>#VALUE!</v>
      </c>
    </row>
    <row r="172" customFormat="false" ht="22.5" hidden="true" customHeight="true" outlineLevel="0" collapsed="false">
      <c r="A172" s="53"/>
      <c r="B172" s="53"/>
      <c r="C172" s="81" t="n">
        <v>60</v>
      </c>
      <c r="D172" s="82" t="n">
        <v>1002.004</v>
      </c>
      <c r="E172" s="83" t="s">
        <v>179</v>
      </c>
      <c r="F172" s="81" t="s">
        <v>175</v>
      </c>
      <c r="G172" s="81" t="s">
        <v>175</v>
      </c>
      <c r="H172" s="81" t="s">
        <v>176</v>
      </c>
      <c r="I172" s="81" t="s">
        <v>176</v>
      </c>
      <c r="J172" s="84" t="n">
        <v>1</v>
      </c>
      <c r="K172" s="81" t="str">
        <f aca="false">IFERROR(VLOOKUP($J172,$J$10:$K$13,2,0),"")</f>
        <v>DISTRIBUTOR</v>
      </c>
      <c r="L172" s="81" t="s">
        <v>26</v>
      </c>
      <c r="M172" s="84" t="n">
        <v>3</v>
      </c>
      <c r="N172" s="81" t="str">
        <f aca="false">IFERROR(VLOOKUP($M172,$M$3:$Q$14,2,0),"")</f>
        <v>In Pack</v>
      </c>
      <c r="O172" s="81" t="str">
        <f aca="false">IFERROR(VLOOKUP($M172,$M$3:$Q$14,3,0),"")</f>
        <v>Pack</v>
      </c>
      <c r="P172" s="84" t="n">
        <f aca="false">IFERROR(VLOOKUP($M172,$M$3:$Q$14,4,0),"")</f>
        <v>2</v>
      </c>
      <c r="Q172" s="81" t="n">
        <f aca="false">IFERROR(VLOOKUP($M172,$M$3:$Q$14,5,0),"")</f>
        <v>0</v>
      </c>
      <c r="R172" s="81" t="n">
        <v>4</v>
      </c>
      <c r="S172" s="85" t="n">
        <f aca="false">S171/4</f>
        <v>30750</v>
      </c>
      <c r="T172" s="86" t="n">
        <f aca="false">S172/1.11</f>
        <v>27702.7027027027</v>
      </c>
      <c r="U172" s="87" t="n">
        <v>25000</v>
      </c>
      <c r="V172" s="87" t="n">
        <v>22250</v>
      </c>
      <c r="W172" s="1" t="e">
        <f aca="false">VLOOKUP($G172,#REF!,2,0)</f>
        <v>#VALUE!</v>
      </c>
    </row>
    <row r="173" customFormat="false" ht="22.5" hidden="true" customHeight="true" outlineLevel="0" collapsed="false">
      <c r="A173" s="53"/>
      <c r="B173" s="53"/>
      <c r="C173" s="81" t="n">
        <v>60</v>
      </c>
      <c r="D173" s="82" t="n">
        <v>1002.004</v>
      </c>
      <c r="E173" s="83" t="s">
        <v>179</v>
      </c>
      <c r="F173" s="81" t="s">
        <v>175</v>
      </c>
      <c r="G173" s="81" t="s">
        <v>175</v>
      </c>
      <c r="H173" s="81" t="s">
        <v>176</v>
      </c>
      <c r="I173" s="81" t="s">
        <v>176</v>
      </c>
      <c r="J173" s="84" t="n">
        <v>1</v>
      </c>
      <c r="K173" s="81" t="str">
        <f aca="false">IFERROR(VLOOKUP($J173,$J$10:$K$13,2,0),"")</f>
        <v>DISTRIBUTOR</v>
      </c>
      <c r="L173" s="81" t="s">
        <v>26</v>
      </c>
      <c r="M173" s="84" t="n">
        <v>9</v>
      </c>
      <c r="N173" s="81" t="str">
        <f aca="false">IFERROR(VLOOKUP($M173,$M$3:$Q$14,2,0),"")</f>
        <v>In Pcs</v>
      </c>
      <c r="O173" s="81" t="str">
        <f aca="false">IFERROR(VLOOKUP($M173,$M$3:$Q$14,3,0),"")</f>
        <v>Pcs</v>
      </c>
      <c r="P173" s="84" t="n">
        <f aca="false">IFERROR(VLOOKUP($M173,$M$3:$Q$14,4,0),"")</f>
        <v>4</v>
      </c>
      <c r="Q173" s="81" t="str">
        <f aca="false">IFERROR(VLOOKUP($M173,$M$3:$Q$14,5,0),"")</f>
        <v>small</v>
      </c>
      <c r="R173" s="81" t="n">
        <v>400</v>
      </c>
      <c r="S173" s="88" t="n">
        <f aca="false">S172/100</f>
        <v>307.5</v>
      </c>
      <c r="T173" s="86" t="n">
        <f aca="false">S173/1.11</f>
        <v>277.027027027027</v>
      </c>
      <c r="U173" s="87" t="n">
        <v>250</v>
      </c>
      <c r="V173" s="87" t="n">
        <v>222</v>
      </c>
      <c r="W173" s="1" t="e">
        <f aca="false">VLOOKUP($G173,#REF!,2,0)</f>
        <v>#VALUE!</v>
      </c>
    </row>
    <row r="174" customFormat="false" ht="22.5" hidden="true" customHeight="true" outlineLevel="0" collapsed="false">
      <c r="A174" s="53"/>
      <c r="B174" s="53"/>
      <c r="C174" s="81" t="n">
        <v>61</v>
      </c>
      <c r="D174" s="89" t="n">
        <v>1002.021</v>
      </c>
      <c r="E174" s="90" t="s">
        <v>180</v>
      </c>
      <c r="F174" s="81" t="s">
        <v>175</v>
      </c>
      <c r="G174" s="81" t="s">
        <v>175</v>
      </c>
      <c r="H174" s="81" t="s">
        <v>176</v>
      </c>
      <c r="I174" s="81" t="s">
        <v>176</v>
      </c>
      <c r="J174" s="84" t="n">
        <v>1</v>
      </c>
      <c r="K174" s="81" t="str">
        <f aca="false">IFERROR(VLOOKUP($J174,$J$10:$K$13,2,0),"")</f>
        <v>DISTRIBUTOR</v>
      </c>
      <c r="L174" s="81" t="s">
        <v>26</v>
      </c>
      <c r="M174" s="84" t="n">
        <v>1</v>
      </c>
      <c r="N174" s="81" t="str">
        <f aca="false">IFERROR(VLOOKUP($M174,$M$3:$Q$14,2,0),"")</f>
        <v>In Carton</v>
      </c>
      <c r="O174" s="81" t="str">
        <f aca="false">IFERROR(VLOOKUP($M174,$M$3:$Q$14,3,0),"")</f>
        <v>Carton</v>
      </c>
      <c r="P174" s="84" t="n">
        <f aca="false">IFERROR(VLOOKUP($M174,$M$3:$Q$14,4,0),"")</f>
        <v>1</v>
      </c>
      <c r="Q174" s="81" t="str">
        <f aca="false">IFERROR(VLOOKUP($M174,$M$3:$Q$14,5,0),"")</f>
        <v>large</v>
      </c>
      <c r="R174" s="81" t="n">
        <v>1</v>
      </c>
      <c r="S174" s="85" t="n">
        <f aca="false">9600*12</f>
        <v>115200</v>
      </c>
      <c r="T174" s="86" t="n">
        <f aca="false">S174/1.11</f>
        <v>103783.783783784</v>
      </c>
      <c r="U174" s="87" t="n">
        <v>93600</v>
      </c>
      <c r="V174" s="87" t="n">
        <f aca="false">U174-(U174*11%)</f>
        <v>83304</v>
      </c>
      <c r="W174" s="1" t="e">
        <f aca="false">VLOOKUP($G174,#REF!,2,0)</f>
        <v>#VALUE!</v>
      </c>
    </row>
    <row r="175" customFormat="false" ht="22.5" hidden="true" customHeight="true" outlineLevel="0" collapsed="false">
      <c r="A175" s="53"/>
      <c r="B175" s="53"/>
      <c r="C175" s="81" t="n">
        <v>61</v>
      </c>
      <c r="D175" s="89" t="n">
        <v>1002.021</v>
      </c>
      <c r="E175" s="90" t="s">
        <v>180</v>
      </c>
      <c r="F175" s="81" t="s">
        <v>175</v>
      </c>
      <c r="G175" s="81" t="s">
        <v>175</v>
      </c>
      <c r="H175" s="81" t="s">
        <v>176</v>
      </c>
      <c r="I175" s="81" t="s">
        <v>176</v>
      </c>
      <c r="J175" s="84" t="n">
        <v>1</v>
      </c>
      <c r="K175" s="81" t="str">
        <f aca="false">IFERROR(VLOOKUP($J175,$J$10:$K$13,2,0),"")</f>
        <v>DISTRIBUTOR</v>
      </c>
      <c r="L175" s="81" t="s">
        <v>26</v>
      </c>
      <c r="M175" s="84" t="n">
        <v>3</v>
      </c>
      <c r="N175" s="81" t="str">
        <f aca="false">IFERROR(VLOOKUP($M175,$M$3:$Q$14,2,0),"")</f>
        <v>In Pack</v>
      </c>
      <c r="O175" s="81" t="str">
        <f aca="false">IFERROR(VLOOKUP($M175,$M$3:$Q$14,3,0),"")</f>
        <v>Pack</v>
      </c>
      <c r="P175" s="84" t="n">
        <f aca="false">IFERROR(VLOOKUP($M175,$M$3:$Q$14,4,0),"")</f>
        <v>2</v>
      </c>
      <c r="Q175" s="81" t="n">
        <f aca="false">IFERROR(VLOOKUP($M175,$M$3:$Q$14,5,0),"")</f>
        <v>0</v>
      </c>
      <c r="R175" s="81" t="n">
        <v>12</v>
      </c>
      <c r="S175" s="85" t="n">
        <f aca="false">S174/12</f>
        <v>9600</v>
      </c>
      <c r="T175" s="86" t="n">
        <f aca="false">S175/1.11</f>
        <v>8648.64864864865</v>
      </c>
      <c r="U175" s="87" t="n">
        <v>7800</v>
      </c>
      <c r="V175" s="87" t="n">
        <v>6942</v>
      </c>
      <c r="W175" s="1" t="e">
        <f aca="false">VLOOKUP($G175,#REF!,2,0)</f>
        <v>#VALUE!</v>
      </c>
    </row>
    <row r="176" customFormat="false" ht="22.5" hidden="true" customHeight="true" outlineLevel="0" collapsed="false">
      <c r="A176" s="53"/>
      <c r="B176" s="53"/>
      <c r="C176" s="81" t="n">
        <v>61</v>
      </c>
      <c r="D176" s="89" t="n">
        <v>1002.021</v>
      </c>
      <c r="E176" s="90" t="s">
        <v>180</v>
      </c>
      <c r="F176" s="81" t="s">
        <v>175</v>
      </c>
      <c r="G176" s="81" t="s">
        <v>175</v>
      </c>
      <c r="H176" s="81" t="s">
        <v>176</v>
      </c>
      <c r="I176" s="81" t="s">
        <v>176</v>
      </c>
      <c r="J176" s="84" t="n">
        <v>1</v>
      </c>
      <c r="K176" s="81" t="str">
        <f aca="false">IFERROR(VLOOKUP($J176,$J$10:$K$13,2,0),"")</f>
        <v>DISTRIBUTOR</v>
      </c>
      <c r="L176" s="81" t="s">
        <v>26</v>
      </c>
      <c r="M176" s="84" t="n">
        <v>9</v>
      </c>
      <c r="N176" s="81" t="str">
        <f aca="false">IFERROR(VLOOKUP($M176,$M$3:$Q$14,2,0),"")</f>
        <v>In Pcs</v>
      </c>
      <c r="O176" s="81" t="str">
        <f aca="false">IFERROR(VLOOKUP($M176,$M$3:$Q$14,3,0),"")</f>
        <v>Pcs</v>
      </c>
      <c r="P176" s="84" t="n">
        <f aca="false">IFERROR(VLOOKUP($M176,$M$3:$Q$14,4,0),"")</f>
        <v>4</v>
      </c>
      <c r="Q176" s="81" t="str">
        <f aca="false">IFERROR(VLOOKUP($M176,$M$3:$Q$14,5,0),"")</f>
        <v>small</v>
      </c>
      <c r="R176" s="81" t="n">
        <v>144</v>
      </c>
      <c r="S176" s="85" t="n">
        <f aca="false">S175/12</f>
        <v>800</v>
      </c>
      <c r="T176" s="86" t="n">
        <f aca="false">S176/1.11</f>
        <v>720.720720720721</v>
      </c>
      <c r="U176" s="87" t="n">
        <v>650</v>
      </c>
      <c r="V176" s="87" t="n">
        <v>578</v>
      </c>
      <c r="W176" s="1" t="e">
        <f aca="false">VLOOKUP($G176,#REF!,2,0)</f>
        <v>#VALUE!</v>
      </c>
    </row>
    <row r="177" customFormat="false" ht="22.5" hidden="true" customHeight="true" outlineLevel="0" collapsed="false">
      <c r="A177" s="53"/>
      <c r="B177" s="53"/>
      <c r="C177" s="81" t="n">
        <v>62</v>
      </c>
      <c r="D177" s="91" t="n">
        <v>1002.005</v>
      </c>
      <c r="E177" s="92" t="s">
        <v>181</v>
      </c>
      <c r="F177" s="81" t="s">
        <v>175</v>
      </c>
      <c r="G177" s="81" t="s">
        <v>175</v>
      </c>
      <c r="H177" s="81" t="s">
        <v>176</v>
      </c>
      <c r="I177" s="81" t="s">
        <v>176</v>
      </c>
      <c r="J177" s="84" t="n">
        <v>1</v>
      </c>
      <c r="K177" s="81" t="str">
        <f aca="false">IFERROR(VLOOKUP($J177,$J$10:$K$13,2,0),"")</f>
        <v>DISTRIBUTOR</v>
      </c>
      <c r="L177" s="81" t="s">
        <v>26</v>
      </c>
      <c r="M177" s="84" t="n">
        <v>1</v>
      </c>
      <c r="N177" s="81" t="str">
        <f aca="false">IFERROR(VLOOKUP($M177,$M$3:$Q$14,2,0),"")</f>
        <v>In Carton</v>
      </c>
      <c r="O177" s="81" t="str">
        <f aca="false">IFERROR(VLOOKUP($M177,$M$3:$Q$14,3,0),"")</f>
        <v>Carton</v>
      </c>
      <c r="P177" s="84" t="n">
        <f aca="false">IFERROR(VLOOKUP($M177,$M$3:$Q$14,4,0),"")</f>
        <v>1</v>
      </c>
      <c r="Q177" s="81" t="str">
        <f aca="false">IFERROR(VLOOKUP($M177,$M$3:$Q$14,5,0),"")</f>
        <v>large</v>
      </c>
      <c r="R177" s="81" t="n">
        <v>1</v>
      </c>
      <c r="S177" s="85" t="n">
        <f aca="false">16000*6</f>
        <v>96000</v>
      </c>
      <c r="T177" s="86" t="n">
        <f aca="false">S177/1.11</f>
        <v>86486.4864864865</v>
      </c>
      <c r="U177" s="87" t="n">
        <v>78000</v>
      </c>
      <c r="V177" s="87" t="n">
        <f aca="false">U177-(U177*11%)</f>
        <v>69420</v>
      </c>
      <c r="W177" s="1" t="e">
        <f aca="false">VLOOKUP($G177,#REF!,2,0)</f>
        <v>#VALUE!</v>
      </c>
    </row>
    <row r="178" customFormat="false" ht="22.5" hidden="true" customHeight="true" outlineLevel="0" collapsed="false">
      <c r="A178" s="53"/>
      <c r="B178" s="53"/>
      <c r="C178" s="81" t="n">
        <v>62</v>
      </c>
      <c r="D178" s="91" t="n">
        <v>1002.005</v>
      </c>
      <c r="E178" s="92" t="s">
        <v>181</v>
      </c>
      <c r="F178" s="81" t="s">
        <v>175</v>
      </c>
      <c r="G178" s="81" t="s">
        <v>175</v>
      </c>
      <c r="H178" s="81" t="s">
        <v>176</v>
      </c>
      <c r="I178" s="81" t="s">
        <v>176</v>
      </c>
      <c r="J178" s="84" t="n">
        <v>1</v>
      </c>
      <c r="K178" s="81" t="str">
        <f aca="false">IFERROR(VLOOKUP($J178,$J$10:$K$13,2,0),"")</f>
        <v>DISTRIBUTOR</v>
      </c>
      <c r="L178" s="81" t="s">
        <v>26</v>
      </c>
      <c r="M178" s="84" t="n">
        <v>3</v>
      </c>
      <c r="N178" s="81" t="str">
        <f aca="false">IFERROR(VLOOKUP($M178,$M$3:$Q$14,2,0),"")</f>
        <v>In Pack</v>
      </c>
      <c r="O178" s="81" t="str">
        <f aca="false">IFERROR(VLOOKUP($M178,$M$3:$Q$14,3,0),"")</f>
        <v>Pack</v>
      </c>
      <c r="P178" s="84" t="n">
        <f aca="false">IFERROR(VLOOKUP($M178,$M$3:$Q$14,4,0),"")</f>
        <v>2</v>
      </c>
      <c r="Q178" s="81" t="n">
        <f aca="false">IFERROR(VLOOKUP($M178,$M$3:$Q$14,5,0),"")</f>
        <v>0</v>
      </c>
      <c r="R178" s="81" t="n">
        <v>6</v>
      </c>
      <c r="S178" s="85" t="n">
        <f aca="false">S177/6</f>
        <v>16000</v>
      </c>
      <c r="T178" s="86" t="n">
        <f aca="false">S178/1.11</f>
        <v>14414.4144144144</v>
      </c>
      <c r="U178" s="87" t="n">
        <v>13000</v>
      </c>
      <c r="V178" s="87" t="n">
        <v>11570</v>
      </c>
      <c r="W178" s="1" t="e">
        <f aca="false">VLOOKUP($G178,#REF!,2,0)</f>
        <v>#VALUE!</v>
      </c>
    </row>
    <row r="179" customFormat="false" ht="22.5" hidden="true" customHeight="true" outlineLevel="0" collapsed="false">
      <c r="A179" s="53"/>
      <c r="B179" s="53"/>
      <c r="C179" s="81" t="n">
        <v>62</v>
      </c>
      <c r="D179" s="91" t="n">
        <v>1002.005</v>
      </c>
      <c r="E179" s="92" t="s">
        <v>181</v>
      </c>
      <c r="F179" s="81" t="s">
        <v>175</v>
      </c>
      <c r="G179" s="81" t="s">
        <v>175</v>
      </c>
      <c r="H179" s="81" t="s">
        <v>176</v>
      </c>
      <c r="I179" s="81" t="s">
        <v>176</v>
      </c>
      <c r="J179" s="84" t="n">
        <v>1</v>
      </c>
      <c r="K179" s="81" t="str">
        <f aca="false">IFERROR(VLOOKUP($J179,$J$10:$K$13,2,0),"")</f>
        <v>DISTRIBUTOR</v>
      </c>
      <c r="L179" s="81" t="s">
        <v>26</v>
      </c>
      <c r="M179" s="84" t="n">
        <v>9</v>
      </c>
      <c r="N179" s="81" t="str">
        <f aca="false">IFERROR(VLOOKUP($M179,$M$3:$Q$14,2,0),"")</f>
        <v>In Pcs</v>
      </c>
      <c r="O179" s="81" t="str">
        <f aca="false">IFERROR(VLOOKUP($M179,$M$3:$Q$14,3,0),"")</f>
        <v>Pcs</v>
      </c>
      <c r="P179" s="84" t="n">
        <f aca="false">IFERROR(VLOOKUP($M179,$M$3:$Q$14,4,0),"")</f>
        <v>4</v>
      </c>
      <c r="Q179" s="81" t="str">
        <f aca="false">IFERROR(VLOOKUP($M179,$M$3:$Q$14,5,0),"")</f>
        <v>small</v>
      </c>
      <c r="R179" s="81" t="n">
        <v>60</v>
      </c>
      <c r="S179" s="85" t="n">
        <f aca="false">S178/60</f>
        <v>266.666666666667</v>
      </c>
      <c r="T179" s="86" t="n">
        <v>1414</v>
      </c>
      <c r="U179" s="87" t="n">
        <v>1300</v>
      </c>
      <c r="V179" s="87" t="n">
        <v>1157</v>
      </c>
      <c r="W179" s="1" t="e">
        <f aca="false">VLOOKUP($G179,#REF!,2,0)</f>
        <v>#VALUE!</v>
      </c>
    </row>
    <row r="180" customFormat="false" ht="22.5" hidden="true" customHeight="true" outlineLevel="0" collapsed="false">
      <c r="A180" s="53"/>
      <c r="B180" s="53"/>
      <c r="C180" s="81" t="n">
        <v>63</v>
      </c>
      <c r="D180" s="91" t="n">
        <v>1002.006</v>
      </c>
      <c r="E180" s="92" t="s">
        <v>182</v>
      </c>
      <c r="F180" s="81" t="s">
        <v>175</v>
      </c>
      <c r="G180" s="81" t="s">
        <v>175</v>
      </c>
      <c r="H180" s="81" t="s">
        <v>176</v>
      </c>
      <c r="I180" s="81" t="s">
        <v>176</v>
      </c>
      <c r="J180" s="84" t="n">
        <v>1</v>
      </c>
      <c r="K180" s="81" t="str">
        <f aca="false">IFERROR(VLOOKUP($J180,$J$10:$K$13,2,0),"")</f>
        <v>DISTRIBUTOR</v>
      </c>
      <c r="L180" s="81" t="s">
        <v>26</v>
      </c>
      <c r="M180" s="84" t="n">
        <v>1</v>
      </c>
      <c r="N180" s="81" t="str">
        <f aca="false">IFERROR(VLOOKUP($M180,$M$3:$Q$14,2,0),"")</f>
        <v>In Carton</v>
      </c>
      <c r="O180" s="81" t="str">
        <f aca="false">IFERROR(VLOOKUP($M180,$M$3:$Q$14,3,0),"")</f>
        <v>Carton</v>
      </c>
      <c r="P180" s="84" t="n">
        <f aca="false">IFERROR(VLOOKUP($M180,$M$3:$Q$14,4,0),"")</f>
        <v>1</v>
      </c>
      <c r="Q180" s="81" t="str">
        <f aca="false">IFERROR(VLOOKUP($M180,$M$3:$Q$14,5,0),"")</f>
        <v>large</v>
      </c>
      <c r="R180" s="81" t="n">
        <v>1</v>
      </c>
      <c r="S180" s="85" t="n">
        <f aca="false">16000*6</f>
        <v>96000</v>
      </c>
      <c r="T180" s="86" t="n">
        <f aca="false">S180/1.11</f>
        <v>86486.4864864865</v>
      </c>
      <c r="U180" s="87" t="n">
        <v>78000</v>
      </c>
      <c r="V180" s="87" t="n">
        <f aca="false">U180-(U180*11%)</f>
        <v>69420</v>
      </c>
      <c r="W180" s="1" t="e">
        <f aca="false">VLOOKUP($G180,#REF!,2,0)</f>
        <v>#VALUE!</v>
      </c>
    </row>
    <row r="181" customFormat="false" ht="22.5" hidden="true" customHeight="true" outlineLevel="0" collapsed="false">
      <c r="A181" s="53"/>
      <c r="B181" s="53"/>
      <c r="C181" s="81" t="n">
        <v>63</v>
      </c>
      <c r="D181" s="91" t="n">
        <v>1002.006</v>
      </c>
      <c r="E181" s="92" t="s">
        <v>182</v>
      </c>
      <c r="F181" s="81" t="s">
        <v>175</v>
      </c>
      <c r="G181" s="81" t="s">
        <v>175</v>
      </c>
      <c r="H181" s="81" t="s">
        <v>176</v>
      </c>
      <c r="I181" s="81" t="s">
        <v>176</v>
      </c>
      <c r="J181" s="84" t="n">
        <v>1</v>
      </c>
      <c r="K181" s="81" t="str">
        <f aca="false">IFERROR(VLOOKUP($J181,$J$10:$K$13,2,0),"")</f>
        <v>DISTRIBUTOR</v>
      </c>
      <c r="L181" s="81" t="s">
        <v>26</v>
      </c>
      <c r="M181" s="84" t="n">
        <v>3</v>
      </c>
      <c r="N181" s="81" t="str">
        <f aca="false">IFERROR(VLOOKUP($M181,$M$3:$Q$14,2,0),"")</f>
        <v>In Pack</v>
      </c>
      <c r="O181" s="81" t="str">
        <f aca="false">IFERROR(VLOOKUP($M181,$M$3:$Q$14,3,0),"")</f>
        <v>Pack</v>
      </c>
      <c r="P181" s="84" t="n">
        <f aca="false">IFERROR(VLOOKUP($M181,$M$3:$Q$14,4,0),"")</f>
        <v>2</v>
      </c>
      <c r="Q181" s="81" t="n">
        <f aca="false">IFERROR(VLOOKUP($M181,$M$3:$Q$14,5,0),"")</f>
        <v>0</v>
      </c>
      <c r="R181" s="81" t="n">
        <v>6</v>
      </c>
      <c r="S181" s="85" t="n">
        <f aca="false">S180/6</f>
        <v>16000</v>
      </c>
      <c r="T181" s="86" t="n">
        <f aca="false">S181/1.11</f>
        <v>14414.4144144144</v>
      </c>
      <c r="U181" s="87" t="n">
        <v>13000</v>
      </c>
      <c r="V181" s="87" t="n">
        <v>11570</v>
      </c>
      <c r="W181" s="1" t="e">
        <f aca="false">VLOOKUP($G181,#REF!,2,0)</f>
        <v>#VALUE!</v>
      </c>
    </row>
    <row r="182" customFormat="false" ht="22.5" hidden="true" customHeight="true" outlineLevel="0" collapsed="false">
      <c r="A182" s="53"/>
      <c r="B182" s="53"/>
      <c r="C182" s="81" t="n">
        <v>63</v>
      </c>
      <c r="D182" s="91" t="n">
        <v>1002.006</v>
      </c>
      <c r="E182" s="92" t="s">
        <v>182</v>
      </c>
      <c r="F182" s="81" t="s">
        <v>175</v>
      </c>
      <c r="G182" s="81" t="s">
        <v>175</v>
      </c>
      <c r="H182" s="81" t="s">
        <v>176</v>
      </c>
      <c r="I182" s="81" t="s">
        <v>176</v>
      </c>
      <c r="J182" s="84" t="n">
        <v>1</v>
      </c>
      <c r="K182" s="81" t="str">
        <f aca="false">IFERROR(VLOOKUP($J182,$J$10:$K$13,2,0),"")</f>
        <v>DISTRIBUTOR</v>
      </c>
      <c r="L182" s="81" t="s">
        <v>26</v>
      </c>
      <c r="M182" s="84" t="n">
        <v>9</v>
      </c>
      <c r="N182" s="81" t="str">
        <f aca="false">IFERROR(VLOOKUP($M182,$M$3:$Q$14,2,0),"")</f>
        <v>In Pcs</v>
      </c>
      <c r="O182" s="81" t="str">
        <f aca="false">IFERROR(VLOOKUP($M182,$M$3:$Q$14,3,0),"")</f>
        <v>Pcs</v>
      </c>
      <c r="P182" s="84" t="n">
        <f aca="false">IFERROR(VLOOKUP($M182,$M$3:$Q$14,4,0),"")</f>
        <v>4</v>
      </c>
      <c r="Q182" s="81" t="str">
        <f aca="false">IFERROR(VLOOKUP($M182,$M$3:$Q$14,5,0),"")</f>
        <v>small</v>
      </c>
      <c r="R182" s="81" t="n">
        <v>60</v>
      </c>
      <c r="S182" s="85" t="n">
        <f aca="false">S181/60</f>
        <v>266.666666666667</v>
      </c>
      <c r="T182" s="86" t="n">
        <v>1414</v>
      </c>
      <c r="U182" s="87" t="n">
        <v>1300</v>
      </c>
      <c r="V182" s="87" t="n">
        <v>1157</v>
      </c>
      <c r="W182" s="1" t="e">
        <f aca="false">VLOOKUP($G182,#REF!,2,0)</f>
        <v>#VALUE!</v>
      </c>
    </row>
    <row r="183" customFormat="false" ht="22.5" hidden="true" customHeight="true" outlineLevel="0" collapsed="false">
      <c r="A183" s="53"/>
      <c r="B183" s="53"/>
      <c r="C183" s="81" t="n">
        <v>64</v>
      </c>
      <c r="D183" s="91" t="n">
        <v>1002.008</v>
      </c>
      <c r="E183" s="92" t="s">
        <v>183</v>
      </c>
      <c r="F183" s="81" t="s">
        <v>175</v>
      </c>
      <c r="G183" s="81" t="s">
        <v>175</v>
      </c>
      <c r="H183" s="81" t="s">
        <v>176</v>
      </c>
      <c r="I183" s="81" t="s">
        <v>176</v>
      </c>
      <c r="J183" s="84" t="n">
        <v>1</v>
      </c>
      <c r="K183" s="81" t="str">
        <f aca="false">IFERROR(VLOOKUP($J183,$J$10:$K$13,2,0),"")</f>
        <v>DISTRIBUTOR</v>
      </c>
      <c r="L183" s="81" t="s">
        <v>26</v>
      </c>
      <c r="M183" s="84" t="n">
        <v>1</v>
      </c>
      <c r="N183" s="81" t="str">
        <f aca="false">IFERROR(VLOOKUP($M183,$M$3:$Q$14,2,0),"")</f>
        <v>In Carton</v>
      </c>
      <c r="O183" s="81" t="str">
        <f aca="false">IFERROR(VLOOKUP($M183,$M$3:$Q$14,3,0),"")</f>
        <v>Carton</v>
      </c>
      <c r="P183" s="84" t="n">
        <f aca="false">IFERROR(VLOOKUP($M183,$M$3:$Q$14,4,0),"")</f>
        <v>1</v>
      </c>
      <c r="Q183" s="81" t="str">
        <f aca="false">IFERROR(VLOOKUP($M183,$M$3:$Q$14,5,0),"")</f>
        <v>large</v>
      </c>
      <c r="R183" s="81" t="n">
        <v>1</v>
      </c>
      <c r="S183" s="85" t="n">
        <f aca="false">16000*6</f>
        <v>96000</v>
      </c>
      <c r="T183" s="86" t="n">
        <f aca="false">S183/1.11</f>
        <v>86486.4864864865</v>
      </c>
      <c r="U183" s="87" t="n">
        <v>78000</v>
      </c>
      <c r="V183" s="87" t="n">
        <f aca="false">U183-(U183*11%)</f>
        <v>69420</v>
      </c>
      <c r="W183" s="1" t="e">
        <f aca="false">VLOOKUP($G183,#REF!,2,0)</f>
        <v>#VALUE!</v>
      </c>
    </row>
    <row r="184" customFormat="false" ht="22.5" hidden="true" customHeight="true" outlineLevel="0" collapsed="false">
      <c r="A184" s="53"/>
      <c r="B184" s="53"/>
      <c r="C184" s="81" t="n">
        <v>64</v>
      </c>
      <c r="D184" s="91" t="n">
        <v>1002.008</v>
      </c>
      <c r="E184" s="92" t="s">
        <v>183</v>
      </c>
      <c r="F184" s="81" t="s">
        <v>175</v>
      </c>
      <c r="G184" s="81" t="s">
        <v>175</v>
      </c>
      <c r="H184" s="81" t="s">
        <v>176</v>
      </c>
      <c r="I184" s="81" t="s">
        <v>176</v>
      </c>
      <c r="J184" s="84" t="n">
        <v>1</v>
      </c>
      <c r="K184" s="81" t="str">
        <f aca="false">IFERROR(VLOOKUP($J184,$J$10:$K$13,2,0),"")</f>
        <v>DISTRIBUTOR</v>
      </c>
      <c r="L184" s="81" t="s">
        <v>26</v>
      </c>
      <c r="M184" s="84" t="n">
        <v>3</v>
      </c>
      <c r="N184" s="81" t="str">
        <f aca="false">IFERROR(VLOOKUP($M184,$M$3:$Q$14,2,0),"")</f>
        <v>In Pack</v>
      </c>
      <c r="O184" s="81" t="str">
        <f aca="false">IFERROR(VLOOKUP($M184,$M$3:$Q$14,3,0),"")</f>
        <v>Pack</v>
      </c>
      <c r="P184" s="84" t="n">
        <f aca="false">IFERROR(VLOOKUP($M184,$M$3:$Q$14,4,0),"")</f>
        <v>2</v>
      </c>
      <c r="Q184" s="81" t="n">
        <f aca="false">IFERROR(VLOOKUP($M184,$M$3:$Q$14,5,0),"")</f>
        <v>0</v>
      </c>
      <c r="R184" s="81" t="n">
        <v>6</v>
      </c>
      <c r="S184" s="85" t="n">
        <f aca="false">S183/6</f>
        <v>16000</v>
      </c>
      <c r="T184" s="86" t="n">
        <f aca="false">S184/1.11</f>
        <v>14414.4144144144</v>
      </c>
      <c r="U184" s="87" t="n">
        <v>13000</v>
      </c>
      <c r="V184" s="87" t="n">
        <v>11570</v>
      </c>
      <c r="W184" s="1" t="e">
        <f aca="false">VLOOKUP($G184,#REF!,2,0)</f>
        <v>#VALUE!</v>
      </c>
    </row>
    <row r="185" customFormat="false" ht="22.5" hidden="true" customHeight="true" outlineLevel="0" collapsed="false">
      <c r="A185" s="53"/>
      <c r="B185" s="53"/>
      <c r="C185" s="81" t="n">
        <v>64</v>
      </c>
      <c r="D185" s="91" t="n">
        <v>1002.008</v>
      </c>
      <c r="E185" s="92" t="s">
        <v>183</v>
      </c>
      <c r="F185" s="81" t="s">
        <v>175</v>
      </c>
      <c r="G185" s="81" t="s">
        <v>175</v>
      </c>
      <c r="H185" s="81" t="s">
        <v>176</v>
      </c>
      <c r="I185" s="81" t="s">
        <v>176</v>
      </c>
      <c r="J185" s="84" t="n">
        <v>1</v>
      </c>
      <c r="K185" s="81" t="str">
        <f aca="false">IFERROR(VLOOKUP($J185,$J$10:$K$13,2,0),"")</f>
        <v>DISTRIBUTOR</v>
      </c>
      <c r="L185" s="81" t="s">
        <v>26</v>
      </c>
      <c r="M185" s="84" t="n">
        <v>9</v>
      </c>
      <c r="N185" s="81" t="str">
        <f aca="false">IFERROR(VLOOKUP($M185,$M$3:$Q$14,2,0),"")</f>
        <v>In Pcs</v>
      </c>
      <c r="O185" s="81" t="str">
        <f aca="false">IFERROR(VLOOKUP($M185,$M$3:$Q$14,3,0),"")</f>
        <v>Pcs</v>
      </c>
      <c r="P185" s="84" t="n">
        <f aca="false">IFERROR(VLOOKUP($M185,$M$3:$Q$14,4,0),"")</f>
        <v>4</v>
      </c>
      <c r="Q185" s="81" t="str">
        <f aca="false">IFERROR(VLOOKUP($M185,$M$3:$Q$14,5,0),"")</f>
        <v>small</v>
      </c>
      <c r="R185" s="81" t="n">
        <v>60</v>
      </c>
      <c r="S185" s="85" t="n">
        <f aca="false">S184/60</f>
        <v>266.666666666667</v>
      </c>
      <c r="T185" s="86" t="n">
        <v>1414</v>
      </c>
      <c r="U185" s="87" t="n">
        <v>1300</v>
      </c>
      <c r="V185" s="87" t="n">
        <v>1157</v>
      </c>
      <c r="W185" s="1" t="e">
        <f aca="false">VLOOKUP($G185,#REF!,2,0)</f>
        <v>#VALUE!</v>
      </c>
    </row>
    <row r="186" customFormat="false" ht="22.5" hidden="true" customHeight="true" outlineLevel="0" collapsed="false">
      <c r="A186" s="53"/>
      <c r="B186" s="53"/>
      <c r="C186" s="81" t="n">
        <v>65</v>
      </c>
      <c r="D186" s="91" t="n">
        <v>1002.007</v>
      </c>
      <c r="E186" s="92" t="s">
        <v>184</v>
      </c>
      <c r="F186" s="81" t="s">
        <v>175</v>
      </c>
      <c r="G186" s="81" t="s">
        <v>175</v>
      </c>
      <c r="H186" s="81" t="s">
        <v>176</v>
      </c>
      <c r="I186" s="81" t="s">
        <v>176</v>
      </c>
      <c r="J186" s="84" t="n">
        <v>1</v>
      </c>
      <c r="K186" s="81" t="str">
        <f aca="false">IFERROR(VLOOKUP($J186,$J$10:$K$13,2,0),"")</f>
        <v>DISTRIBUTOR</v>
      </c>
      <c r="L186" s="81" t="s">
        <v>26</v>
      </c>
      <c r="M186" s="84" t="n">
        <v>1</v>
      </c>
      <c r="N186" s="81" t="str">
        <f aca="false">IFERROR(VLOOKUP($M186,$M$3:$Q$14,2,0),"")</f>
        <v>In Carton</v>
      </c>
      <c r="O186" s="81" t="str">
        <f aca="false">IFERROR(VLOOKUP($M186,$M$3:$Q$14,3,0),"")</f>
        <v>Carton</v>
      </c>
      <c r="P186" s="84" t="n">
        <f aca="false">IFERROR(VLOOKUP($M186,$M$3:$Q$14,4,0),"")</f>
        <v>1</v>
      </c>
      <c r="Q186" s="81" t="str">
        <f aca="false">IFERROR(VLOOKUP($M186,$M$3:$Q$14,5,0),"")</f>
        <v>large</v>
      </c>
      <c r="R186" s="81" t="n">
        <v>1</v>
      </c>
      <c r="S186" s="85" t="n">
        <f aca="false">16000*6</f>
        <v>96000</v>
      </c>
      <c r="T186" s="86" t="n">
        <f aca="false">S186/1.11</f>
        <v>86486.4864864865</v>
      </c>
      <c r="U186" s="87" t="n">
        <v>78000</v>
      </c>
      <c r="V186" s="87" t="n">
        <f aca="false">U186-(U186*11%)</f>
        <v>69420</v>
      </c>
      <c r="W186" s="1" t="e">
        <f aca="false">VLOOKUP($G186,#REF!,2,0)</f>
        <v>#VALUE!</v>
      </c>
    </row>
    <row r="187" customFormat="false" ht="22.5" hidden="true" customHeight="true" outlineLevel="0" collapsed="false">
      <c r="A187" s="53"/>
      <c r="B187" s="53"/>
      <c r="C187" s="81" t="n">
        <v>65</v>
      </c>
      <c r="D187" s="91" t="n">
        <v>1002.007</v>
      </c>
      <c r="E187" s="92" t="s">
        <v>184</v>
      </c>
      <c r="F187" s="81" t="s">
        <v>175</v>
      </c>
      <c r="G187" s="81" t="s">
        <v>175</v>
      </c>
      <c r="H187" s="81" t="s">
        <v>176</v>
      </c>
      <c r="I187" s="81" t="s">
        <v>176</v>
      </c>
      <c r="J187" s="84" t="n">
        <v>1</v>
      </c>
      <c r="K187" s="81" t="str">
        <f aca="false">IFERROR(VLOOKUP($J187,$J$10:$K$13,2,0),"")</f>
        <v>DISTRIBUTOR</v>
      </c>
      <c r="L187" s="81" t="s">
        <v>26</v>
      </c>
      <c r="M187" s="84" t="n">
        <v>3</v>
      </c>
      <c r="N187" s="81" t="str">
        <f aca="false">IFERROR(VLOOKUP($M187,$M$3:$Q$14,2,0),"")</f>
        <v>In Pack</v>
      </c>
      <c r="O187" s="81" t="str">
        <f aca="false">IFERROR(VLOOKUP($M187,$M$3:$Q$14,3,0),"")</f>
        <v>Pack</v>
      </c>
      <c r="P187" s="84" t="n">
        <f aca="false">IFERROR(VLOOKUP($M187,$M$3:$Q$14,4,0),"")</f>
        <v>2</v>
      </c>
      <c r="Q187" s="81" t="n">
        <f aca="false">IFERROR(VLOOKUP($M187,$M$3:$Q$14,5,0),"")</f>
        <v>0</v>
      </c>
      <c r="R187" s="81" t="n">
        <v>6</v>
      </c>
      <c r="S187" s="85" t="n">
        <f aca="false">S186/6</f>
        <v>16000</v>
      </c>
      <c r="T187" s="86" t="n">
        <f aca="false">S187/1.11</f>
        <v>14414.4144144144</v>
      </c>
      <c r="U187" s="87" t="n">
        <v>13000</v>
      </c>
      <c r="V187" s="87" t="n">
        <v>11570</v>
      </c>
      <c r="W187" s="1" t="e">
        <f aca="false">VLOOKUP($G187,#REF!,2,0)</f>
        <v>#VALUE!</v>
      </c>
    </row>
    <row r="188" customFormat="false" ht="22.5" hidden="true" customHeight="true" outlineLevel="0" collapsed="false">
      <c r="A188" s="53"/>
      <c r="B188" s="53"/>
      <c r="C188" s="81" t="n">
        <v>65</v>
      </c>
      <c r="D188" s="91" t="n">
        <v>1002.007</v>
      </c>
      <c r="E188" s="92" t="s">
        <v>184</v>
      </c>
      <c r="F188" s="81" t="s">
        <v>175</v>
      </c>
      <c r="G188" s="81" t="s">
        <v>175</v>
      </c>
      <c r="H188" s="81" t="s">
        <v>176</v>
      </c>
      <c r="I188" s="81" t="s">
        <v>176</v>
      </c>
      <c r="J188" s="84" t="n">
        <v>1</v>
      </c>
      <c r="K188" s="81" t="str">
        <f aca="false">IFERROR(VLOOKUP($J188,$J$10:$K$13,2,0),"")</f>
        <v>DISTRIBUTOR</v>
      </c>
      <c r="L188" s="81" t="s">
        <v>26</v>
      </c>
      <c r="M188" s="84" t="n">
        <v>9</v>
      </c>
      <c r="N188" s="81" t="str">
        <f aca="false">IFERROR(VLOOKUP($M188,$M$3:$Q$14,2,0),"")</f>
        <v>In Pcs</v>
      </c>
      <c r="O188" s="81" t="str">
        <f aca="false">IFERROR(VLOOKUP($M188,$M$3:$Q$14,3,0),"")</f>
        <v>Pcs</v>
      </c>
      <c r="P188" s="84" t="n">
        <f aca="false">IFERROR(VLOOKUP($M188,$M$3:$Q$14,4,0),"")</f>
        <v>4</v>
      </c>
      <c r="Q188" s="81" t="str">
        <f aca="false">IFERROR(VLOOKUP($M188,$M$3:$Q$14,5,0),"")</f>
        <v>small</v>
      </c>
      <c r="R188" s="81" t="n">
        <v>60</v>
      </c>
      <c r="S188" s="85" t="n">
        <f aca="false">S187/60</f>
        <v>266.666666666667</v>
      </c>
      <c r="T188" s="86" t="n">
        <v>1414</v>
      </c>
      <c r="U188" s="87" t="n">
        <v>1300</v>
      </c>
      <c r="V188" s="87" t="n">
        <v>1157</v>
      </c>
      <c r="W188" s="1" t="e">
        <f aca="false">VLOOKUP($G188,#REF!,2,0)</f>
        <v>#VALUE!</v>
      </c>
    </row>
    <row r="189" customFormat="false" ht="22.5" hidden="true" customHeight="true" outlineLevel="0" collapsed="false">
      <c r="A189" s="53"/>
      <c r="B189" s="53"/>
      <c r="C189" s="93" t="n">
        <v>66</v>
      </c>
      <c r="D189" s="93" t="s">
        <v>185</v>
      </c>
      <c r="E189" s="93" t="s">
        <v>186</v>
      </c>
      <c r="F189" s="93" t="s">
        <v>187</v>
      </c>
      <c r="G189" s="93" t="s">
        <v>187</v>
      </c>
      <c r="H189" s="93"/>
      <c r="I189" s="93" t="s">
        <v>188</v>
      </c>
      <c r="J189" s="94" t="n">
        <v>2</v>
      </c>
      <c r="K189" s="93" t="str">
        <f aca="false">IFERROR(VLOOKUP($J189,$J$10:$K$13,2,0),"")</f>
        <v>SUB DISTRIBUTOR</v>
      </c>
      <c r="L189" s="93" t="s">
        <v>26</v>
      </c>
      <c r="M189" s="94" t="n">
        <v>1</v>
      </c>
      <c r="N189" s="93" t="str">
        <f aca="false">IFERROR(VLOOKUP($M189,$M$3:$Q$14,2,0),"")</f>
        <v>In Carton</v>
      </c>
      <c r="O189" s="93" t="str">
        <f aca="false">IFERROR(VLOOKUP($M189,$M$3:$Q$14,3,0),"")</f>
        <v>Carton</v>
      </c>
      <c r="P189" s="94" t="n">
        <f aca="false">IFERROR(VLOOKUP($M189,$M$3:$Q$14,4,0),"")</f>
        <v>1</v>
      </c>
      <c r="Q189" s="93" t="str">
        <f aca="false">IFERROR(VLOOKUP($M189,$M$3:$Q$14,5,0),"")</f>
        <v>large</v>
      </c>
      <c r="R189" s="93" t="n">
        <v>1</v>
      </c>
      <c r="S189" s="95" t="n">
        <v>168000</v>
      </c>
      <c r="T189" s="96" t="n">
        <f aca="false">S189/1.11</f>
        <v>151351.351351351</v>
      </c>
      <c r="U189" s="79" t="n">
        <v>162472</v>
      </c>
      <c r="V189" s="97" t="n">
        <f aca="false">U189-(U189*11%)</f>
        <v>144600.08</v>
      </c>
      <c r="W189" s="1" t="e">
        <f aca="false">VLOOKUP($G189,#REF!,2,0)</f>
        <v>#VALUE!</v>
      </c>
    </row>
    <row r="190" customFormat="false" ht="22.5" hidden="true" customHeight="true" outlineLevel="0" collapsed="false">
      <c r="A190" s="53"/>
      <c r="B190" s="53"/>
      <c r="C190" s="93" t="n">
        <v>66</v>
      </c>
      <c r="D190" s="93" t="s">
        <v>185</v>
      </c>
      <c r="E190" s="93" t="s">
        <v>186</v>
      </c>
      <c r="F190" s="93" t="s">
        <v>187</v>
      </c>
      <c r="G190" s="93" t="s">
        <v>187</v>
      </c>
      <c r="H190" s="93"/>
      <c r="I190" s="93" t="s">
        <v>188</v>
      </c>
      <c r="J190" s="94" t="n">
        <v>2</v>
      </c>
      <c r="K190" s="93" t="str">
        <f aca="false">IFERROR(VLOOKUP($J190,$J$10:$K$13,2,0),"")</f>
        <v>SUB DISTRIBUTOR</v>
      </c>
      <c r="L190" s="93" t="s">
        <v>26</v>
      </c>
      <c r="M190" s="94" t="n">
        <v>9</v>
      </c>
      <c r="N190" s="93" t="str">
        <f aca="false">IFERROR(VLOOKUP($M190,$M$3:$Q$14,2,0),"")</f>
        <v>In Pcs</v>
      </c>
      <c r="O190" s="93" t="str">
        <f aca="false">IFERROR(VLOOKUP($M190,$M$3:$Q$14,3,0),"")</f>
        <v>Pcs</v>
      </c>
      <c r="P190" s="94" t="n">
        <f aca="false">IFERROR(VLOOKUP($M190,$M$3:$Q$14,4,0),"")</f>
        <v>4</v>
      </c>
      <c r="Q190" s="93" t="str">
        <f aca="false">IFERROR(VLOOKUP($M190,$M$3:$Q$14,5,0),"")</f>
        <v>small</v>
      </c>
      <c r="R190" s="93" t="n">
        <v>24</v>
      </c>
      <c r="S190" s="95" t="n">
        <f aca="false">S189/24</f>
        <v>7000</v>
      </c>
      <c r="T190" s="96" t="n">
        <f aca="false">S190/1.11</f>
        <v>6306.30630630631</v>
      </c>
      <c r="U190" s="79" t="n">
        <v>6769</v>
      </c>
      <c r="V190" s="97" t="n">
        <f aca="false">U190-(U190*11%)</f>
        <v>6024.41</v>
      </c>
      <c r="W190" s="1" t="e">
        <f aca="false">VLOOKUP($G190,#REF!,2,0)</f>
        <v>#VALUE!</v>
      </c>
    </row>
    <row r="191" customFormat="false" ht="22.5" hidden="true" customHeight="true" outlineLevel="0" collapsed="false">
      <c r="A191" s="53"/>
      <c r="B191" s="53"/>
      <c r="C191" s="93" t="n">
        <v>67</v>
      </c>
      <c r="D191" s="93" t="s">
        <v>189</v>
      </c>
      <c r="E191" s="93" t="s">
        <v>190</v>
      </c>
      <c r="F191" s="93" t="s">
        <v>191</v>
      </c>
      <c r="G191" s="93" t="s">
        <v>191</v>
      </c>
      <c r="H191" s="93"/>
      <c r="I191" s="93" t="s">
        <v>188</v>
      </c>
      <c r="J191" s="94" t="n">
        <v>2</v>
      </c>
      <c r="K191" s="93" t="str">
        <f aca="false">IFERROR(VLOOKUP($J191,$J$10:$K$13,2,0),"")</f>
        <v>SUB DISTRIBUTOR</v>
      </c>
      <c r="L191" s="93" t="s">
        <v>26</v>
      </c>
      <c r="M191" s="94" t="n">
        <v>1</v>
      </c>
      <c r="N191" s="93" t="str">
        <f aca="false">IFERROR(VLOOKUP($M191,$M$3:$Q$14,2,0),"")</f>
        <v>In Carton</v>
      </c>
      <c r="O191" s="93" t="str">
        <f aca="false">IFERROR(VLOOKUP($M191,$M$3:$Q$14,3,0),"")</f>
        <v>Carton</v>
      </c>
      <c r="P191" s="94" t="n">
        <f aca="false">IFERROR(VLOOKUP($M191,$M$3:$Q$14,4,0),"")</f>
        <v>1</v>
      </c>
      <c r="Q191" s="93" t="str">
        <f aca="false">IFERROR(VLOOKUP($M191,$M$3:$Q$14,5,0),"")</f>
        <v>large</v>
      </c>
      <c r="R191" s="93" t="n">
        <v>1</v>
      </c>
      <c r="S191" s="95" t="n">
        <f aca="false">19200*6</f>
        <v>115200</v>
      </c>
      <c r="T191" s="96" t="n">
        <f aca="false">S191/1.11</f>
        <v>103783.783783784</v>
      </c>
      <c r="U191" s="79" t="n">
        <v>105984</v>
      </c>
      <c r="V191" s="97" t="n">
        <f aca="false">U191-(U191*11%)</f>
        <v>94325.76</v>
      </c>
      <c r="W191" s="1" t="e">
        <f aca="false">VLOOKUP($G191,#REF!,2,0)</f>
        <v>#VALUE!</v>
      </c>
    </row>
    <row r="192" customFormat="false" ht="22.5" hidden="true" customHeight="true" outlineLevel="0" collapsed="false">
      <c r="A192" s="53"/>
      <c r="B192" s="53"/>
      <c r="C192" s="93" t="n">
        <v>67</v>
      </c>
      <c r="D192" s="93" t="s">
        <v>189</v>
      </c>
      <c r="E192" s="93" t="s">
        <v>190</v>
      </c>
      <c r="F192" s="93" t="s">
        <v>191</v>
      </c>
      <c r="G192" s="93" t="s">
        <v>191</v>
      </c>
      <c r="H192" s="93"/>
      <c r="I192" s="93" t="s">
        <v>188</v>
      </c>
      <c r="J192" s="94" t="n">
        <v>2</v>
      </c>
      <c r="K192" s="93" t="str">
        <f aca="false">IFERROR(VLOOKUP($J192,$J$10:$K$13,2,0),"")</f>
        <v>SUB DISTRIBUTOR</v>
      </c>
      <c r="L192" s="93" t="s">
        <v>26</v>
      </c>
      <c r="M192" s="94" t="n">
        <v>3</v>
      </c>
      <c r="N192" s="93" t="str">
        <f aca="false">IFERROR(VLOOKUP($M192,$M$3:$Q$14,2,0),"")</f>
        <v>In Pack</v>
      </c>
      <c r="O192" s="93" t="str">
        <f aca="false">IFERROR(VLOOKUP($M192,$M$3:$Q$14,3,0),"")</f>
        <v>Pack</v>
      </c>
      <c r="P192" s="94" t="n">
        <f aca="false">IFERROR(VLOOKUP($M192,$M$3:$Q$14,4,0),"")</f>
        <v>2</v>
      </c>
      <c r="Q192" s="93" t="n">
        <f aca="false">IFERROR(VLOOKUP($M192,$M$3:$Q$14,5,0),"")</f>
        <v>0</v>
      </c>
      <c r="R192" s="93" t="n">
        <v>6</v>
      </c>
      <c r="S192" s="95" t="n">
        <f aca="false">S191/6</f>
        <v>19200</v>
      </c>
      <c r="T192" s="96" t="n">
        <f aca="false">S192/1.11</f>
        <v>17297.2972972973</v>
      </c>
      <c r="U192" s="79" t="n">
        <v>17664</v>
      </c>
      <c r="V192" s="97" t="n">
        <f aca="false">U192-(U192*11%)</f>
        <v>15720.96</v>
      </c>
      <c r="W192" s="1" t="e">
        <f aca="false">VLOOKUP($G192,#REF!,2,0)</f>
        <v>#VALUE!</v>
      </c>
    </row>
    <row r="193" customFormat="false" ht="22.5" hidden="true" customHeight="true" outlineLevel="0" collapsed="false">
      <c r="A193" s="53"/>
      <c r="B193" s="53"/>
      <c r="C193" s="93" t="n">
        <v>68</v>
      </c>
      <c r="D193" s="93" t="s">
        <v>189</v>
      </c>
      <c r="E193" s="93" t="s">
        <v>190</v>
      </c>
      <c r="F193" s="93" t="s">
        <v>191</v>
      </c>
      <c r="G193" s="93" t="s">
        <v>191</v>
      </c>
      <c r="H193" s="93"/>
      <c r="I193" s="93" t="s">
        <v>188</v>
      </c>
      <c r="J193" s="94" t="n">
        <v>2</v>
      </c>
      <c r="K193" s="93" t="str">
        <f aca="false">IFERROR(VLOOKUP($J193,$J$10:$K$13,2,0),"")</f>
        <v>SUB DISTRIBUTOR</v>
      </c>
      <c r="L193" s="93" t="s">
        <v>26</v>
      </c>
      <c r="M193" s="94" t="n">
        <v>9</v>
      </c>
      <c r="N193" s="93" t="str">
        <f aca="false">IFERROR(VLOOKUP($M193,$M$3:$Q$14,2,0),"")</f>
        <v>In Pcs</v>
      </c>
      <c r="O193" s="93" t="str">
        <f aca="false">IFERROR(VLOOKUP($M193,$M$3:$Q$14,3,0),"")</f>
        <v>Pcs</v>
      </c>
      <c r="P193" s="94" t="n">
        <f aca="false">IFERROR(VLOOKUP($M193,$M$3:$Q$14,4,0),"")</f>
        <v>4</v>
      </c>
      <c r="Q193" s="93" t="str">
        <f aca="false">IFERROR(VLOOKUP($M193,$M$3:$Q$14,5,0),"")</f>
        <v>small</v>
      </c>
      <c r="R193" s="93" t="n">
        <v>60</v>
      </c>
      <c r="S193" s="95" t="n">
        <f aca="false">S192/10</f>
        <v>1920</v>
      </c>
      <c r="T193" s="96" t="n">
        <f aca="false">S193/1.11</f>
        <v>1729.72972972973</v>
      </c>
      <c r="U193" s="79" t="n">
        <v>1764</v>
      </c>
      <c r="V193" s="97" t="n">
        <f aca="false">U193-(U193*11%)</f>
        <v>1569.96</v>
      </c>
      <c r="W193" s="1" t="e">
        <f aca="false">VLOOKUP($G193,#REF!,2,0)</f>
        <v>#VALUE!</v>
      </c>
    </row>
    <row r="194" customFormat="false" ht="22.5" hidden="true" customHeight="true" outlineLevel="0" collapsed="false">
      <c r="A194" s="53"/>
      <c r="B194" s="53"/>
      <c r="C194" s="93" t="n">
        <v>69</v>
      </c>
      <c r="D194" s="93" t="s">
        <v>192</v>
      </c>
      <c r="E194" s="93" t="s">
        <v>193</v>
      </c>
      <c r="F194" s="93" t="s">
        <v>191</v>
      </c>
      <c r="G194" s="93" t="s">
        <v>191</v>
      </c>
      <c r="H194" s="93"/>
      <c r="I194" s="93" t="s">
        <v>188</v>
      </c>
      <c r="J194" s="94" t="n">
        <v>2</v>
      </c>
      <c r="K194" s="93" t="str">
        <f aca="false">IFERROR(VLOOKUP($J194,$J$10:$K$13,2,0),"")</f>
        <v>SUB DISTRIBUTOR</v>
      </c>
      <c r="L194" s="93" t="s">
        <v>26</v>
      </c>
      <c r="M194" s="94" t="n">
        <v>1</v>
      </c>
      <c r="N194" s="93" t="str">
        <f aca="false">IFERROR(VLOOKUP($M194,$M$3:$Q$14,2,0),"")</f>
        <v>In Carton</v>
      </c>
      <c r="O194" s="93" t="str">
        <f aca="false">IFERROR(VLOOKUP($M194,$M$3:$Q$14,3,0),"")</f>
        <v>Carton</v>
      </c>
      <c r="P194" s="94" t="n">
        <f aca="false">IFERROR(VLOOKUP($M194,$M$3:$Q$14,4,0),"")</f>
        <v>1</v>
      </c>
      <c r="Q194" s="93" t="str">
        <f aca="false">IFERROR(VLOOKUP($M194,$M$3:$Q$14,5,0),"")</f>
        <v>large</v>
      </c>
      <c r="R194" s="93" t="n">
        <v>1</v>
      </c>
      <c r="S194" s="95" t="n">
        <f aca="false">19200*6</f>
        <v>115200</v>
      </c>
      <c r="T194" s="96" t="n">
        <f aca="false">S194/1.11</f>
        <v>103783.783783784</v>
      </c>
      <c r="U194" s="79" t="n">
        <v>105984</v>
      </c>
      <c r="V194" s="97" t="n">
        <f aca="false">U194-(U194*11%)</f>
        <v>94325.76</v>
      </c>
      <c r="W194" s="1" t="e">
        <f aca="false">VLOOKUP($G194,#REF!,2,0)</f>
        <v>#VALUE!</v>
      </c>
    </row>
    <row r="195" customFormat="false" ht="22.5" hidden="true" customHeight="true" outlineLevel="0" collapsed="false">
      <c r="A195" s="53"/>
      <c r="B195" s="53"/>
      <c r="C195" s="93" t="n">
        <v>69</v>
      </c>
      <c r="D195" s="93" t="s">
        <v>192</v>
      </c>
      <c r="E195" s="93" t="s">
        <v>193</v>
      </c>
      <c r="F195" s="93" t="s">
        <v>191</v>
      </c>
      <c r="G195" s="93" t="s">
        <v>191</v>
      </c>
      <c r="H195" s="93"/>
      <c r="I195" s="93" t="s">
        <v>188</v>
      </c>
      <c r="J195" s="94" t="n">
        <v>2</v>
      </c>
      <c r="K195" s="93" t="str">
        <f aca="false">IFERROR(VLOOKUP($J195,$J$10:$K$13,2,0),"")</f>
        <v>SUB DISTRIBUTOR</v>
      </c>
      <c r="L195" s="93" t="s">
        <v>26</v>
      </c>
      <c r="M195" s="94" t="n">
        <v>3</v>
      </c>
      <c r="N195" s="93" t="str">
        <f aca="false">IFERROR(VLOOKUP($M195,$M$3:$Q$14,2,0),"")</f>
        <v>In Pack</v>
      </c>
      <c r="O195" s="93" t="str">
        <f aca="false">IFERROR(VLOOKUP($M195,$M$3:$Q$14,3,0),"")</f>
        <v>Pack</v>
      </c>
      <c r="P195" s="94" t="n">
        <f aca="false">IFERROR(VLOOKUP($M195,$M$3:$Q$14,4,0),"")</f>
        <v>2</v>
      </c>
      <c r="Q195" s="93" t="n">
        <f aca="false">IFERROR(VLOOKUP($M195,$M$3:$Q$14,5,0),"")</f>
        <v>0</v>
      </c>
      <c r="R195" s="93" t="n">
        <v>6</v>
      </c>
      <c r="S195" s="95" t="n">
        <f aca="false">S194/6</f>
        <v>19200</v>
      </c>
      <c r="T195" s="96" t="n">
        <f aca="false">S195/1.11</f>
        <v>17297.2972972973</v>
      </c>
      <c r="U195" s="79" t="n">
        <v>17664</v>
      </c>
      <c r="V195" s="97" t="n">
        <f aca="false">U195-(U195*11%)</f>
        <v>15720.96</v>
      </c>
      <c r="W195" s="1" t="e">
        <f aca="false">VLOOKUP($G195,#REF!,2,0)</f>
        <v>#VALUE!</v>
      </c>
    </row>
    <row r="196" customFormat="false" ht="22.5" hidden="true" customHeight="true" outlineLevel="0" collapsed="false">
      <c r="A196" s="53"/>
      <c r="B196" s="53"/>
      <c r="C196" s="93" t="n">
        <v>69</v>
      </c>
      <c r="D196" s="93" t="s">
        <v>192</v>
      </c>
      <c r="E196" s="93" t="s">
        <v>193</v>
      </c>
      <c r="F196" s="93" t="s">
        <v>191</v>
      </c>
      <c r="G196" s="93" t="s">
        <v>191</v>
      </c>
      <c r="H196" s="93"/>
      <c r="I196" s="93" t="s">
        <v>188</v>
      </c>
      <c r="J196" s="94" t="n">
        <v>2</v>
      </c>
      <c r="K196" s="93" t="str">
        <f aca="false">IFERROR(VLOOKUP($J196,$J$10:$K$13,2,0),"")</f>
        <v>SUB DISTRIBUTOR</v>
      </c>
      <c r="L196" s="93" t="s">
        <v>26</v>
      </c>
      <c r="M196" s="94" t="n">
        <v>9</v>
      </c>
      <c r="N196" s="93" t="str">
        <f aca="false">IFERROR(VLOOKUP($M196,$M$3:$Q$14,2,0),"")</f>
        <v>In Pcs</v>
      </c>
      <c r="O196" s="93" t="str">
        <f aca="false">IFERROR(VLOOKUP($M196,$M$3:$Q$14,3,0),"")</f>
        <v>Pcs</v>
      </c>
      <c r="P196" s="94" t="n">
        <f aca="false">IFERROR(VLOOKUP($M196,$M$3:$Q$14,4,0),"")</f>
        <v>4</v>
      </c>
      <c r="Q196" s="93" t="str">
        <f aca="false">IFERROR(VLOOKUP($M196,$M$3:$Q$14,5,0),"")</f>
        <v>small</v>
      </c>
      <c r="R196" s="93" t="n">
        <v>60</v>
      </c>
      <c r="S196" s="95" t="n">
        <f aca="false">S195/10</f>
        <v>1920</v>
      </c>
      <c r="T196" s="96" t="n">
        <f aca="false">S196/1.11</f>
        <v>1729.72972972973</v>
      </c>
      <c r="U196" s="79" t="n">
        <v>1764</v>
      </c>
      <c r="V196" s="97" t="n">
        <f aca="false">U196-(U196*11%)</f>
        <v>1569.96</v>
      </c>
      <c r="W196" s="1" t="e">
        <f aca="false">VLOOKUP($G196,#REF!,2,0)</f>
        <v>#VALUE!</v>
      </c>
    </row>
    <row r="197" customFormat="false" ht="22.5" hidden="true" customHeight="true" outlineLevel="0" collapsed="false">
      <c r="A197" s="53"/>
      <c r="B197" s="53"/>
      <c r="C197" s="93" t="n">
        <v>70</v>
      </c>
      <c r="D197" s="93" t="s">
        <v>194</v>
      </c>
      <c r="E197" s="93" t="s">
        <v>195</v>
      </c>
      <c r="F197" s="93" t="s">
        <v>191</v>
      </c>
      <c r="G197" s="93" t="s">
        <v>191</v>
      </c>
      <c r="H197" s="93"/>
      <c r="I197" s="93" t="s">
        <v>188</v>
      </c>
      <c r="J197" s="94" t="n">
        <v>2</v>
      </c>
      <c r="K197" s="93" t="str">
        <f aca="false">IFERROR(VLOOKUP($J197,$J$10:$K$13,2,0),"")</f>
        <v>SUB DISTRIBUTOR</v>
      </c>
      <c r="L197" s="93" t="s">
        <v>26</v>
      </c>
      <c r="M197" s="94" t="n">
        <v>1</v>
      </c>
      <c r="N197" s="93" t="str">
        <f aca="false">IFERROR(VLOOKUP($M197,$M$3:$Q$14,2,0),"")</f>
        <v>In Carton</v>
      </c>
      <c r="O197" s="93" t="str">
        <f aca="false">IFERROR(VLOOKUP($M197,$M$3:$Q$14,3,0),"")</f>
        <v>Carton</v>
      </c>
      <c r="P197" s="94" t="n">
        <f aca="false">IFERROR(VLOOKUP($M197,$M$3:$Q$14,4,0),"")</f>
        <v>1</v>
      </c>
      <c r="Q197" s="93" t="str">
        <f aca="false">IFERROR(VLOOKUP($M197,$M$3:$Q$14,5,0),"")</f>
        <v>large</v>
      </c>
      <c r="R197" s="93" t="n">
        <v>1</v>
      </c>
      <c r="S197" s="95" t="n">
        <f aca="false">14070*20</f>
        <v>281400</v>
      </c>
      <c r="T197" s="96" t="n">
        <f aca="false">S197/1.11</f>
        <v>253513.513513514</v>
      </c>
      <c r="U197" s="97" t="n">
        <v>258897</v>
      </c>
      <c r="V197" s="97" t="n">
        <f aca="false">U197-(U197*11%)</f>
        <v>230418.33</v>
      </c>
      <c r="W197" s="1" t="e">
        <f aca="false">VLOOKUP($G197,#REF!,2,0)</f>
        <v>#VALUE!</v>
      </c>
    </row>
    <row r="198" customFormat="false" ht="22.5" hidden="true" customHeight="true" outlineLevel="0" collapsed="false">
      <c r="A198" s="53"/>
      <c r="B198" s="53"/>
      <c r="C198" s="93" t="n">
        <v>70</v>
      </c>
      <c r="D198" s="93" t="s">
        <v>194</v>
      </c>
      <c r="E198" s="93" t="s">
        <v>195</v>
      </c>
      <c r="F198" s="93" t="s">
        <v>191</v>
      </c>
      <c r="G198" s="93" t="s">
        <v>191</v>
      </c>
      <c r="H198" s="93"/>
      <c r="I198" s="93" t="s">
        <v>188</v>
      </c>
      <c r="J198" s="94" t="n">
        <v>2</v>
      </c>
      <c r="K198" s="93" t="str">
        <f aca="false">IFERROR(VLOOKUP($J198,$J$10:$K$13,2,0),"")</f>
        <v>SUB DISTRIBUTOR</v>
      </c>
      <c r="L198" s="93" t="s">
        <v>26</v>
      </c>
      <c r="M198" s="94" t="n">
        <v>3</v>
      </c>
      <c r="N198" s="93" t="str">
        <f aca="false">IFERROR(VLOOKUP($M198,$M$3:$Q$14,2,0),"")</f>
        <v>In Pack</v>
      </c>
      <c r="O198" s="93" t="str">
        <f aca="false">IFERROR(VLOOKUP($M198,$M$3:$Q$14,3,0),"")</f>
        <v>Pack</v>
      </c>
      <c r="P198" s="94" t="n">
        <f aca="false">IFERROR(VLOOKUP($M198,$M$3:$Q$14,4,0),"")</f>
        <v>2</v>
      </c>
      <c r="Q198" s="93" t="n">
        <f aca="false">IFERROR(VLOOKUP($M198,$M$3:$Q$14,5,0),"")</f>
        <v>0</v>
      </c>
      <c r="R198" s="93" t="n">
        <v>20</v>
      </c>
      <c r="S198" s="95" t="n">
        <f aca="false">S197/20</f>
        <v>14070</v>
      </c>
      <c r="T198" s="96" t="n">
        <f aca="false">S198/1.11</f>
        <v>12675.6756756757</v>
      </c>
      <c r="U198" s="97" t="n">
        <v>12944</v>
      </c>
      <c r="V198" s="97" t="n">
        <f aca="false">U198-(U198*11%)</f>
        <v>11520.16</v>
      </c>
      <c r="W198" s="1" t="e">
        <f aca="false">VLOOKUP($G198,#REF!,2,0)</f>
        <v>#VALUE!</v>
      </c>
    </row>
    <row r="199" customFormat="false" ht="22.5" hidden="true" customHeight="true" outlineLevel="0" collapsed="false">
      <c r="A199" s="53"/>
      <c r="B199" s="53"/>
      <c r="C199" s="93" t="n">
        <v>70</v>
      </c>
      <c r="D199" s="93" t="s">
        <v>196</v>
      </c>
      <c r="E199" s="93" t="s">
        <v>197</v>
      </c>
      <c r="F199" s="93" t="s">
        <v>191</v>
      </c>
      <c r="G199" s="93" t="s">
        <v>191</v>
      </c>
      <c r="H199" s="93"/>
      <c r="I199" s="93" t="s">
        <v>188</v>
      </c>
      <c r="J199" s="94" t="n">
        <v>2</v>
      </c>
      <c r="K199" s="93" t="str">
        <f aca="false">IFERROR(VLOOKUP($J199,$J$10:$K$13,2,0),"")</f>
        <v>SUB DISTRIBUTOR</v>
      </c>
      <c r="L199" s="93" t="s">
        <v>26</v>
      </c>
      <c r="M199" s="94" t="n">
        <v>1</v>
      </c>
      <c r="N199" s="93" t="str">
        <f aca="false">IFERROR(VLOOKUP($M199,$M$3:$Q$14,2,0),"")</f>
        <v>In Carton</v>
      </c>
      <c r="O199" s="93" t="str">
        <f aca="false">IFERROR(VLOOKUP($M199,$M$3:$Q$14,3,0),"")</f>
        <v>Carton</v>
      </c>
      <c r="P199" s="94" t="n">
        <f aca="false">IFERROR(VLOOKUP($M199,$M$3:$Q$14,4,0),"")</f>
        <v>1</v>
      </c>
      <c r="Q199" s="93" t="str">
        <f aca="false">IFERROR(VLOOKUP($M199,$M$3:$Q$14,5,0),"")</f>
        <v>large</v>
      </c>
      <c r="R199" s="93" t="n">
        <v>1</v>
      </c>
      <c r="S199" s="95" t="n">
        <f aca="false">18725*20</f>
        <v>374500</v>
      </c>
      <c r="T199" s="96" t="n">
        <f aca="false">S199/1.11</f>
        <v>337387.387387387</v>
      </c>
      <c r="U199" s="97" t="n">
        <v>344540</v>
      </c>
      <c r="V199" s="97" t="n">
        <f aca="false">U199-(U199*11%)</f>
        <v>306640.6</v>
      </c>
      <c r="W199" s="1" t="e">
        <f aca="false">VLOOKUP($G199,#REF!,2,0)</f>
        <v>#VALUE!</v>
      </c>
    </row>
    <row r="200" customFormat="false" ht="22.5" hidden="true" customHeight="true" outlineLevel="0" collapsed="false">
      <c r="A200" s="53"/>
      <c r="B200" s="53"/>
      <c r="C200" s="93" t="n">
        <v>70</v>
      </c>
      <c r="D200" s="93" t="s">
        <v>196</v>
      </c>
      <c r="E200" s="93" t="s">
        <v>197</v>
      </c>
      <c r="F200" s="93" t="s">
        <v>191</v>
      </c>
      <c r="G200" s="93" t="s">
        <v>191</v>
      </c>
      <c r="H200" s="93"/>
      <c r="I200" s="93" t="s">
        <v>188</v>
      </c>
      <c r="J200" s="94" t="n">
        <v>2</v>
      </c>
      <c r="K200" s="93" t="str">
        <f aca="false">IFERROR(VLOOKUP($J200,$J$10:$K$13,2,0),"")</f>
        <v>SUB DISTRIBUTOR</v>
      </c>
      <c r="L200" s="93" t="s">
        <v>26</v>
      </c>
      <c r="M200" s="94" t="n">
        <v>3</v>
      </c>
      <c r="N200" s="93" t="str">
        <f aca="false">IFERROR(VLOOKUP($M200,$M$3:$Q$14,2,0),"")</f>
        <v>In Pack</v>
      </c>
      <c r="O200" s="93" t="str">
        <f aca="false">IFERROR(VLOOKUP($M200,$M$3:$Q$14,3,0),"")</f>
        <v>Pack</v>
      </c>
      <c r="P200" s="94" t="n">
        <f aca="false">IFERROR(VLOOKUP($M200,$M$3:$Q$14,4,0),"")</f>
        <v>2</v>
      </c>
      <c r="Q200" s="93" t="n">
        <f aca="false">IFERROR(VLOOKUP($M200,$M$3:$Q$14,5,0),"")</f>
        <v>0</v>
      </c>
      <c r="R200" s="93" t="n">
        <v>20</v>
      </c>
      <c r="S200" s="95" t="n">
        <f aca="false">S199/20</f>
        <v>18725</v>
      </c>
      <c r="T200" s="96" t="n">
        <f aca="false">S200/1.11</f>
        <v>16869.3693693694</v>
      </c>
      <c r="U200" s="97" t="n">
        <v>17227</v>
      </c>
      <c r="V200" s="97" t="n">
        <f aca="false">U200-(U200*11%)</f>
        <v>15332.03</v>
      </c>
      <c r="W200" s="1" t="e">
        <f aca="false">VLOOKUP($G200,#REF!,2,0)</f>
        <v>#VALUE!</v>
      </c>
    </row>
    <row r="201" customFormat="false" ht="22.5" hidden="true" customHeight="true" outlineLevel="0" collapsed="false">
      <c r="A201" s="53"/>
      <c r="B201" s="53"/>
      <c r="C201" s="93" t="n">
        <v>71</v>
      </c>
      <c r="D201" s="93" t="s">
        <v>198</v>
      </c>
      <c r="E201" s="93" t="s">
        <v>199</v>
      </c>
      <c r="F201" s="93" t="s">
        <v>191</v>
      </c>
      <c r="G201" s="93" t="s">
        <v>191</v>
      </c>
      <c r="H201" s="93"/>
      <c r="I201" s="93" t="s">
        <v>188</v>
      </c>
      <c r="J201" s="94" t="n">
        <v>2</v>
      </c>
      <c r="K201" s="93" t="str">
        <f aca="false">IFERROR(VLOOKUP($J201,$J$10:$K$13,2,0),"")</f>
        <v>SUB DISTRIBUTOR</v>
      </c>
      <c r="L201" s="93" t="s">
        <v>26</v>
      </c>
      <c r="M201" s="94" t="n">
        <v>1</v>
      </c>
      <c r="N201" s="93" t="str">
        <f aca="false">IFERROR(VLOOKUP($M201,$M$3:$Q$14,2,0),"")</f>
        <v>In Carton</v>
      </c>
      <c r="O201" s="93" t="str">
        <f aca="false">IFERROR(VLOOKUP($M201,$M$3:$Q$14,3,0),"")</f>
        <v>Carton</v>
      </c>
      <c r="P201" s="94" t="n">
        <f aca="false">IFERROR(VLOOKUP($M201,$M$3:$Q$14,4,0),"")</f>
        <v>1</v>
      </c>
      <c r="Q201" s="93" t="str">
        <f aca="false">IFERROR(VLOOKUP($M201,$M$3:$Q$14,5,0),"")</f>
        <v>large</v>
      </c>
      <c r="R201" s="93" t="n">
        <v>1</v>
      </c>
      <c r="S201" s="95" t="n">
        <f aca="false">32956*4</f>
        <v>131824</v>
      </c>
      <c r="T201" s="96" t="n">
        <f aca="false">S201/1.11</f>
        <v>118760.36036036</v>
      </c>
      <c r="U201" s="97" t="n">
        <v>121278</v>
      </c>
      <c r="V201" s="97" t="n">
        <f aca="false">U201-(U201*11%)</f>
        <v>107937.42</v>
      </c>
      <c r="W201" s="1" t="e">
        <f aca="false">VLOOKUP($G201,#REF!,2,0)</f>
        <v>#VALUE!</v>
      </c>
    </row>
    <row r="202" customFormat="false" ht="22.5" hidden="true" customHeight="true" outlineLevel="0" collapsed="false">
      <c r="A202" s="53"/>
      <c r="B202" s="53"/>
      <c r="C202" s="93" t="n">
        <v>71</v>
      </c>
      <c r="D202" s="93" t="s">
        <v>198</v>
      </c>
      <c r="E202" s="93" t="s">
        <v>199</v>
      </c>
      <c r="F202" s="93" t="s">
        <v>191</v>
      </c>
      <c r="G202" s="93" t="s">
        <v>191</v>
      </c>
      <c r="H202" s="93"/>
      <c r="I202" s="93" t="s">
        <v>188</v>
      </c>
      <c r="J202" s="94" t="n">
        <v>2</v>
      </c>
      <c r="K202" s="93" t="str">
        <f aca="false">IFERROR(VLOOKUP($J202,$J$10:$K$13,2,0),"")</f>
        <v>SUB DISTRIBUTOR</v>
      </c>
      <c r="L202" s="93" t="s">
        <v>26</v>
      </c>
      <c r="M202" s="94" t="n">
        <v>3</v>
      </c>
      <c r="N202" s="93" t="str">
        <f aca="false">IFERROR(VLOOKUP($M202,$M$3:$Q$14,2,0),"")</f>
        <v>In Pack</v>
      </c>
      <c r="O202" s="93" t="str">
        <f aca="false">IFERROR(VLOOKUP($M202,$M$3:$Q$14,3,0),"")</f>
        <v>Pack</v>
      </c>
      <c r="P202" s="94" t="n">
        <f aca="false">IFERROR(VLOOKUP($M202,$M$3:$Q$14,4,0),"")</f>
        <v>2</v>
      </c>
      <c r="Q202" s="93" t="n">
        <f aca="false">IFERROR(VLOOKUP($M202,$M$3:$Q$14,5,0),"")</f>
        <v>0</v>
      </c>
      <c r="R202" s="93" t="n">
        <v>4</v>
      </c>
      <c r="S202" s="95" t="n">
        <f aca="false">S201/4</f>
        <v>32956</v>
      </c>
      <c r="T202" s="96" t="n">
        <f aca="false">S202/1.11</f>
        <v>29690.0900900901</v>
      </c>
      <c r="U202" s="97" t="n">
        <v>30319</v>
      </c>
      <c r="V202" s="97" t="n">
        <f aca="false">U202-(U202*11%)</f>
        <v>26983.91</v>
      </c>
      <c r="W202" s="1" t="e">
        <f aca="false">VLOOKUP($G202,#REF!,2,0)</f>
        <v>#VALUE!</v>
      </c>
    </row>
    <row r="203" customFormat="false" ht="22.5" hidden="true" customHeight="true" outlineLevel="0" collapsed="false">
      <c r="A203" s="53"/>
      <c r="B203" s="53"/>
      <c r="C203" s="93" t="n">
        <v>71</v>
      </c>
      <c r="D203" s="93" t="s">
        <v>198</v>
      </c>
      <c r="E203" s="93" t="s">
        <v>199</v>
      </c>
      <c r="F203" s="93" t="s">
        <v>191</v>
      </c>
      <c r="G203" s="93" t="s">
        <v>191</v>
      </c>
      <c r="H203" s="93"/>
      <c r="I203" s="93" t="s">
        <v>188</v>
      </c>
      <c r="J203" s="94" t="n">
        <v>2</v>
      </c>
      <c r="K203" s="93" t="str">
        <f aca="false">IFERROR(VLOOKUP($J203,$J$10:$K$13,2,0),"")</f>
        <v>SUB DISTRIBUTOR</v>
      </c>
      <c r="L203" s="93" t="s">
        <v>26</v>
      </c>
      <c r="M203" s="94" t="n">
        <v>9</v>
      </c>
      <c r="N203" s="93" t="str">
        <f aca="false">IFERROR(VLOOKUP($M203,$M$3:$Q$14,2,0),"")</f>
        <v>In Pcs</v>
      </c>
      <c r="O203" s="93" t="str">
        <f aca="false">IFERROR(VLOOKUP($M203,$M$3:$Q$14,3,0),"")</f>
        <v>Pcs</v>
      </c>
      <c r="P203" s="94" t="n">
        <f aca="false">IFERROR(VLOOKUP($M203,$M$3:$Q$14,4,0),"")</f>
        <v>4</v>
      </c>
      <c r="Q203" s="93" t="str">
        <f aca="false">IFERROR(VLOOKUP($M203,$M$3:$Q$14,5,0),"")</f>
        <v>small</v>
      </c>
      <c r="R203" s="93" t="n">
        <v>32</v>
      </c>
      <c r="S203" s="95" t="n">
        <f aca="false">S202/8</f>
        <v>4119.5</v>
      </c>
      <c r="T203" s="96" t="n">
        <f aca="false">S203/1.11</f>
        <v>3711.26126126126</v>
      </c>
      <c r="U203" s="97" t="n">
        <v>3789</v>
      </c>
      <c r="V203" s="97" t="n">
        <f aca="false">U203-(U203*11%)</f>
        <v>3372.21</v>
      </c>
      <c r="W203" s="1" t="e">
        <f aca="false">VLOOKUP($G203,#REF!,2,0)</f>
        <v>#VALUE!</v>
      </c>
    </row>
    <row r="204" customFormat="false" ht="22.5" hidden="true" customHeight="true" outlineLevel="0" collapsed="false">
      <c r="A204" s="53"/>
      <c r="B204" s="53"/>
      <c r="C204" s="93" t="n">
        <v>72</v>
      </c>
      <c r="D204" s="93" t="s">
        <v>200</v>
      </c>
      <c r="E204" s="93" t="s">
        <v>201</v>
      </c>
      <c r="F204" s="93" t="s">
        <v>191</v>
      </c>
      <c r="G204" s="93" t="s">
        <v>191</v>
      </c>
      <c r="H204" s="93"/>
      <c r="I204" s="93" t="s">
        <v>188</v>
      </c>
      <c r="J204" s="94" t="n">
        <v>2</v>
      </c>
      <c r="K204" s="93" t="str">
        <f aca="false">IFERROR(VLOOKUP($J204,$J$10:$K$13,2,0),"")</f>
        <v>SUB DISTRIBUTOR</v>
      </c>
      <c r="L204" s="93" t="s">
        <v>26</v>
      </c>
      <c r="M204" s="94" t="n">
        <v>1</v>
      </c>
      <c r="N204" s="93" t="str">
        <f aca="false">IFERROR(VLOOKUP($M204,$M$3:$Q$14,2,0),"")</f>
        <v>In Carton</v>
      </c>
      <c r="O204" s="93" t="str">
        <f aca="false">IFERROR(VLOOKUP($M204,$M$3:$Q$14,3,0),"")</f>
        <v>Carton</v>
      </c>
      <c r="P204" s="94" t="n">
        <f aca="false">IFERROR(VLOOKUP($M204,$M$3:$Q$14,4,0),"")</f>
        <v>1</v>
      </c>
      <c r="Q204" s="93" t="str">
        <f aca="false">IFERROR(VLOOKUP($M204,$M$3:$Q$14,5,0),"")</f>
        <v>large</v>
      </c>
      <c r="R204" s="93" t="n">
        <v>1</v>
      </c>
      <c r="S204" s="95" t="n">
        <f aca="false">32956*4</f>
        <v>131824</v>
      </c>
      <c r="T204" s="96" t="n">
        <f aca="false">S204/1.11</f>
        <v>118760.36036036</v>
      </c>
      <c r="U204" s="97" t="n">
        <v>121278</v>
      </c>
      <c r="V204" s="97" t="n">
        <f aca="false">U204-(U204*11%)</f>
        <v>107937.42</v>
      </c>
      <c r="W204" s="1" t="e">
        <f aca="false">VLOOKUP($G204,#REF!,2,0)</f>
        <v>#VALUE!</v>
      </c>
    </row>
    <row r="205" customFormat="false" ht="22.5" hidden="true" customHeight="true" outlineLevel="0" collapsed="false">
      <c r="A205" s="53"/>
      <c r="B205" s="53"/>
      <c r="C205" s="93" t="n">
        <v>72</v>
      </c>
      <c r="D205" s="93" t="s">
        <v>200</v>
      </c>
      <c r="E205" s="93" t="s">
        <v>201</v>
      </c>
      <c r="F205" s="93" t="s">
        <v>191</v>
      </c>
      <c r="G205" s="93" t="s">
        <v>191</v>
      </c>
      <c r="H205" s="93"/>
      <c r="I205" s="93" t="s">
        <v>188</v>
      </c>
      <c r="J205" s="94" t="n">
        <v>2</v>
      </c>
      <c r="K205" s="93" t="str">
        <f aca="false">IFERROR(VLOOKUP($J205,$J$10:$K$13,2,0),"")</f>
        <v>SUB DISTRIBUTOR</v>
      </c>
      <c r="L205" s="93" t="s">
        <v>26</v>
      </c>
      <c r="M205" s="94" t="n">
        <v>3</v>
      </c>
      <c r="N205" s="93" t="str">
        <f aca="false">IFERROR(VLOOKUP($M205,$M$3:$Q$14,2,0),"")</f>
        <v>In Pack</v>
      </c>
      <c r="O205" s="93" t="str">
        <f aca="false">IFERROR(VLOOKUP($M205,$M$3:$Q$14,3,0),"")</f>
        <v>Pack</v>
      </c>
      <c r="P205" s="94" t="n">
        <f aca="false">IFERROR(VLOOKUP($M205,$M$3:$Q$14,4,0),"")</f>
        <v>2</v>
      </c>
      <c r="Q205" s="93" t="n">
        <f aca="false">IFERROR(VLOOKUP($M205,$M$3:$Q$14,5,0),"")</f>
        <v>0</v>
      </c>
      <c r="R205" s="93" t="n">
        <v>4</v>
      </c>
      <c r="S205" s="95" t="n">
        <f aca="false">S204/4</f>
        <v>32956</v>
      </c>
      <c r="T205" s="96" t="n">
        <f aca="false">S205/1.11</f>
        <v>29690.0900900901</v>
      </c>
      <c r="U205" s="97" t="n">
        <v>30319</v>
      </c>
      <c r="V205" s="97" t="n">
        <f aca="false">U205-(U205*11%)</f>
        <v>26983.91</v>
      </c>
      <c r="W205" s="1" t="e">
        <f aca="false">VLOOKUP($G205,#REF!,2,0)</f>
        <v>#VALUE!</v>
      </c>
    </row>
    <row r="206" customFormat="false" ht="22.5" hidden="true" customHeight="true" outlineLevel="0" collapsed="false">
      <c r="A206" s="53"/>
      <c r="B206" s="53"/>
      <c r="C206" s="93" t="n">
        <v>72</v>
      </c>
      <c r="D206" s="93" t="s">
        <v>200</v>
      </c>
      <c r="E206" s="93" t="s">
        <v>201</v>
      </c>
      <c r="F206" s="93" t="s">
        <v>191</v>
      </c>
      <c r="G206" s="93" t="s">
        <v>191</v>
      </c>
      <c r="H206" s="93"/>
      <c r="I206" s="93" t="s">
        <v>188</v>
      </c>
      <c r="J206" s="94" t="n">
        <v>2</v>
      </c>
      <c r="K206" s="93" t="str">
        <f aca="false">IFERROR(VLOOKUP($J206,$J$10:$K$13,2,0),"")</f>
        <v>SUB DISTRIBUTOR</v>
      </c>
      <c r="L206" s="93" t="s">
        <v>26</v>
      </c>
      <c r="M206" s="94" t="n">
        <v>9</v>
      </c>
      <c r="N206" s="93" t="str">
        <f aca="false">IFERROR(VLOOKUP($M206,$M$3:$Q$14,2,0),"")</f>
        <v>In Pcs</v>
      </c>
      <c r="O206" s="93" t="str">
        <f aca="false">IFERROR(VLOOKUP($M206,$M$3:$Q$14,3,0),"")</f>
        <v>Pcs</v>
      </c>
      <c r="P206" s="94" t="n">
        <f aca="false">IFERROR(VLOOKUP($M206,$M$3:$Q$14,4,0),"")</f>
        <v>4</v>
      </c>
      <c r="Q206" s="93" t="str">
        <f aca="false">IFERROR(VLOOKUP($M206,$M$3:$Q$14,5,0),"")</f>
        <v>small</v>
      </c>
      <c r="R206" s="93" t="n">
        <v>32</v>
      </c>
      <c r="S206" s="95" t="n">
        <f aca="false">S205/8</f>
        <v>4119.5</v>
      </c>
      <c r="T206" s="96" t="n">
        <f aca="false">S206/1.11</f>
        <v>3711.26126126126</v>
      </c>
      <c r="U206" s="97" t="n">
        <v>3789</v>
      </c>
      <c r="V206" s="97" t="n">
        <f aca="false">U206-(U206*11%)</f>
        <v>3372.21</v>
      </c>
      <c r="W206" s="1" t="e">
        <f aca="false">VLOOKUP($G206,#REF!,2,0)</f>
        <v>#VALUE!</v>
      </c>
    </row>
    <row r="207" customFormat="false" ht="22.5" hidden="true" customHeight="true" outlineLevel="0" collapsed="false">
      <c r="A207" s="53"/>
      <c r="B207" s="53"/>
      <c r="C207" s="93" t="n">
        <v>73</v>
      </c>
      <c r="D207" s="93" t="s">
        <v>202</v>
      </c>
      <c r="E207" s="93" t="s">
        <v>203</v>
      </c>
      <c r="F207" s="93" t="s">
        <v>191</v>
      </c>
      <c r="G207" s="93" t="s">
        <v>191</v>
      </c>
      <c r="H207" s="93"/>
      <c r="I207" s="93" t="s">
        <v>188</v>
      </c>
      <c r="J207" s="94" t="n">
        <v>2</v>
      </c>
      <c r="K207" s="93" t="str">
        <f aca="false">IFERROR(VLOOKUP($J207,$J$10:$K$13,2,0),"")</f>
        <v>SUB DISTRIBUTOR</v>
      </c>
      <c r="L207" s="93" t="s">
        <v>26</v>
      </c>
      <c r="M207" s="94" t="n">
        <v>1</v>
      </c>
      <c r="N207" s="93" t="str">
        <f aca="false">IFERROR(VLOOKUP($M207,$M$3:$Q$14,2,0),"")</f>
        <v>In Carton</v>
      </c>
      <c r="O207" s="93" t="str">
        <f aca="false">IFERROR(VLOOKUP($M207,$M$3:$Q$14,3,0),"")</f>
        <v>Carton</v>
      </c>
      <c r="P207" s="94" t="n">
        <f aca="false">IFERROR(VLOOKUP($M207,$M$3:$Q$14,4,0),"")</f>
        <v>1</v>
      </c>
      <c r="Q207" s="93" t="str">
        <f aca="false">IFERROR(VLOOKUP($M207,$M$3:$Q$14,5,0),"")</f>
        <v>large</v>
      </c>
      <c r="R207" s="93" t="n">
        <v>1</v>
      </c>
      <c r="S207" s="95" t="n">
        <f aca="false">32956*4</f>
        <v>131824</v>
      </c>
      <c r="T207" s="96" t="n">
        <f aca="false">S207/1.11</f>
        <v>118760.36036036</v>
      </c>
      <c r="U207" s="97" t="n">
        <v>121278</v>
      </c>
      <c r="V207" s="97" t="n">
        <f aca="false">U207-(U207*11%)</f>
        <v>107937.42</v>
      </c>
      <c r="W207" s="1" t="e">
        <f aca="false">VLOOKUP($G207,#REF!,2,0)</f>
        <v>#VALUE!</v>
      </c>
    </row>
    <row r="208" customFormat="false" ht="22.5" hidden="true" customHeight="true" outlineLevel="0" collapsed="false">
      <c r="A208" s="53"/>
      <c r="B208" s="53"/>
      <c r="C208" s="93" t="n">
        <v>73</v>
      </c>
      <c r="D208" s="93" t="s">
        <v>202</v>
      </c>
      <c r="E208" s="93" t="s">
        <v>203</v>
      </c>
      <c r="F208" s="93" t="s">
        <v>191</v>
      </c>
      <c r="G208" s="93" t="s">
        <v>191</v>
      </c>
      <c r="H208" s="93"/>
      <c r="I208" s="93" t="s">
        <v>188</v>
      </c>
      <c r="J208" s="94" t="n">
        <v>2</v>
      </c>
      <c r="K208" s="93" t="str">
        <f aca="false">IFERROR(VLOOKUP($J208,$J$10:$K$13,2,0),"")</f>
        <v>SUB DISTRIBUTOR</v>
      </c>
      <c r="L208" s="93" t="s">
        <v>26</v>
      </c>
      <c r="M208" s="94" t="n">
        <v>3</v>
      </c>
      <c r="N208" s="93" t="str">
        <f aca="false">IFERROR(VLOOKUP($M208,$M$3:$Q$14,2,0),"")</f>
        <v>In Pack</v>
      </c>
      <c r="O208" s="93" t="str">
        <f aca="false">IFERROR(VLOOKUP($M208,$M$3:$Q$14,3,0),"")</f>
        <v>Pack</v>
      </c>
      <c r="P208" s="94" t="n">
        <f aca="false">IFERROR(VLOOKUP($M208,$M$3:$Q$14,4,0),"")</f>
        <v>2</v>
      </c>
      <c r="Q208" s="93" t="n">
        <f aca="false">IFERROR(VLOOKUP($M208,$M$3:$Q$14,5,0),"")</f>
        <v>0</v>
      </c>
      <c r="R208" s="93" t="n">
        <v>4</v>
      </c>
      <c r="S208" s="95" t="n">
        <f aca="false">S207/4</f>
        <v>32956</v>
      </c>
      <c r="T208" s="96" t="n">
        <f aca="false">S208/1.11</f>
        <v>29690.0900900901</v>
      </c>
      <c r="U208" s="97" t="n">
        <v>30319</v>
      </c>
      <c r="V208" s="97" t="n">
        <f aca="false">U208-(U208*11%)</f>
        <v>26983.91</v>
      </c>
      <c r="W208" s="1" t="e">
        <f aca="false">VLOOKUP($G208,#REF!,2,0)</f>
        <v>#VALUE!</v>
      </c>
    </row>
    <row r="209" customFormat="false" ht="22.5" hidden="true" customHeight="true" outlineLevel="0" collapsed="false">
      <c r="A209" s="53"/>
      <c r="B209" s="53"/>
      <c r="C209" s="93" t="n">
        <v>73</v>
      </c>
      <c r="D209" s="93" t="s">
        <v>202</v>
      </c>
      <c r="E209" s="93" t="s">
        <v>203</v>
      </c>
      <c r="F209" s="93" t="s">
        <v>191</v>
      </c>
      <c r="G209" s="93" t="s">
        <v>191</v>
      </c>
      <c r="H209" s="93"/>
      <c r="I209" s="93" t="s">
        <v>188</v>
      </c>
      <c r="J209" s="94" t="n">
        <v>2</v>
      </c>
      <c r="K209" s="93" t="str">
        <f aca="false">IFERROR(VLOOKUP($J209,$J$10:$K$13,2,0),"")</f>
        <v>SUB DISTRIBUTOR</v>
      </c>
      <c r="L209" s="93" t="s">
        <v>26</v>
      </c>
      <c r="M209" s="94" t="n">
        <v>9</v>
      </c>
      <c r="N209" s="93" t="str">
        <f aca="false">IFERROR(VLOOKUP($M209,$M$3:$Q$14,2,0),"")</f>
        <v>In Pcs</v>
      </c>
      <c r="O209" s="93" t="str">
        <f aca="false">IFERROR(VLOOKUP($M209,$M$3:$Q$14,3,0),"")</f>
        <v>Pcs</v>
      </c>
      <c r="P209" s="94" t="n">
        <f aca="false">IFERROR(VLOOKUP($M209,$M$3:$Q$14,4,0),"")</f>
        <v>4</v>
      </c>
      <c r="Q209" s="93" t="str">
        <f aca="false">IFERROR(VLOOKUP($M209,$M$3:$Q$14,5,0),"")</f>
        <v>small</v>
      </c>
      <c r="R209" s="93" t="n">
        <v>32</v>
      </c>
      <c r="S209" s="95" t="n">
        <f aca="false">S208/8</f>
        <v>4119.5</v>
      </c>
      <c r="T209" s="96" t="n">
        <f aca="false">S209/1.11</f>
        <v>3711.26126126126</v>
      </c>
      <c r="U209" s="97" t="n">
        <v>3789</v>
      </c>
      <c r="V209" s="97" t="n">
        <f aca="false">U209-(U209*11%)</f>
        <v>3372.21</v>
      </c>
      <c r="W209" s="1" t="e">
        <f aca="false">VLOOKUP($G209,#REF!,2,0)</f>
        <v>#VALUE!</v>
      </c>
    </row>
    <row r="210" customFormat="false" ht="22.5" hidden="true" customHeight="true" outlineLevel="0" collapsed="false">
      <c r="A210" s="53"/>
      <c r="B210" s="53"/>
      <c r="C210" s="93" t="n">
        <v>74</v>
      </c>
      <c r="D210" s="93" t="s">
        <v>204</v>
      </c>
      <c r="E210" s="93" t="s">
        <v>205</v>
      </c>
      <c r="F210" s="93" t="s">
        <v>191</v>
      </c>
      <c r="G210" s="93" t="s">
        <v>191</v>
      </c>
      <c r="H210" s="93"/>
      <c r="I210" s="93" t="s">
        <v>188</v>
      </c>
      <c r="J210" s="94" t="n">
        <v>2</v>
      </c>
      <c r="K210" s="93" t="str">
        <f aca="false">IFERROR(VLOOKUP($J210,$J$10:$K$13,2,0),"")</f>
        <v>SUB DISTRIBUTOR</v>
      </c>
      <c r="L210" s="93" t="s">
        <v>26</v>
      </c>
      <c r="M210" s="94" t="n">
        <v>1</v>
      </c>
      <c r="N210" s="93" t="str">
        <f aca="false">IFERROR(VLOOKUP($M210,$M$3:$Q$14,2,0),"")</f>
        <v>In Carton</v>
      </c>
      <c r="O210" s="93" t="str">
        <f aca="false">IFERROR(VLOOKUP($M210,$M$3:$Q$14,3,0),"")</f>
        <v>Carton</v>
      </c>
      <c r="P210" s="94" t="n">
        <f aca="false">IFERROR(VLOOKUP($M210,$M$3:$Q$14,4,0),"")</f>
        <v>1</v>
      </c>
      <c r="Q210" s="93" t="str">
        <f aca="false">IFERROR(VLOOKUP($M210,$M$3:$Q$14,5,0),"")</f>
        <v>large</v>
      </c>
      <c r="R210" s="93" t="n">
        <v>1</v>
      </c>
      <c r="S210" s="95" t="n">
        <f aca="false">9000*9</f>
        <v>81000</v>
      </c>
      <c r="T210" s="96" t="n">
        <f aca="false">S210/1.11</f>
        <v>72972.972972973</v>
      </c>
      <c r="U210" s="97" t="n">
        <v>74520</v>
      </c>
      <c r="V210" s="97" t="n">
        <f aca="false">U210-(U210*11%)</f>
        <v>66322.8</v>
      </c>
      <c r="W210" s="1" t="e">
        <f aca="false">VLOOKUP($G210,#REF!,2,0)</f>
        <v>#VALUE!</v>
      </c>
    </row>
    <row r="211" customFormat="false" ht="22.5" hidden="true" customHeight="true" outlineLevel="0" collapsed="false">
      <c r="A211" s="53"/>
      <c r="B211" s="53"/>
      <c r="C211" s="93" t="n">
        <v>74</v>
      </c>
      <c r="D211" s="93" t="s">
        <v>204</v>
      </c>
      <c r="E211" s="93" t="s">
        <v>205</v>
      </c>
      <c r="F211" s="93" t="s">
        <v>191</v>
      </c>
      <c r="G211" s="93" t="s">
        <v>191</v>
      </c>
      <c r="H211" s="93"/>
      <c r="I211" s="93" t="s">
        <v>188</v>
      </c>
      <c r="J211" s="94" t="n">
        <v>2</v>
      </c>
      <c r="K211" s="93" t="str">
        <f aca="false">IFERROR(VLOOKUP($J211,$J$10:$K$13,2,0),"")</f>
        <v>SUB DISTRIBUTOR</v>
      </c>
      <c r="L211" s="93" t="s">
        <v>26</v>
      </c>
      <c r="M211" s="94" t="n">
        <v>3</v>
      </c>
      <c r="N211" s="93" t="str">
        <f aca="false">IFERROR(VLOOKUP($M211,$M$3:$Q$14,2,0),"")</f>
        <v>In Pack</v>
      </c>
      <c r="O211" s="93" t="str">
        <f aca="false">IFERROR(VLOOKUP($M211,$M$3:$Q$14,3,0),"")</f>
        <v>Pack</v>
      </c>
      <c r="P211" s="94" t="n">
        <f aca="false">IFERROR(VLOOKUP($M211,$M$3:$Q$14,4,0),"")</f>
        <v>2</v>
      </c>
      <c r="Q211" s="93" t="n">
        <f aca="false">IFERROR(VLOOKUP($M211,$M$3:$Q$14,5,0),"")</f>
        <v>0</v>
      </c>
      <c r="R211" s="93" t="n">
        <v>9</v>
      </c>
      <c r="S211" s="95" t="n">
        <f aca="false">S210/9</f>
        <v>9000</v>
      </c>
      <c r="T211" s="96" t="n">
        <f aca="false">S211/1.11</f>
        <v>8108.10810810811</v>
      </c>
      <c r="U211" s="97" t="n">
        <v>8280</v>
      </c>
      <c r="V211" s="97" t="n">
        <f aca="false">U211-(U211*11%)</f>
        <v>7369.2</v>
      </c>
      <c r="W211" s="1" t="e">
        <f aca="false">VLOOKUP($G211,#REF!,2,0)</f>
        <v>#VALUE!</v>
      </c>
    </row>
    <row r="212" customFormat="false" ht="22.5" hidden="true" customHeight="true" outlineLevel="0" collapsed="false">
      <c r="A212" s="53"/>
      <c r="B212" s="53"/>
      <c r="C212" s="93" t="n">
        <v>74</v>
      </c>
      <c r="D212" s="93" t="s">
        <v>204</v>
      </c>
      <c r="E212" s="93" t="s">
        <v>205</v>
      </c>
      <c r="F212" s="93" t="s">
        <v>191</v>
      </c>
      <c r="G212" s="93" t="s">
        <v>191</v>
      </c>
      <c r="H212" s="93"/>
      <c r="I212" s="93" t="s">
        <v>188</v>
      </c>
      <c r="J212" s="94" t="n">
        <v>2</v>
      </c>
      <c r="K212" s="93" t="str">
        <f aca="false">IFERROR(VLOOKUP($J212,$J$10:$K$13,2,0),"")</f>
        <v>SUB DISTRIBUTOR</v>
      </c>
      <c r="L212" s="93" t="s">
        <v>26</v>
      </c>
      <c r="M212" s="94" t="n">
        <v>9</v>
      </c>
      <c r="N212" s="93" t="str">
        <f aca="false">IFERROR(VLOOKUP($M212,$M$3:$Q$14,2,0),"")</f>
        <v>In Pcs</v>
      </c>
      <c r="O212" s="93" t="str">
        <f aca="false">IFERROR(VLOOKUP($M212,$M$3:$Q$14,3,0),"")</f>
        <v>Pcs</v>
      </c>
      <c r="P212" s="94" t="n">
        <f aca="false">IFERROR(VLOOKUP($M212,$M$3:$Q$14,4,0),"")</f>
        <v>4</v>
      </c>
      <c r="Q212" s="93" t="str">
        <f aca="false">IFERROR(VLOOKUP($M212,$M$3:$Q$14,5,0),"")</f>
        <v>small</v>
      </c>
      <c r="R212" s="93" t="n">
        <v>36</v>
      </c>
      <c r="S212" s="95" t="n">
        <f aca="false">S211/4</f>
        <v>2250</v>
      </c>
      <c r="T212" s="96" t="n">
        <f aca="false">S212/1.11</f>
        <v>2027.02702702703</v>
      </c>
      <c r="U212" s="97" t="n">
        <v>2070</v>
      </c>
      <c r="V212" s="97" t="n">
        <f aca="false">U212-(U212*11%)</f>
        <v>1842.3</v>
      </c>
      <c r="W212" s="1" t="e">
        <f aca="false">VLOOKUP($G212,#REF!,2,0)</f>
        <v>#VALUE!</v>
      </c>
    </row>
    <row r="213" customFormat="false" ht="22.5" hidden="true" customHeight="true" outlineLevel="0" collapsed="false">
      <c r="A213" s="53"/>
      <c r="B213" s="53"/>
      <c r="C213" s="93" t="n">
        <v>75</v>
      </c>
      <c r="D213" s="93" t="s">
        <v>206</v>
      </c>
      <c r="E213" s="93" t="s">
        <v>207</v>
      </c>
      <c r="F213" s="93" t="s">
        <v>191</v>
      </c>
      <c r="G213" s="93" t="s">
        <v>191</v>
      </c>
      <c r="H213" s="93"/>
      <c r="I213" s="93" t="s">
        <v>188</v>
      </c>
      <c r="J213" s="94" t="n">
        <v>2</v>
      </c>
      <c r="K213" s="93" t="str">
        <f aca="false">IFERROR(VLOOKUP($J213,$J$10:$K$13,2,0),"")</f>
        <v>SUB DISTRIBUTOR</v>
      </c>
      <c r="L213" s="93" t="s">
        <v>26</v>
      </c>
      <c r="M213" s="94" t="n">
        <v>1</v>
      </c>
      <c r="N213" s="93" t="str">
        <f aca="false">IFERROR(VLOOKUP($M213,$M$3:$Q$14,2,0),"")</f>
        <v>In Carton</v>
      </c>
      <c r="O213" s="93" t="str">
        <f aca="false">IFERROR(VLOOKUP($M213,$M$3:$Q$14,3,0),"")</f>
        <v>Carton</v>
      </c>
      <c r="P213" s="94" t="n">
        <f aca="false">IFERROR(VLOOKUP($M213,$M$3:$Q$14,4,0),"")</f>
        <v>1</v>
      </c>
      <c r="Q213" s="93" t="str">
        <f aca="false">IFERROR(VLOOKUP($M213,$M$3:$Q$14,5,0),"")</f>
        <v>large</v>
      </c>
      <c r="R213" s="93" t="n">
        <v>1</v>
      </c>
      <c r="S213" s="95" t="n">
        <f aca="false">9000*9</f>
        <v>81000</v>
      </c>
      <c r="T213" s="96" t="n">
        <f aca="false">S213/1.11</f>
        <v>72972.972972973</v>
      </c>
      <c r="U213" s="97" t="n">
        <v>74520</v>
      </c>
      <c r="V213" s="97" t="n">
        <f aca="false">U213-(U213*11%)</f>
        <v>66322.8</v>
      </c>
      <c r="W213" s="1" t="e">
        <f aca="false">VLOOKUP($G213,#REF!,2,0)</f>
        <v>#VALUE!</v>
      </c>
    </row>
    <row r="214" customFormat="false" ht="22.5" hidden="true" customHeight="true" outlineLevel="0" collapsed="false">
      <c r="A214" s="53"/>
      <c r="B214" s="53"/>
      <c r="C214" s="93" t="n">
        <v>75</v>
      </c>
      <c r="D214" s="93" t="s">
        <v>206</v>
      </c>
      <c r="E214" s="93" t="s">
        <v>207</v>
      </c>
      <c r="F214" s="93" t="s">
        <v>191</v>
      </c>
      <c r="G214" s="93" t="s">
        <v>191</v>
      </c>
      <c r="H214" s="93"/>
      <c r="I214" s="93" t="s">
        <v>188</v>
      </c>
      <c r="J214" s="94" t="n">
        <v>2</v>
      </c>
      <c r="K214" s="93" t="str">
        <f aca="false">IFERROR(VLOOKUP($J214,$J$10:$K$13,2,0),"")</f>
        <v>SUB DISTRIBUTOR</v>
      </c>
      <c r="L214" s="93" t="s">
        <v>26</v>
      </c>
      <c r="M214" s="94" t="n">
        <v>3</v>
      </c>
      <c r="N214" s="93" t="str">
        <f aca="false">IFERROR(VLOOKUP($M214,$M$3:$Q$14,2,0),"")</f>
        <v>In Pack</v>
      </c>
      <c r="O214" s="93" t="str">
        <f aca="false">IFERROR(VLOOKUP($M214,$M$3:$Q$14,3,0),"")</f>
        <v>Pack</v>
      </c>
      <c r="P214" s="94" t="n">
        <f aca="false">IFERROR(VLOOKUP($M214,$M$3:$Q$14,4,0),"")</f>
        <v>2</v>
      </c>
      <c r="Q214" s="93" t="n">
        <f aca="false">IFERROR(VLOOKUP($M214,$M$3:$Q$14,5,0),"")</f>
        <v>0</v>
      </c>
      <c r="R214" s="93" t="n">
        <v>9</v>
      </c>
      <c r="S214" s="95" t="n">
        <f aca="false">S213/9</f>
        <v>9000</v>
      </c>
      <c r="T214" s="96" t="n">
        <f aca="false">S214/1.11</f>
        <v>8108.10810810811</v>
      </c>
      <c r="U214" s="97" t="n">
        <v>8280</v>
      </c>
      <c r="V214" s="97" t="n">
        <f aca="false">U214-(U214*11%)</f>
        <v>7369.2</v>
      </c>
      <c r="W214" s="1" t="e">
        <f aca="false">VLOOKUP($G214,#REF!,2,0)</f>
        <v>#VALUE!</v>
      </c>
    </row>
    <row r="215" customFormat="false" ht="22.5" hidden="true" customHeight="true" outlineLevel="0" collapsed="false">
      <c r="A215" s="53"/>
      <c r="B215" s="53"/>
      <c r="C215" s="93" t="n">
        <v>75</v>
      </c>
      <c r="D215" s="93" t="s">
        <v>206</v>
      </c>
      <c r="E215" s="93" t="s">
        <v>207</v>
      </c>
      <c r="F215" s="93" t="s">
        <v>191</v>
      </c>
      <c r="G215" s="93" t="s">
        <v>191</v>
      </c>
      <c r="H215" s="93"/>
      <c r="I215" s="93" t="s">
        <v>188</v>
      </c>
      <c r="J215" s="94" t="n">
        <v>2</v>
      </c>
      <c r="K215" s="93" t="str">
        <f aca="false">IFERROR(VLOOKUP($J215,$J$10:$K$13,2,0),"")</f>
        <v>SUB DISTRIBUTOR</v>
      </c>
      <c r="L215" s="93" t="s">
        <v>26</v>
      </c>
      <c r="M215" s="94" t="n">
        <v>9</v>
      </c>
      <c r="N215" s="93" t="str">
        <f aca="false">IFERROR(VLOOKUP($M215,$M$3:$Q$14,2,0),"")</f>
        <v>In Pcs</v>
      </c>
      <c r="O215" s="93" t="str">
        <f aca="false">IFERROR(VLOOKUP($M215,$M$3:$Q$14,3,0),"")</f>
        <v>Pcs</v>
      </c>
      <c r="P215" s="94" t="n">
        <f aca="false">IFERROR(VLOOKUP($M215,$M$3:$Q$14,4,0),"")</f>
        <v>4</v>
      </c>
      <c r="Q215" s="93" t="str">
        <f aca="false">IFERROR(VLOOKUP($M215,$M$3:$Q$14,5,0),"")</f>
        <v>small</v>
      </c>
      <c r="R215" s="93" t="n">
        <v>36</v>
      </c>
      <c r="S215" s="95" t="n">
        <f aca="false">S214/4</f>
        <v>2250</v>
      </c>
      <c r="T215" s="96" t="n">
        <f aca="false">S215/1.11</f>
        <v>2027.02702702703</v>
      </c>
      <c r="U215" s="97" t="n">
        <v>2070</v>
      </c>
      <c r="V215" s="97" t="n">
        <f aca="false">U215-(U215*11%)</f>
        <v>1842.3</v>
      </c>
      <c r="W215" s="1" t="e">
        <f aca="false">VLOOKUP($G215,#REF!,2,0)</f>
        <v>#VALUE!</v>
      </c>
    </row>
    <row r="216" customFormat="false" ht="22.5" hidden="true" customHeight="true" outlineLevel="0" collapsed="false">
      <c r="A216" s="53"/>
      <c r="B216" s="53"/>
      <c r="C216" s="93" t="n">
        <v>76</v>
      </c>
      <c r="D216" s="93" t="s">
        <v>208</v>
      </c>
      <c r="E216" s="93" t="s">
        <v>209</v>
      </c>
      <c r="F216" s="93" t="s">
        <v>191</v>
      </c>
      <c r="G216" s="93" t="s">
        <v>191</v>
      </c>
      <c r="H216" s="93"/>
      <c r="I216" s="93" t="s">
        <v>188</v>
      </c>
      <c r="J216" s="94" t="n">
        <v>2</v>
      </c>
      <c r="K216" s="93" t="str">
        <f aca="false">IFERROR(VLOOKUP($J216,$J$10:$K$13,2,0),"")</f>
        <v>SUB DISTRIBUTOR</v>
      </c>
      <c r="L216" s="93" t="s">
        <v>26</v>
      </c>
      <c r="M216" s="94" t="n">
        <v>1</v>
      </c>
      <c r="N216" s="93" t="str">
        <f aca="false">IFERROR(VLOOKUP($M216,$M$3:$Q$14,2,0),"")</f>
        <v>In Carton</v>
      </c>
      <c r="O216" s="93" t="str">
        <f aca="false">IFERROR(VLOOKUP($M216,$M$3:$Q$14,3,0),"")</f>
        <v>Carton</v>
      </c>
      <c r="P216" s="94" t="n">
        <f aca="false">IFERROR(VLOOKUP($M216,$M$3:$Q$14,4,0),"")</f>
        <v>1</v>
      </c>
      <c r="Q216" s="93" t="str">
        <f aca="false">IFERROR(VLOOKUP($M216,$M$3:$Q$14,5,0),"")</f>
        <v>large</v>
      </c>
      <c r="R216" s="93" t="n">
        <v>1</v>
      </c>
      <c r="S216" s="95" t="n">
        <f aca="false">9000*9</f>
        <v>81000</v>
      </c>
      <c r="T216" s="96" t="n">
        <f aca="false">S216/1.11</f>
        <v>72972.972972973</v>
      </c>
      <c r="U216" s="97" t="n">
        <v>92000</v>
      </c>
      <c r="V216" s="97" t="n">
        <f aca="false">U216-(U216*11%)</f>
        <v>81880</v>
      </c>
      <c r="W216" s="1" t="e">
        <f aca="false">VLOOKUP($G216,#REF!,2,0)</f>
        <v>#VALUE!</v>
      </c>
    </row>
    <row r="217" customFormat="false" ht="22.5" hidden="true" customHeight="true" outlineLevel="0" collapsed="false">
      <c r="A217" s="53"/>
      <c r="B217" s="53"/>
      <c r="C217" s="93" t="n">
        <v>76</v>
      </c>
      <c r="D217" s="93" t="s">
        <v>208</v>
      </c>
      <c r="E217" s="93" t="s">
        <v>209</v>
      </c>
      <c r="F217" s="93" t="s">
        <v>191</v>
      </c>
      <c r="G217" s="93" t="s">
        <v>191</v>
      </c>
      <c r="H217" s="93"/>
      <c r="I217" s="93" t="s">
        <v>188</v>
      </c>
      <c r="J217" s="94" t="n">
        <v>2</v>
      </c>
      <c r="K217" s="93" t="str">
        <f aca="false">IFERROR(VLOOKUP($J217,$J$10:$K$13,2,0),"")</f>
        <v>SUB DISTRIBUTOR</v>
      </c>
      <c r="L217" s="93" t="s">
        <v>26</v>
      </c>
      <c r="M217" s="94" t="n">
        <v>3</v>
      </c>
      <c r="N217" s="93" t="str">
        <f aca="false">IFERROR(VLOOKUP($M217,$M$3:$Q$14,2,0),"")</f>
        <v>In Pack</v>
      </c>
      <c r="O217" s="93" t="str">
        <f aca="false">IFERROR(VLOOKUP($M217,$M$3:$Q$14,3,0),"")</f>
        <v>Pack</v>
      </c>
      <c r="P217" s="94" t="n">
        <f aca="false">IFERROR(VLOOKUP($M217,$M$3:$Q$14,4,0),"")</f>
        <v>2</v>
      </c>
      <c r="Q217" s="93" t="n">
        <f aca="false">IFERROR(VLOOKUP($M217,$M$3:$Q$14,5,0),"")</f>
        <v>0</v>
      </c>
      <c r="R217" s="93" t="n">
        <v>9</v>
      </c>
      <c r="S217" s="95" t="n">
        <f aca="false">S216/9</f>
        <v>9000</v>
      </c>
      <c r="T217" s="96" t="n">
        <f aca="false">S217/1.11</f>
        <v>8108.10810810811</v>
      </c>
      <c r="U217" s="97" t="n">
        <v>10222</v>
      </c>
      <c r="V217" s="97" t="n">
        <f aca="false">U217-(U217*11%)</f>
        <v>9097.58</v>
      </c>
      <c r="W217" s="1" t="e">
        <f aca="false">VLOOKUP($G217,#REF!,2,0)</f>
        <v>#VALUE!</v>
      </c>
    </row>
    <row r="218" customFormat="false" ht="22.5" hidden="true" customHeight="true" outlineLevel="0" collapsed="false">
      <c r="A218" s="53"/>
      <c r="B218" s="53"/>
      <c r="C218" s="93" t="n">
        <v>76</v>
      </c>
      <c r="D218" s="93" t="s">
        <v>208</v>
      </c>
      <c r="E218" s="93" t="s">
        <v>209</v>
      </c>
      <c r="F218" s="93" t="s">
        <v>191</v>
      </c>
      <c r="G218" s="93" t="s">
        <v>191</v>
      </c>
      <c r="H218" s="93"/>
      <c r="I218" s="93" t="s">
        <v>188</v>
      </c>
      <c r="J218" s="94" t="n">
        <v>2</v>
      </c>
      <c r="K218" s="93" t="str">
        <f aca="false">IFERROR(VLOOKUP($J218,$J$10:$K$13,2,0),"")</f>
        <v>SUB DISTRIBUTOR</v>
      </c>
      <c r="L218" s="93" t="s">
        <v>26</v>
      </c>
      <c r="M218" s="94" t="n">
        <v>9</v>
      </c>
      <c r="N218" s="93" t="str">
        <f aca="false">IFERROR(VLOOKUP($M218,$M$3:$Q$14,2,0),"")</f>
        <v>In Pcs</v>
      </c>
      <c r="O218" s="93" t="str">
        <f aca="false">IFERROR(VLOOKUP($M218,$M$3:$Q$14,3,0),"")</f>
        <v>Pcs</v>
      </c>
      <c r="P218" s="94" t="n">
        <f aca="false">IFERROR(VLOOKUP($M218,$M$3:$Q$14,4,0),"")</f>
        <v>4</v>
      </c>
      <c r="Q218" s="93" t="str">
        <f aca="false">IFERROR(VLOOKUP($M218,$M$3:$Q$14,5,0),"")</f>
        <v>small</v>
      </c>
      <c r="R218" s="93" t="n">
        <v>36</v>
      </c>
      <c r="S218" s="95" t="n">
        <f aca="false">S217/4</f>
        <v>2250</v>
      </c>
      <c r="T218" s="96" t="n">
        <f aca="false">S218/1.11</f>
        <v>2027.02702702703</v>
      </c>
      <c r="U218" s="97" t="n">
        <v>2555</v>
      </c>
      <c r="V218" s="97" t="n">
        <f aca="false">U218-(U218*11%)</f>
        <v>2273.95</v>
      </c>
      <c r="W218" s="1" t="e">
        <f aca="false">VLOOKUP($G218,#REF!,2,0)</f>
        <v>#VALUE!</v>
      </c>
    </row>
    <row r="219" customFormat="false" ht="22.5" hidden="true" customHeight="true" outlineLevel="0" collapsed="false">
      <c r="A219" s="53"/>
      <c r="B219" s="53"/>
      <c r="C219" s="98" t="n">
        <v>77</v>
      </c>
      <c r="D219" s="98" t="n">
        <v>130105006</v>
      </c>
      <c r="E219" s="98" t="s">
        <v>210</v>
      </c>
      <c r="F219" s="98" t="s">
        <v>211</v>
      </c>
      <c r="G219" s="98" t="s">
        <v>211</v>
      </c>
      <c r="H219" s="98" t="s">
        <v>212</v>
      </c>
      <c r="I219" s="98" t="s">
        <v>213</v>
      </c>
      <c r="J219" s="99" t="n">
        <v>3</v>
      </c>
      <c r="K219" s="98" t="str">
        <f aca="false">IFERROR(VLOOKUP($J219,$J$10:$K$13,2,0),"")</f>
        <v>NON DISTRIBUTOR</v>
      </c>
      <c r="L219" s="98" t="s">
        <v>26</v>
      </c>
      <c r="M219" s="99" t="n">
        <v>1</v>
      </c>
      <c r="N219" s="98" t="str">
        <f aca="false">IFERROR(VLOOKUP($M219,$M$3:$Q$14,2,0),"")</f>
        <v>In Carton</v>
      </c>
      <c r="O219" s="98" t="str">
        <f aca="false">IFERROR(VLOOKUP($M219,$M$3:$Q$14,3,0),"")</f>
        <v>Carton</v>
      </c>
      <c r="P219" s="99" t="n">
        <f aca="false">IFERROR(VLOOKUP($M219,$M$3:$Q$14,4,0),"")</f>
        <v>1</v>
      </c>
      <c r="Q219" s="98" t="str">
        <f aca="false">IFERROR(VLOOKUP($M219,$M$3:$Q$14,5,0),"")</f>
        <v>large</v>
      </c>
      <c r="R219" s="98" t="n">
        <v>1</v>
      </c>
      <c r="S219" s="100" t="n">
        <f aca="false">4143*16</f>
        <v>66288</v>
      </c>
      <c r="T219" s="101" t="n">
        <f aca="false">S219/1.11</f>
        <v>59718.9189189189</v>
      </c>
      <c r="U219" s="102" t="n">
        <f aca="false">V219+(V219*11%)</f>
        <v>61281.99</v>
      </c>
      <c r="V219" s="102" t="n">
        <v>55209</v>
      </c>
      <c r="W219" s="1" t="e">
        <f aca="false">VLOOKUP($G219,#REF!,2,0)</f>
        <v>#VALUE!</v>
      </c>
    </row>
    <row r="220" customFormat="false" ht="22.5" hidden="true" customHeight="true" outlineLevel="0" collapsed="false">
      <c r="A220" s="53"/>
      <c r="B220" s="53"/>
      <c r="C220" s="98" t="n">
        <v>77</v>
      </c>
      <c r="D220" s="98" t="n">
        <v>130105006</v>
      </c>
      <c r="E220" s="98" t="s">
        <v>210</v>
      </c>
      <c r="F220" s="98" t="s">
        <v>211</v>
      </c>
      <c r="G220" s="98" t="s">
        <v>211</v>
      </c>
      <c r="H220" s="98" t="s">
        <v>212</v>
      </c>
      <c r="I220" s="98" t="s">
        <v>213</v>
      </c>
      <c r="J220" s="99" t="n">
        <v>3</v>
      </c>
      <c r="K220" s="98" t="str">
        <f aca="false">IFERROR(VLOOKUP($J220,$J$10:$K$13,2,0),"")</f>
        <v>NON DISTRIBUTOR</v>
      </c>
      <c r="L220" s="98" t="s">
        <v>26</v>
      </c>
      <c r="M220" s="99" t="n">
        <v>3</v>
      </c>
      <c r="N220" s="98" t="str">
        <f aca="false">IFERROR(VLOOKUP($M220,$M$3:$Q$14,2,0),"")</f>
        <v>In Pack</v>
      </c>
      <c r="O220" s="98" t="str">
        <f aca="false">IFERROR(VLOOKUP($M220,$M$3:$Q$14,3,0),"")</f>
        <v>Pack</v>
      </c>
      <c r="P220" s="99" t="n">
        <f aca="false">IFERROR(VLOOKUP($M220,$M$3:$Q$14,4,0),"")</f>
        <v>2</v>
      </c>
      <c r="Q220" s="98" t="n">
        <f aca="false">IFERROR(VLOOKUP($M220,$M$3:$Q$14,5,0),"")</f>
        <v>0</v>
      </c>
      <c r="R220" s="98" t="n">
        <v>16</v>
      </c>
      <c r="S220" s="100" t="n">
        <f aca="false">S219/16</f>
        <v>4143</v>
      </c>
      <c r="T220" s="101" t="n">
        <f aca="false">S220/1.11</f>
        <v>3732.43243243243</v>
      </c>
      <c r="U220" s="102" t="n">
        <v>3830</v>
      </c>
      <c r="V220" s="102" t="n">
        <v>3450</v>
      </c>
      <c r="W220" s="1" t="e">
        <f aca="false">VLOOKUP($G220,#REF!,2,0)</f>
        <v>#VALUE!</v>
      </c>
    </row>
    <row r="221" customFormat="false" ht="22.5" hidden="true" customHeight="true" outlineLevel="0" collapsed="false">
      <c r="A221" s="53"/>
      <c r="B221" s="53"/>
      <c r="C221" s="98" t="n">
        <v>77</v>
      </c>
      <c r="D221" s="98" t="n">
        <v>130105006</v>
      </c>
      <c r="E221" s="98" t="s">
        <v>210</v>
      </c>
      <c r="F221" s="98" t="s">
        <v>211</v>
      </c>
      <c r="G221" s="98" t="s">
        <v>211</v>
      </c>
      <c r="H221" s="98" t="s">
        <v>212</v>
      </c>
      <c r="I221" s="98" t="s">
        <v>213</v>
      </c>
      <c r="J221" s="99" t="n">
        <v>3</v>
      </c>
      <c r="K221" s="98" t="str">
        <f aca="false">IFERROR(VLOOKUP($J221,$J$10:$K$13,2,0),"")</f>
        <v>NON DISTRIBUTOR</v>
      </c>
      <c r="L221" s="98" t="s">
        <v>26</v>
      </c>
      <c r="M221" s="99" t="n">
        <v>9</v>
      </c>
      <c r="N221" s="98" t="str">
        <f aca="false">IFERROR(VLOOKUP($M221,$M$3:$Q$14,2,0),"")</f>
        <v>In Pcs</v>
      </c>
      <c r="O221" s="98" t="str">
        <f aca="false">IFERROR(VLOOKUP($M221,$M$3:$Q$14,3,0),"")</f>
        <v>Pcs</v>
      </c>
      <c r="P221" s="99" t="n">
        <f aca="false">IFERROR(VLOOKUP($M221,$M$3:$Q$14,4,0),"")</f>
        <v>4</v>
      </c>
      <c r="Q221" s="98" t="str">
        <f aca="false">IFERROR(VLOOKUP($M221,$M$3:$Q$14,5,0),"")</f>
        <v>small</v>
      </c>
      <c r="R221" s="98" t="n">
        <v>160</v>
      </c>
      <c r="S221" s="100" t="n">
        <f aca="false">S220/10</f>
        <v>414.3</v>
      </c>
      <c r="T221" s="101" t="n">
        <f aca="false">S221/1.11</f>
        <v>373.243243243243</v>
      </c>
      <c r="U221" s="102" t="n">
        <v>383</v>
      </c>
      <c r="V221" s="102" t="n">
        <v>345</v>
      </c>
      <c r="W221" s="1" t="e">
        <f aca="false">VLOOKUP($G221,#REF!,2,0)</f>
        <v>#VALUE!</v>
      </c>
    </row>
    <row r="222" customFormat="false" ht="22.5" hidden="true" customHeight="true" outlineLevel="0" collapsed="false">
      <c r="A222" s="53"/>
      <c r="B222" s="53"/>
      <c r="C222" s="98" t="n">
        <v>78</v>
      </c>
      <c r="D222" s="98" t="n">
        <v>130105002</v>
      </c>
      <c r="E222" s="98" t="s">
        <v>214</v>
      </c>
      <c r="F222" s="98" t="s">
        <v>211</v>
      </c>
      <c r="G222" s="98" t="s">
        <v>211</v>
      </c>
      <c r="H222" s="98" t="s">
        <v>212</v>
      </c>
      <c r="I222" s="98" t="s">
        <v>213</v>
      </c>
      <c r="J222" s="99" t="n">
        <v>3</v>
      </c>
      <c r="K222" s="98" t="str">
        <f aca="false">IFERROR(VLOOKUP($J222,$J$10:$K$13,2,0),"")</f>
        <v>NON DISTRIBUTOR</v>
      </c>
      <c r="L222" s="98" t="s">
        <v>26</v>
      </c>
      <c r="M222" s="99" t="n">
        <v>1</v>
      </c>
      <c r="N222" s="98" t="str">
        <f aca="false">IFERROR(VLOOKUP($M222,$M$3:$Q$14,2,0),"")</f>
        <v>In Carton</v>
      </c>
      <c r="O222" s="98" t="str">
        <f aca="false">IFERROR(VLOOKUP($M222,$M$3:$Q$14,3,0),"")</f>
        <v>Carton</v>
      </c>
      <c r="P222" s="99" t="n">
        <f aca="false">IFERROR(VLOOKUP($M222,$M$3:$Q$14,4,0),"")</f>
        <v>1</v>
      </c>
      <c r="Q222" s="98" t="str">
        <f aca="false">IFERROR(VLOOKUP($M222,$M$3:$Q$14,5,0),"")</f>
        <v>large</v>
      </c>
      <c r="R222" s="98" t="n">
        <v>1</v>
      </c>
      <c r="S222" s="100" t="n">
        <f aca="false">4143*16</f>
        <v>66288</v>
      </c>
      <c r="T222" s="101" t="n">
        <f aca="false">S222/1.11</f>
        <v>59718.9189189189</v>
      </c>
      <c r="U222" s="102" t="n">
        <f aca="false">V222+(V222*11%)</f>
        <v>61281.99</v>
      </c>
      <c r="V222" s="102" t="n">
        <v>55209</v>
      </c>
      <c r="W222" s="1" t="e">
        <f aca="false">VLOOKUP($G222,#REF!,2,0)</f>
        <v>#VALUE!</v>
      </c>
    </row>
    <row r="223" customFormat="false" ht="22.5" hidden="true" customHeight="true" outlineLevel="0" collapsed="false">
      <c r="A223" s="53"/>
      <c r="B223" s="53"/>
      <c r="C223" s="98" t="n">
        <v>78</v>
      </c>
      <c r="D223" s="98" t="n">
        <v>130105002</v>
      </c>
      <c r="E223" s="98" t="s">
        <v>214</v>
      </c>
      <c r="F223" s="98" t="s">
        <v>211</v>
      </c>
      <c r="G223" s="98" t="s">
        <v>211</v>
      </c>
      <c r="H223" s="98" t="s">
        <v>212</v>
      </c>
      <c r="I223" s="98" t="s">
        <v>213</v>
      </c>
      <c r="J223" s="99" t="n">
        <v>3</v>
      </c>
      <c r="K223" s="98" t="str">
        <f aca="false">IFERROR(VLOOKUP($J223,$J$10:$K$13,2,0),"")</f>
        <v>NON DISTRIBUTOR</v>
      </c>
      <c r="L223" s="98" t="s">
        <v>26</v>
      </c>
      <c r="M223" s="99" t="n">
        <v>3</v>
      </c>
      <c r="N223" s="98" t="str">
        <f aca="false">IFERROR(VLOOKUP($M223,$M$3:$Q$14,2,0),"")</f>
        <v>In Pack</v>
      </c>
      <c r="O223" s="98" t="str">
        <f aca="false">IFERROR(VLOOKUP($M223,$M$3:$Q$14,3,0),"")</f>
        <v>Pack</v>
      </c>
      <c r="P223" s="99" t="n">
        <f aca="false">IFERROR(VLOOKUP($M223,$M$3:$Q$14,4,0),"")</f>
        <v>2</v>
      </c>
      <c r="Q223" s="98" t="n">
        <f aca="false">IFERROR(VLOOKUP($M223,$M$3:$Q$14,5,0),"")</f>
        <v>0</v>
      </c>
      <c r="R223" s="98" t="n">
        <v>16</v>
      </c>
      <c r="S223" s="100" t="n">
        <f aca="false">S222/16</f>
        <v>4143</v>
      </c>
      <c r="T223" s="101" t="n">
        <f aca="false">S223/1.11</f>
        <v>3732.43243243243</v>
      </c>
      <c r="U223" s="102" t="n">
        <v>3830</v>
      </c>
      <c r="V223" s="102" t="n">
        <v>3450</v>
      </c>
      <c r="W223" s="1" t="e">
        <f aca="false">VLOOKUP($G223,#REF!,2,0)</f>
        <v>#VALUE!</v>
      </c>
    </row>
    <row r="224" customFormat="false" ht="22.5" hidden="true" customHeight="true" outlineLevel="0" collapsed="false">
      <c r="A224" s="53"/>
      <c r="B224" s="53"/>
      <c r="C224" s="98" t="n">
        <v>78</v>
      </c>
      <c r="D224" s="98" t="n">
        <v>130105002</v>
      </c>
      <c r="E224" s="98" t="s">
        <v>214</v>
      </c>
      <c r="F224" s="98" t="s">
        <v>211</v>
      </c>
      <c r="G224" s="98" t="s">
        <v>211</v>
      </c>
      <c r="H224" s="98" t="s">
        <v>212</v>
      </c>
      <c r="I224" s="98" t="s">
        <v>213</v>
      </c>
      <c r="J224" s="99" t="n">
        <v>3</v>
      </c>
      <c r="K224" s="98" t="str">
        <f aca="false">IFERROR(VLOOKUP($J224,$J$10:$K$13,2,0),"")</f>
        <v>NON DISTRIBUTOR</v>
      </c>
      <c r="L224" s="98" t="s">
        <v>26</v>
      </c>
      <c r="M224" s="99" t="n">
        <v>9</v>
      </c>
      <c r="N224" s="98" t="str">
        <f aca="false">IFERROR(VLOOKUP($M224,$M$3:$Q$14,2,0),"")</f>
        <v>In Pcs</v>
      </c>
      <c r="O224" s="98" t="str">
        <f aca="false">IFERROR(VLOOKUP($M224,$M$3:$Q$14,3,0),"")</f>
        <v>Pcs</v>
      </c>
      <c r="P224" s="99" t="n">
        <f aca="false">IFERROR(VLOOKUP($M224,$M$3:$Q$14,4,0),"")</f>
        <v>4</v>
      </c>
      <c r="Q224" s="98" t="str">
        <f aca="false">IFERROR(VLOOKUP($M224,$M$3:$Q$14,5,0),"")</f>
        <v>small</v>
      </c>
      <c r="R224" s="98" t="n">
        <v>160</v>
      </c>
      <c r="S224" s="100" t="n">
        <f aca="false">S223/10</f>
        <v>414.3</v>
      </c>
      <c r="T224" s="101" t="n">
        <f aca="false">S224/1.11</f>
        <v>373.243243243243</v>
      </c>
      <c r="U224" s="102" t="n">
        <v>383</v>
      </c>
      <c r="V224" s="102" t="n">
        <v>345</v>
      </c>
      <c r="W224" s="1" t="e">
        <f aca="false">VLOOKUP($G224,#REF!,2,0)</f>
        <v>#VALUE!</v>
      </c>
    </row>
    <row r="225" customFormat="false" ht="22.5" hidden="true" customHeight="true" outlineLevel="0" collapsed="false">
      <c r="A225" s="53"/>
      <c r="B225" s="53"/>
      <c r="C225" s="98" t="n">
        <v>79</v>
      </c>
      <c r="D225" s="98" t="n">
        <v>130105005</v>
      </c>
      <c r="E225" s="98" t="s">
        <v>215</v>
      </c>
      <c r="F225" s="98" t="s">
        <v>211</v>
      </c>
      <c r="G225" s="98" t="s">
        <v>211</v>
      </c>
      <c r="H225" s="98" t="s">
        <v>212</v>
      </c>
      <c r="I225" s="98" t="s">
        <v>213</v>
      </c>
      <c r="J225" s="99" t="n">
        <v>3</v>
      </c>
      <c r="K225" s="98" t="str">
        <f aca="false">IFERROR(VLOOKUP($J225,$J$10:$K$13,2,0),"")</f>
        <v>NON DISTRIBUTOR</v>
      </c>
      <c r="L225" s="98" t="s">
        <v>26</v>
      </c>
      <c r="M225" s="99" t="n">
        <v>1</v>
      </c>
      <c r="N225" s="98" t="str">
        <f aca="false">IFERROR(VLOOKUP($M225,$M$3:$Q$14,2,0),"")</f>
        <v>In Carton</v>
      </c>
      <c r="O225" s="98" t="str">
        <f aca="false">IFERROR(VLOOKUP($M225,$M$3:$Q$14,3,0),"")</f>
        <v>Carton</v>
      </c>
      <c r="P225" s="99" t="n">
        <f aca="false">IFERROR(VLOOKUP($M225,$M$3:$Q$14,4,0),"")</f>
        <v>1</v>
      </c>
      <c r="Q225" s="98" t="str">
        <f aca="false">IFERROR(VLOOKUP($M225,$M$3:$Q$14,5,0),"")</f>
        <v>large</v>
      </c>
      <c r="R225" s="98" t="n">
        <v>1</v>
      </c>
      <c r="S225" s="100" t="n">
        <f aca="false">4143*16</f>
        <v>66288</v>
      </c>
      <c r="T225" s="101" t="n">
        <f aca="false">S225/1.11</f>
        <v>59718.9189189189</v>
      </c>
      <c r="U225" s="102" t="n">
        <f aca="false">V225+(V225*11%)</f>
        <v>61281.99</v>
      </c>
      <c r="V225" s="102" t="n">
        <v>55209</v>
      </c>
      <c r="W225" s="1" t="e">
        <f aca="false">VLOOKUP($G225,#REF!,2,0)</f>
        <v>#VALUE!</v>
      </c>
    </row>
    <row r="226" customFormat="false" ht="22.5" hidden="true" customHeight="true" outlineLevel="0" collapsed="false">
      <c r="A226" s="53"/>
      <c r="B226" s="53"/>
      <c r="C226" s="98" t="n">
        <v>79</v>
      </c>
      <c r="D226" s="98" t="n">
        <v>130105005</v>
      </c>
      <c r="E226" s="98" t="s">
        <v>215</v>
      </c>
      <c r="F226" s="98" t="s">
        <v>211</v>
      </c>
      <c r="G226" s="98" t="s">
        <v>211</v>
      </c>
      <c r="H226" s="98" t="s">
        <v>212</v>
      </c>
      <c r="I226" s="98" t="s">
        <v>213</v>
      </c>
      <c r="J226" s="99" t="n">
        <v>3</v>
      </c>
      <c r="K226" s="98" t="str">
        <f aca="false">IFERROR(VLOOKUP($J226,$J$10:$K$13,2,0),"")</f>
        <v>NON DISTRIBUTOR</v>
      </c>
      <c r="L226" s="98" t="s">
        <v>26</v>
      </c>
      <c r="M226" s="99" t="n">
        <v>3</v>
      </c>
      <c r="N226" s="98" t="str">
        <f aca="false">IFERROR(VLOOKUP($M226,$M$3:$Q$14,2,0),"")</f>
        <v>In Pack</v>
      </c>
      <c r="O226" s="98" t="str">
        <f aca="false">IFERROR(VLOOKUP($M226,$M$3:$Q$14,3,0),"")</f>
        <v>Pack</v>
      </c>
      <c r="P226" s="99" t="n">
        <f aca="false">IFERROR(VLOOKUP($M226,$M$3:$Q$14,4,0),"")</f>
        <v>2</v>
      </c>
      <c r="Q226" s="98" t="n">
        <f aca="false">IFERROR(VLOOKUP($M226,$M$3:$Q$14,5,0),"")</f>
        <v>0</v>
      </c>
      <c r="R226" s="98" t="n">
        <v>16</v>
      </c>
      <c r="S226" s="100" t="n">
        <f aca="false">S225/16</f>
        <v>4143</v>
      </c>
      <c r="T226" s="101" t="n">
        <f aca="false">S226/1.11</f>
        <v>3732.43243243243</v>
      </c>
      <c r="U226" s="102" t="n">
        <v>3830</v>
      </c>
      <c r="V226" s="102" t="n">
        <v>3450</v>
      </c>
      <c r="W226" s="1" t="e">
        <f aca="false">VLOOKUP($G226,#REF!,2,0)</f>
        <v>#VALUE!</v>
      </c>
    </row>
    <row r="227" customFormat="false" ht="22.5" hidden="true" customHeight="true" outlineLevel="0" collapsed="false">
      <c r="A227" s="53"/>
      <c r="B227" s="53"/>
      <c r="C227" s="98" t="n">
        <v>79</v>
      </c>
      <c r="D227" s="98" t="n">
        <v>130105005</v>
      </c>
      <c r="E227" s="98" t="s">
        <v>215</v>
      </c>
      <c r="F227" s="98" t="s">
        <v>211</v>
      </c>
      <c r="G227" s="98" t="s">
        <v>211</v>
      </c>
      <c r="H227" s="98" t="s">
        <v>212</v>
      </c>
      <c r="I227" s="98" t="s">
        <v>213</v>
      </c>
      <c r="J227" s="99" t="n">
        <v>3</v>
      </c>
      <c r="K227" s="98" t="str">
        <f aca="false">IFERROR(VLOOKUP($J227,$J$10:$K$13,2,0),"")</f>
        <v>NON DISTRIBUTOR</v>
      </c>
      <c r="L227" s="98" t="s">
        <v>26</v>
      </c>
      <c r="M227" s="99" t="n">
        <v>9</v>
      </c>
      <c r="N227" s="98" t="str">
        <f aca="false">IFERROR(VLOOKUP($M227,$M$3:$Q$14,2,0),"")</f>
        <v>In Pcs</v>
      </c>
      <c r="O227" s="98" t="str">
        <f aca="false">IFERROR(VLOOKUP($M227,$M$3:$Q$14,3,0),"")</f>
        <v>Pcs</v>
      </c>
      <c r="P227" s="99" t="n">
        <f aca="false">IFERROR(VLOOKUP($M227,$M$3:$Q$14,4,0),"")</f>
        <v>4</v>
      </c>
      <c r="Q227" s="98" t="str">
        <f aca="false">IFERROR(VLOOKUP($M227,$M$3:$Q$14,5,0),"")</f>
        <v>small</v>
      </c>
      <c r="R227" s="98" t="n">
        <v>160</v>
      </c>
      <c r="S227" s="100" t="n">
        <f aca="false">S226/10</f>
        <v>414.3</v>
      </c>
      <c r="T227" s="101" t="n">
        <f aca="false">S227/1.11</f>
        <v>373.243243243243</v>
      </c>
      <c r="U227" s="102" t="n">
        <v>383</v>
      </c>
      <c r="V227" s="102" t="n">
        <v>345</v>
      </c>
      <c r="W227" s="1" t="e">
        <f aca="false">VLOOKUP($G227,#REF!,2,0)</f>
        <v>#VALUE!</v>
      </c>
    </row>
    <row r="228" customFormat="false" ht="22.5" hidden="true" customHeight="true" outlineLevel="0" collapsed="false">
      <c r="A228" s="53"/>
      <c r="B228" s="53"/>
      <c r="C228" s="98" t="n">
        <v>80</v>
      </c>
      <c r="D228" s="98" t="n">
        <v>130105001</v>
      </c>
      <c r="E228" s="98" t="s">
        <v>216</v>
      </c>
      <c r="F228" s="98" t="s">
        <v>211</v>
      </c>
      <c r="G228" s="98" t="s">
        <v>211</v>
      </c>
      <c r="H228" s="98" t="s">
        <v>212</v>
      </c>
      <c r="I228" s="98" t="s">
        <v>213</v>
      </c>
      <c r="J228" s="99" t="n">
        <v>3</v>
      </c>
      <c r="K228" s="98" t="str">
        <f aca="false">IFERROR(VLOOKUP($J228,$J$10:$K$13,2,0),"")</f>
        <v>NON DISTRIBUTOR</v>
      </c>
      <c r="L228" s="98" t="s">
        <v>26</v>
      </c>
      <c r="M228" s="99" t="n">
        <v>1</v>
      </c>
      <c r="N228" s="98" t="str">
        <f aca="false">IFERROR(VLOOKUP($M228,$M$3:$Q$14,2,0),"")</f>
        <v>In Carton</v>
      </c>
      <c r="O228" s="98" t="str">
        <f aca="false">IFERROR(VLOOKUP($M228,$M$3:$Q$14,3,0),"")</f>
        <v>Carton</v>
      </c>
      <c r="P228" s="99" t="n">
        <f aca="false">IFERROR(VLOOKUP($M228,$M$3:$Q$14,4,0),"")</f>
        <v>1</v>
      </c>
      <c r="Q228" s="98" t="str">
        <f aca="false">IFERROR(VLOOKUP($M228,$M$3:$Q$14,5,0),"")</f>
        <v>large</v>
      </c>
      <c r="R228" s="98" t="n">
        <v>1</v>
      </c>
      <c r="S228" s="100" t="n">
        <f aca="false">4143*16</f>
        <v>66288</v>
      </c>
      <c r="T228" s="101" t="n">
        <f aca="false">S228/1.11</f>
        <v>59718.9189189189</v>
      </c>
      <c r="U228" s="102" t="n">
        <f aca="false">V228+(V228*11%)</f>
        <v>61281.99</v>
      </c>
      <c r="V228" s="102" t="n">
        <v>55209</v>
      </c>
      <c r="W228" s="1" t="e">
        <f aca="false">VLOOKUP($G228,#REF!,2,0)</f>
        <v>#VALUE!</v>
      </c>
    </row>
    <row r="229" customFormat="false" ht="22.5" hidden="true" customHeight="true" outlineLevel="0" collapsed="false">
      <c r="A229" s="53"/>
      <c r="B229" s="53"/>
      <c r="C229" s="98" t="n">
        <v>80</v>
      </c>
      <c r="D229" s="98" t="n">
        <v>130105001</v>
      </c>
      <c r="E229" s="98" t="s">
        <v>216</v>
      </c>
      <c r="F229" s="98" t="s">
        <v>211</v>
      </c>
      <c r="G229" s="98" t="s">
        <v>211</v>
      </c>
      <c r="H229" s="98" t="s">
        <v>212</v>
      </c>
      <c r="I229" s="98" t="s">
        <v>213</v>
      </c>
      <c r="J229" s="99" t="n">
        <v>3</v>
      </c>
      <c r="K229" s="98" t="str">
        <f aca="false">IFERROR(VLOOKUP($J229,$J$10:$K$13,2,0),"")</f>
        <v>NON DISTRIBUTOR</v>
      </c>
      <c r="L229" s="98" t="s">
        <v>26</v>
      </c>
      <c r="M229" s="99" t="n">
        <v>3</v>
      </c>
      <c r="N229" s="98" t="str">
        <f aca="false">IFERROR(VLOOKUP($M229,$M$3:$Q$14,2,0),"")</f>
        <v>In Pack</v>
      </c>
      <c r="O229" s="98" t="str">
        <f aca="false">IFERROR(VLOOKUP($M229,$M$3:$Q$14,3,0),"")</f>
        <v>Pack</v>
      </c>
      <c r="P229" s="99" t="n">
        <f aca="false">IFERROR(VLOOKUP($M229,$M$3:$Q$14,4,0),"")</f>
        <v>2</v>
      </c>
      <c r="Q229" s="98" t="n">
        <f aca="false">IFERROR(VLOOKUP($M229,$M$3:$Q$14,5,0),"")</f>
        <v>0</v>
      </c>
      <c r="R229" s="98" t="n">
        <v>16</v>
      </c>
      <c r="S229" s="100" t="n">
        <f aca="false">S228/16</f>
        <v>4143</v>
      </c>
      <c r="T229" s="101" t="n">
        <f aca="false">S229/1.11</f>
        <v>3732.43243243243</v>
      </c>
      <c r="U229" s="102" t="n">
        <v>3830</v>
      </c>
      <c r="V229" s="102" t="n">
        <v>3450</v>
      </c>
      <c r="W229" s="1" t="e">
        <f aca="false">VLOOKUP($G229,#REF!,2,0)</f>
        <v>#VALUE!</v>
      </c>
    </row>
    <row r="230" customFormat="false" ht="22.5" hidden="true" customHeight="true" outlineLevel="0" collapsed="false">
      <c r="A230" s="53"/>
      <c r="B230" s="53"/>
      <c r="C230" s="98" t="n">
        <v>80</v>
      </c>
      <c r="D230" s="98" t="n">
        <v>130105001</v>
      </c>
      <c r="E230" s="98" t="s">
        <v>216</v>
      </c>
      <c r="F230" s="98" t="s">
        <v>211</v>
      </c>
      <c r="G230" s="98" t="s">
        <v>211</v>
      </c>
      <c r="H230" s="98" t="s">
        <v>212</v>
      </c>
      <c r="I230" s="98" t="s">
        <v>213</v>
      </c>
      <c r="J230" s="99" t="n">
        <v>3</v>
      </c>
      <c r="K230" s="98" t="str">
        <f aca="false">IFERROR(VLOOKUP($J230,$J$10:$K$13,2,0),"")</f>
        <v>NON DISTRIBUTOR</v>
      </c>
      <c r="L230" s="98" t="s">
        <v>26</v>
      </c>
      <c r="M230" s="99" t="n">
        <v>9</v>
      </c>
      <c r="N230" s="98" t="str">
        <f aca="false">IFERROR(VLOOKUP($M230,$M$3:$Q$14,2,0),"")</f>
        <v>In Pcs</v>
      </c>
      <c r="O230" s="98" t="str">
        <f aca="false">IFERROR(VLOOKUP($M230,$M$3:$Q$14,3,0),"")</f>
        <v>Pcs</v>
      </c>
      <c r="P230" s="99" t="n">
        <f aca="false">IFERROR(VLOOKUP($M230,$M$3:$Q$14,4,0),"")</f>
        <v>4</v>
      </c>
      <c r="Q230" s="98" t="str">
        <f aca="false">IFERROR(VLOOKUP($M230,$M$3:$Q$14,5,0),"")</f>
        <v>small</v>
      </c>
      <c r="R230" s="98" t="n">
        <v>160</v>
      </c>
      <c r="S230" s="100" t="n">
        <f aca="false">S229/10</f>
        <v>414.3</v>
      </c>
      <c r="T230" s="101" t="n">
        <f aca="false">S230/1.11</f>
        <v>373.243243243243</v>
      </c>
      <c r="U230" s="102" t="n">
        <v>383</v>
      </c>
      <c r="V230" s="102" t="n">
        <v>345</v>
      </c>
      <c r="W230" s="1" t="e">
        <f aca="false">VLOOKUP($G230,#REF!,2,0)</f>
        <v>#VALUE!</v>
      </c>
    </row>
    <row r="231" customFormat="false" ht="22.5" hidden="true" customHeight="true" outlineLevel="0" collapsed="false">
      <c r="A231" s="53"/>
      <c r="B231" s="53"/>
      <c r="C231" s="98" t="n">
        <v>81</v>
      </c>
      <c r="D231" s="98" t="n">
        <v>130205204</v>
      </c>
      <c r="E231" s="98" t="s">
        <v>217</v>
      </c>
      <c r="F231" s="98" t="s">
        <v>211</v>
      </c>
      <c r="G231" s="98" t="s">
        <v>211</v>
      </c>
      <c r="H231" s="98" t="s">
        <v>212</v>
      </c>
      <c r="I231" s="98" t="s">
        <v>213</v>
      </c>
      <c r="J231" s="99" t="n">
        <v>3</v>
      </c>
      <c r="K231" s="98" t="str">
        <f aca="false">IFERROR(VLOOKUP($J231,$J$10:$K$13,2,0),"")</f>
        <v>NON DISTRIBUTOR</v>
      </c>
      <c r="L231" s="98" t="s">
        <v>26</v>
      </c>
      <c r="M231" s="99" t="n">
        <v>1</v>
      </c>
      <c r="N231" s="98" t="str">
        <f aca="false">IFERROR(VLOOKUP($M231,$M$3:$Q$14,2,0),"")</f>
        <v>In Carton</v>
      </c>
      <c r="O231" s="98" t="str">
        <f aca="false">IFERROR(VLOOKUP($M231,$M$3:$Q$14,3,0),"")</f>
        <v>Carton</v>
      </c>
      <c r="P231" s="99" t="n">
        <f aca="false">IFERROR(VLOOKUP($M231,$M$3:$Q$14,4,0),"")</f>
        <v>1</v>
      </c>
      <c r="Q231" s="98" t="str">
        <f aca="false">IFERROR(VLOOKUP($M231,$M$3:$Q$14,5,0),"")</f>
        <v>large</v>
      </c>
      <c r="R231" s="98" t="n">
        <v>1</v>
      </c>
      <c r="S231" s="100" t="n">
        <f aca="false">8291*12</f>
        <v>99492</v>
      </c>
      <c r="T231" s="101" t="n">
        <f aca="false">S231/1.11</f>
        <v>89632.4324324324</v>
      </c>
      <c r="U231" s="102" t="n">
        <f aca="false">V231+(V231*11%)</f>
        <v>93211.14</v>
      </c>
      <c r="V231" s="102" t="n">
        <v>83974</v>
      </c>
      <c r="W231" s="1" t="e">
        <f aca="false">VLOOKUP($G231,#REF!,2,0)</f>
        <v>#VALUE!</v>
      </c>
    </row>
    <row r="232" customFormat="false" ht="22.5" hidden="true" customHeight="true" outlineLevel="0" collapsed="false">
      <c r="A232" s="53"/>
      <c r="B232" s="53"/>
      <c r="C232" s="98" t="n">
        <v>81</v>
      </c>
      <c r="D232" s="98" t="n">
        <v>130205204</v>
      </c>
      <c r="E232" s="98" t="s">
        <v>217</v>
      </c>
      <c r="F232" s="98" t="s">
        <v>211</v>
      </c>
      <c r="G232" s="98" t="s">
        <v>211</v>
      </c>
      <c r="H232" s="98" t="s">
        <v>212</v>
      </c>
      <c r="I232" s="98" t="s">
        <v>213</v>
      </c>
      <c r="J232" s="99" t="n">
        <v>3</v>
      </c>
      <c r="K232" s="98" t="str">
        <f aca="false">IFERROR(VLOOKUP($J232,$J$10:$K$13,2,0),"")</f>
        <v>NON DISTRIBUTOR</v>
      </c>
      <c r="L232" s="98" t="s">
        <v>26</v>
      </c>
      <c r="M232" s="99" t="n">
        <v>4</v>
      </c>
      <c r="N232" s="98" t="str">
        <f aca="false">IFERROR(VLOOKUP($M232,$M$3:$Q$14,2,0),"")</f>
        <v>In Pack</v>
      </c>
      <c r="O232" s="98" t="str">
        <f aca="false">IFERROR(VLOOKUP($M232,$M$3:$Q$14,3,0),"")</f>
        <v>Box</v>
      </c>
      <c r="P232" s="99" t="n">
        <f aca="false">IFERROR(VLOOKUP($M232,$M$3:$Q$14,4,0),"")</f>
        <v>2</v>
      </c>
      <c r="Q232" s="98" t="n">
        <f aca="false">IFERROR(VLOOKUP($M232,$M$3:$Q$14,5,0),"")</f>
        <v>0</v>
      </c>
      <c r="R232" s="98" t="n">
        <v>12</v>
      </c>
      <c r="S232" s="100" t="n">
        <f aca="false">S231/12</f>
        <v>8291</v>
      </c>
      <c r="T232" s="101" t="n">
        <f aca="false">S232/1.11</f>
        <v>7469.36936936937</v>
      </c>
      <c r="U232" s="102" t="n">
        <v>7767</v>
      </c>
      <c r="V232" s="102" t="n">
        <v>6997</v>
      </c>
      <c r="W232" s="1" t="e">
        <f aca="false">VLOOKUP($G232,#REF!,2,0)</f>
        <v>#VALUE!</v>
      </c>
    </row>
    <row r="233" customFormat="false" ht="22.5" hidden="true" customHeight="true" outlineLevel="0" collapsed="false">
      <c r="A233" s="53"/>
      <c r="B233" s="53"/>
      <c r="C233" s="98" t="n">
        <v>81</v>
      </c>
      <c r="D233" s="98" t="n">
        <v>130205204</v>
      </c>
      <c r="E233" s="98" t="s">
        <v>217</v>
      </c>
      <c r="F233" s="98" t="s">
        <v>211</v>
      </c>
      <c r="G233" s="98" t="s">
        <v>211</v>
      </c>
      <c r="H233" s="98" t="s">
        <v>212</v>
      </c>
      <c r="I233" s="98" t="s">
        <v>213</v>
      </c>
      <c r="J233" s="99" t="n">
        <v>3</v>
      </c>
      <c r="K233" s="98" t="str">
        <f aca="false">IFERROR(VLOOKUP($J233,$J$10:$K$13,2,0),"")</f>
        <v>NON DISTRIBUTOR</v>
      </c>
      <c r="L233" s="98" t="s">
        <v>26</v>
      </c>
      <c r="M233" s="99" t="n">
        <v>9</v>
      </c>
      <c r="N233" s="98" t="str">
        <f aca="false">IFERROR(VLOOKUP($M233,$M$3:$Q$14,2,0),"")</f>
        <v>In Pcs</v>
      </c>
      <c r="O233" s="98" t="str">
        <f aca="false">IFERROR(VLOOKUP($M233,$M$3:$Q$14,3,0),"")</f>
        <v>Pcs</v>
      </c>
      <c r="P233" s="99" t="n">
        <f aca="false">IFERROR(VLOOKUP($M233,$M$3:$Q$14,4,0),"")</f>
        <v>4</v>
      </c>
      <c r="Q233" s="98" t="str">
        <f aca="false">IFERROR(VLOOKUP($M233,$M$3:$Q$14,5,0),"")</f>
        <v>small</v>
      </c>
      <c r="R233" s="98" t="n">
        <v>240</v>
      </c>
      <c r="S233" s="100" t="n">
        <f aca="false">S232/20</f>
        <v>414.55</v>
      </c>
      <c r="T233" s="101" t="n">
        <f aca="false">S233/1.11</f>
        <v>373.468468468469</v>
      </c>
      <c r="U233" s="102" t="n">
        <v>388</v>
      </c>
      <c r="V233" s="102" t="n">
        <v>349</v>
      </c>
      <c r="W233" s="1" t="e">
        <f aca="false">VLOOKUP($G233,#REF!,2,0)</f>
        <v>#VALUE!</v>
      </c>
    </row>
    <row r="234" customFormat="false" ht="22.5" hidden="true" customHeight="true" outlineLevel="0" collapsed="false">
      <c r="A234" s="53"/>
      <c r="B234" s="53"/>
      <c r="C234" s="98" t="n">
        <v>82</v>
      </c>
      <c r="D234" s="98" t="n">
        <v>130205203</v>
      </c>
      <c r="E234" s="98" t="s">
        <v>218</v>
      </c>
      <c r="F234" s="98" t="s">
        <v>211</v>
      </c>
      <c r="G234" s="98" t="s">
        <v>211</v>
      </c>
      <c r="H234" s="98" t="s">
        <v>212</v>
      </c>
      <c r="I234" s="98" t="s">
        <v>213</v>
      </c>
      <c r="J234" s="99" t="n">
        <v>3</v>
      </c>
      <c r="K234" s="98" t="str">
        <f aca="false">IFERROR(VLOOKUP($J234,$J$10:$K$13,2,0),"")</f>
        <v>NON DISTRIBUTOR</v>
      </c>
      <c r="L234" s="98" t="s">
        <v>26</v>
      </c>
      <c r="M234" s="99" t="n">
        <v>1</v>
      </c>
      <c r="N234" s="98" t="str">
        <f aca="false">IFERROR(VLOOKUP($M234,$M$3:$Q$14,2,0),"")</f>
        <v>In Carton</v>
      </c>
      <c r="O234" s="98" t="str">
        <f aca="false">IFERROR(VLOOKUP($M234,$M$3:$Q$14,3,0),"")</f>
        <v>Carton</v>
      </c>
      <c r="P234" s="99" t="n">
        <f aca="false">IFERROR(VLOOKUP($M234,$M$3:$Q$14,4,0),"")</f>
        <v>1</v>
      </c>
      <c r="Q234" s="98" t="str">
        <f aca="false">IFERROR(VLOOKUP($M234,$M$3:$Q$14,5,0),"")</f>
        <v>large</v>
      </c>
      <c r="R234" s="98" t="n">
        <v>1</v>
      </c>
      <c r="S234" s="100" t="n">
        <f aca="false">8291*12</f>
        <v>99492</v>
      </c>
      <c r="T234" s="101" t="n">
        <f aca="false">S234/1.11</f>
        <v>89632.4324324324</v>
      </c>
      <c r="U234" s="102" t="n">
        <f aca="false">V234+(V234*11%)</f>
        <v>93211.14</v>
      </c>
      <c r="V234" s="102" t="n">
        <v>83974</v>
      </c>
      <c r="W234" s="1" t="e">
        <f aca="false">VLOOKUP($G234,#REF!,2,0)</f>
        <v>#VALUE!</v>
      </c>
    </row>
    <row r="235" customFormat="false" ht="22.5" hidden="true" customHeight="true" outlineLevel="0" collapsed="false">
      <c r="A235" s="53"/>
      <c r="B235" s="53"/>
      <c r="C235" s="98" t="n">
        <v>82</v>
      </c>
      <c r="D235" s="98" t="n">
        <v>130205203</v>
      </c>
      <c r="E235" s="98" t="s">
        <v>218</v>
      </c>
      <c r="F235" s="98" t="s">
        <v>211</v>
      </c>
      <c r="G235" s="98" t="s">
        <v>211</v>
      </c>
      <c r="H235" s="98" t="s">
        <v>212</v>
      </c>
      <c r="I235" s="98" t="s">
        <v>213</v>
      </c>
      <c r="J235" s="99" t="n">
        <v>3</v>
      </c>
      <c r="K235" s="98" t="str">
        <f aca="false">IFERROR(VLOOKUP($J235,$J$10:$K$13,2,0),"")</f>
        <v>NON DISTRIBUTOR</v>
      </c>
      <c r="L235" s="98" t="s">
        <v>26</v>
      </c>
      <c r="M235" s="99" t="n">
        <v>4</v>
      </c>
      <c r="N235" s="98" t="str">
        <f aca="false">IFERROR(VLOOKUP($M235,$M$3:$Q$14,2,0),"")</f>
        <v>In Pack</v>
      </c>
      <c r="O235" s="98" t="str">
        <f aca="false">IFERROR(VLOOKUP($M235,$M$3:$Q$14,3,0),"")</f>
        <v>Box</v>
      </c>
      <c r="P235" s="99" t="n">
        <f aca="false">IFERROR(VLOOKUP($M235,$M$3:$Q$14,4,0),"")</f>
        <v>2</v>
      </c>
      <c r="Q235" s="98" t="n">
        <f aca="false">IFERROR(VLOOKUP($M235,$M$3:$Q$14,5,0),"")</f>
        <v>0</v>
      </c>
      <c r="R235" s="98" t="n">
        <v>12</v>
      </c>
      <c r="S235" s="100" t="n">
        <f aca="false">S234/12</f>
        <v>8291</v>
      </c>
      <c r="T235" s="101" t="n">
        <f aca="false">S235/1.11</f>
        <v>7469.36936936937</v>
      </c>
      <c r="U235" s="102" t="n">
        <v>7767</v>
      </c>
      <c r="V235" s="102" t="n">
        <v>6997</v>
      </c>
      <c r="W235" s="1" t="e">
        <f aca="false">VLOOKUP($G235,#REF!,2,0)</f>
        <v>#VALUE!</v>
      </c>
    </row>
    <row r="236" customFormat="false" ht="22.5" hidden="true" customHeight="true" outlineLevel="0" collapsed="false">
      <c r="A236" s="53"/>
      <c r="B236" s="53"/>
      <c r="C236" s="98" t="n">
        <v>82</v>
      </c>
      <c r="D236" s="98" t="n">
        <v>130205203</v>
      </c>
      <c r="E236" s="98" t="s">
        <v>218</v>
      </c>
      <c r="F236" s="98" t="s">
        <v>211</v>
      </c>
      <c r="G236" s="98" t="s">
        <v>211</v>
      </c>
      <c r="H236" s="98" t="s">
        <v>212</v>
      </c>
      <c r="I236" s="98" t="s">
        <v>213</v>
      </c>
      <c r="J236" s="99" t="n">
        <v>3</v>
      </c>
      <c r="K236" s="98" t="str">
        <f aca="false">IFERROR(VLOOKUP($J236,$J$10:$K$13,2,0),"")</f>
        <v>NON DISTRIBUTOR</v>
      </c>
      <c r="L236" s="98" t="s">
        <v>26</v>
      </c>
      <c r="M236" s="99" t="n">
        <v>9</v>
      </c>
      <c r="N236" s="98" t="str">
        <f aca="false">IFERROR(VLOOKUP($M236,$M$3:$Q$14,2,0),"")</f>
        <v>In Pcs</v>
      </c>
      <c r="O236" s="98" t="str">
        <f aca="false">IFERROR(VLOOKUP($M236,$M$3:$Q$14,3,0),"")</f>
        <v>Pcs</v>
      </c>
      <c r="P236" s="99" t="n">
        <f aca="false">IFERROR(VLOOKUP($M236,$M$3:$Q$14,4,0),"")</f>
        <v>4</v>
      </c>
      <c r="Q236" s="98" t="str">
        <f aca="false">IFERROR(VLOOKUP($M236,$M$3:$Q$14,5,0),"")</f>
        <v>small</v>
      </c>
      <c r="R236" s="98" t="n">
        <v>240</v>
      </c>
      <c r="S236" s="100" t="n">
        <f aca="false">S235/20</f>
        <v>414.55</v>
      </c>
      <c r="T236" s="101" t="n">
        <f aca="false">S236/1.11</f>
        <v>373.468468468469</v>
      </c>
      <c r="U236" s="102" t="n">
        <v>388</v>
      </c>
      <c r="V236" s="102" t="n">
        <v>349</v>
      </c>
      <c r="W236" s="1" t="e">
        <f aca="false">VLOOKUP($G236,#REF!,2,0)</f>
        <v>#VALUE!</v>
      </c>
    </row>
    <row r="237" customFormat="false" ht="22.5" hidden="true" customHeight="true" outlineLevel="0" collapsed="false">
      <c r="A237" s="53"/>
      <c r="B237" s="53"/>
      <c r="C237" s="98" t="n">
        <v>83</v>
      </c>
      <c r="D237" s="98" t="n">
        <v>130205205</v>
      </c>
      <c r="E237" s="98" t="s">
        <v>219</v>
      </c>
      <c r="F237" s="98" t="s">
        <v>211</v>
      </c>
      <c r="G237" s="98" t="s">
        <v>211</v>
      </c>
      <c r="H237" s="98" t="s">
        <v>212</v>
      </c>
      <c r="I237" s="98" t="s">
        <v>213</v>
      </c>
      <c r="J237" s="99" t="n">
        <v>3</v>
      </c>
      <c r="K237" s="98" t="str">
        <f aca="false">IFERROR(VLOOKUP($J237,$J$10:$K$13,2,0),"")</f>
        <v>NON DISTRIBUTOR</v>
      </c>
      <c r="L237" s="98" t="s">
        <v>26</v>
      </c>
      <c r="M237" s="99" t="n">
        <v>1</v>
      </c>
      <c r="N237" s="98" t="str">
        <f aca="false">IFERROR(VLOOKUP($M237,$M$3:$Q$14,2,0),"")</f>
        <v>In Carton</v>
      </c>
      <c r="O237" s="98" t="str">
        <f aca="false">IFERROR(VLOOKUP($M237,$M$3:$Q$14,3,0),"")</f>
        <v>Carton</v>
      </c>
      <c r="P237" s="99" t="n">
        <f aca="false">IFERROR(VLOOKUP($M237,$M$3:$Q$14,4,0),"")</f>
        <v>1</v>
      </c>
      <c r="Q237" s="98" t="str">
        <f aca="false">IFERROR(VLOOKUP($M237,$M$3:$Q$14,5,0),"")</f>
        <v>large</v>
      </c>
      <c r="R237" s="98" t="n">
        <v>1</v>
      </c>
      <c r="S237" s="100" t="n">
        <f aca="false">8291*12</f>
        <v>99492</v>
      </c>
      <c r="T237" s="101" t="n">
        <f aca="false">S237/1.11</f>
        <v>89632.4324324324</v>
      </c>
      <c r="U237" s="102" t="n">
        <f aca="false">V237+(V237*11%)</f>
        <v>93211.14</v>
      </c>
      <c r="V237" s="102" t="n">
        <v>83974</v>
      </c>
      <c r="W237" s="1" t="e">
        <f aca="false">VLOOKUP($G237,#REF!,2,0)</f>
        <v>#VALUE!</v>
      </c>
    </row>
    <row r="238" customFormat="false" ht="22.5" hidden="true" customHeight="true" outlineLevel="0" collapsed="false">
      <c r="A238" s="53"/>
      <c r="B238" s="53"/>
      <c r="C238" s="98" t="n">
        <v>83</v>
      </c>
      <c r="D238" s="98" t="n">
        <v>130205205</v>
      </c>
      <c r="E238" s="98" t="s">
        <v>219</v>
      </c>
      <c r="F238" s="98" t="s">
        <v>211</v>
      </c>
      <c r="G238" s="98" t="s">
        <v>211</v>
      </c>
      <c r="H238" s="98" t="s">
        <v>212</v>
      </c>
      <c r="I238" s="98" t="s">
        <v>213</v>
      </c>
      <c r="J238" s="99" t="n">
        <v>3</v>
      </c>
      <c r="K238" s="98" t="str">
        <f aca="false">IFERROR(VLOOKUP($J238,$J$10:$K$13,2,0),"")</f>
        <v>NON DISTRIBUTOR</v>
      </c>
      <c r="L238" s="98" t="s">
        <v>26</v>
      </c>
      <c r="M238" s="99" t="n">
        <v>4</v>
      </c>
      <c r="N238" s="98" t="str">
        <f aca="false">IFERROR(VLOOKUP($M238,$M$3:$Q$14,2,0),"")</f>
        <v>In Pack</v>
      </c>
      <c r="O238" s="98" t="str">
        <f aca="false">IFERROR(VLOOKUP($M238,$M$3:$Q$14,3,0),"")</f>
        <v>Box</v>
      </c>
      <c r="P238" s="99" t="n">
        <f aca="false">IFERROR(VLOOKUP($M238,$M$3:$Q$14,4,0),"")</f>
        <v>2</v>
      </c>
      <c r="Q238" s="98" t="n">
        <f aca="false">IFERROR(VLOOKUP($M238,$M$3:$Q$14,5,0),"")</f>
        <v>0</v>
      </c>
      <c r="R238" s="98" t="n">
        <v>12</v>
      </c>
      <c r="S238" s="100" t="n">
        <f aca="false">S237/12</f>
        <v>8291</v>
      </c>
      <c r="T238" s="101" t="n">
        <f aca="false">S238/1.11</f>
        <v>7469.36936936937</v>
      </c>
      <c r="U238" s="102" t="n">
        <v>7767</v>
      </c>
      <c r="V238" s="102" t="n">
        <v>6997</v>
      </c>
      <c r="W238" s="1" t="e">
        <f aca="false">VLOOKUP($G238,#REF!,2,0)</f>
        <v>#VALUE!</v>
      </c>
    </row>
    <row r="239" customFormat="false" ht="22.5" hidden="true" customHeight="true" outlineLevel="0" collapsed="false">
      <c r="A239" s="53"/>
      <c r="B239" s="53"/>
      <c r="C239" s="98" t="n">
        <v>83</v>
      </c>
      <c r="D239" s="98" t="n">
        <v>130205205</v>
      </c>
      <c r="E239" s="98" t="s">
        <v>219</v>
      </c>
      <c r="F239" s="98" t="s">
        <v>211</v>
      </c>
      <c r="G239" s="98" t="s">
        <v>211</v>
      </c>
      <c r="H239" s="98" t="s">
        <v>212</v>
      </c>
      <c r="I239" s="98" t="s">
        <v>213</v>
      </c>
      <c r="J239" s="99" t="n">
        <v>3</v>
      </c>
      <c r="K239" s="98" t="str">
        <f aca="false">IFERROR(VLOOKUP($J239,$J$10:$K$13,2,0),"")</f>
        <v>NON DISTRIBUTOR</v>
      </c>
      <c r="L239" s="98" t="s">
        <v>26</v>
      </c>
      <c r="M239" s="99" t="n">
        <v>9</v>
      </c>
      <c r="N239" s="98" t="str">
        <f aca="false">IFERROR(VLOOKUP($M239,$M$3:$Q$14,2,0),"")</f>
        <v>In Pcs</v>
      </c>
      <c r="O239" s="98" t="str">
        <f aca="false">IFERROR(VLOOKUP($M239,$M$3:$Q$14,3,0),"")</f>
        <v>Pcs</v>
      </c>
      <c r="P239" s="99" t="n">
        <f aca="false">IFERROR(VLOOKUP($M239,$M$3:$Q$14,4,0),"")</f>
        <v>4</v>
      </c>
      <c r="Q239" s="98" t="str">
        <f aca="false">IFERROR(VLOOKUP($M239,$M$3:$Q$14,5,0),"")</f>
        <v>small</v>
      </c>
      <c r="R239" s="98" t="n">
        <v>240</v>
      </c>
      <c r="S239" s="100" t="n">
        <f aca="false">S238/20</f>
        <v>414.55</v>
      </c>
      <c r="T239" s="101" t="n">
        <f aca="false">S239/1.11</f>
        <v>373.468468468469</v>
      </c>
      <c r="U239" s="102" t="n">
        <v>388</v>
      </c>
      <c r="V239" s="102" t="n">
        <v>349</v>
      </c>
      <c r="W239" s="1" t="e">
        <f aca="false">VLOOKUP($G239,#REF!,2,0)</f>
        <v>#VALUE!</v>
      </c>
    </row>
    <row r="240" customFormat="false" ht="22.5" hidden="true" customHeight="true" outlineLevel="0" collapsed="false">
      <c r="A240" s="53"/>
      <c r="B240" s="53"/>
      <c r="C240" s="98" t="n">
        <v>84</v>
      </c>
      <c r="D240" s="98" t="n">
        <v>130205201</v>
      </c>
      <c r="E240" s="98" t="s">
        <v>220</v>
      </c>
      <c r="F240" s="98" t="s">
        <v>211</v>
      </c>
      <c r="G240" s="98" t="s">
        <v>211</v>
      </c>
      <c r="H240" s="98" t="s">
        <v>212</v>
      </c>
      <c r="I240" s="98" t="s">
        <v>213</v>
      </c>
      <c r="J240" s="99" t="n">
        <v>3</v>
      </c>
      <c r="K240" s="98" t="str">
        <f aca="false">IFERROR(VLOOKUP($J240,$J$10:$K$13,2,0),"")</f>
        <v>NON DISTRIBUTOR</v>
      </c>
      <c r="L240" s="98" t="s">
        <v>26</v>
      </c>
      <c r="M240" s="99" t="n">
        <v>1</v>
      </c>
      <c r="N240" s="98" t="str">
        <f aca="false">IFERROR(VLOOKUP($M240,$M$3:$Q$14,2,0),"")</f>
        <v>In Carton</v>
      </c>
      <c r="O240" s="98" t="str">
        <f aca="false">IFERROR(VLOOKUP($M240,$M$3:$Q$14,3,0),"")</f>
        <v>Carton</v>
      </c>
      <c r="P240" s="99" t="n">
        <f aca="false">IFERROR(VLOOKUP($M240,$M$3:$Q$14,4,0),"")</f>
        <v>1</v>
      </c>
      <c r="Q240" s="98" t="str">
        <f aca="false">IFERROR(VLOOKUP($M240,$M$3:$Q$14,5,0),"")</f>
        <v>large</v>
      </c>
      <c r="R240" s="98" t="n">
        <v>1</v>
      </c>
      <c r="S240" s="100" t="n">
        <f aca="false">8291*12</f>
        <v>99492</v>
      </c>
      <c r="T240" s="101" t="n">
        <f aca="false">S240/1.11</f>
        <v>89632.4324324324</v>
      </c>
      <c r="U240" s="102" t="n">
        <f aca="false">V240+(V240*11%)</f>
        <v>93211.14</v>
      </c>
      <c r="V240" s="102" t="n">
        <v>83974</v>
      </c>
      <c r="W240" s="1" t="e">
        <f aca="false">VLOOKUP($G240,#REF!,2,0)</f>
        <v>#VALUE!</v>
      </c>
    </row>
    <row r="241" customFormat="false" ht="22.5" hidden="true" customHeight="true" outlineLevel="0" collapsed="false">
      <c r="A241" s="53"/>
      <c r="B241" s="53"/>
      <c r="C241" s="98" t="n">
        <v>84</v>
      </c>
      <c r="D241" s="98" t="n">
        <v>130205201</v>
      </c>
      <c r="E241" s="98" t="s">
        <v>220</v>
      </c>
      <c r="F241" s="98" t="s">
        <v>211</v>
      </c>
      <c r="G241" s="98" t="s">
        <v>211</v>
      </c>
      <c r="H241" s="98" t="s">
        <v>212</v>
      </c>
      <c r="I241" s="98" t="s">
        <v>213</v>
      </c>
      <c r="J241" s="99" t="n">
        <v>3</v>
      </c>
      <c r="K241" s="98" t="str">
        <f aca="false">IFERROR(VLOOKUP($J241,$J$10:$K$13,2,0),"")</f>
        <v>NON DISTRIBUTOR</v>
      </c>
      <c r="L241" s="98" t="s">
        <v>26</v>
      </c>
      <c r="M241" s="99" t="n">
        <v>4</v>
      </c>
      <c r="N241" s="98" t="str">
        <f aca="false">IFERROR(VLOOKUP($M241,$M$3:$Q$14,2,0),"")</f>
        <v>In Pack</v>
      </c>
      <c r="O241" s="98" t="str">
        <f aca="false">IFERROR(VLOOKUP($M241,$M$3:$Q$14,3,0),"")</f>
        <v>Box</v>
      </c>
      <c r="P241" s="99" t="n">
        <f aca="false">IFERROR(VLOOKUP($M241,$M$3:$Q$14,4,0),"")</f>
        <v>2</v>
      </c>
      <c r="Q241" s="98" t="n">
        <f aca="false">IFERROR(VLOOKUP($M241,$M$3:$Q$14,5,0),"")</f>
        <v>0</v>
      </c>
      <c r="R241" s="98" t="n">
        <v>12</v>
      </c>
      <c r="S241" s="100" t="n">
        <f aca="false">S240/12</f>
        <v>8291</v>
      </c>
      <c r="T241" s="101" t="n">
        <f aca="false">S241/1.11</f>
        <v>7469.36936936937</v>
      </c>
      <c r="U241" s="102" t="n">
        <v>7767</v>
      </c>
      <c r="V241" s="102" t="n">
        <v>6997</v>
      </c>
      <c r="W241" s="1" t="e">
        <f aca="false">VLOOKUP($G241,#REF!,2,0)</f>
        <v>#VALUE!</v>
      </c>
    </row>
    <row r="242" customFormat="false" ht="22.5" hidden="true" customHeight="true" outlineLevel="0" collapsed="false">
      <c r="A242" s="53"/>
      <c r="B242" s="53"/>
      <c r="C242" s="98" t="n">
        <v>84</v>
      </c>
      <c r="D242" s="98" t="n">
        <v>130205201</v>
      </c>
      <c r="E242" s="98" t="s">
        <v>220</v>
      </c>
      <c r="F242" s="98" t="s">
        <v>211</v>
      </c>
      <c r="G242" s="98" t="s">
        <v>211</v>
      </c>
      <c r="H242" s="98" t="s">
        <v>212</v>
      </c>
      <c r="I242" s="98" t="s">
        <v>213</v>
      </c>
      <c r="J242" s="99" t="n">
        <v>3</v>
      </c>
      <c r="K242" s="98" t="str">
        <f aca="false">IFERROR(VLOOKUP($J242,$J$10:$K$13,2,0),"")</f>
        <v>NON DISTRIBUTOR</v>
      </c>
      <c r="L242" s="98" t="s">
        <v>26</v>
      </c>
      <c r="M242" s="99" t="n">
        <v>9</v>
      </c>
      <c r="N242" s="98" t="str">
        <f aca="false">IFERROR(VLOOKUP($M242,$M$3:$Q$14,2,0),"")</f>
        <v>In Pcs</v>
      </c>
      <c r="O242" s="98" t="str">
        <f aca="false">IFERROR(VLOOKUP($M242,$M$3:$Q$14,3,0),"")</f>
        <v>Pcs</v>
      </c>
      <c r="P242" s="99" t="n">
        <f aca="false">IFERROR(VLOOKUP($M242,$M$3:$Q$14,4,0),"")</f>
        <v>4</v>
      </c>
      <c r="Q242" s="98" t="str">
        <f aca="false">IFERROR(VLOOKUP($M242,$M$3:$Q$14,5,0),"")</f>
        <v>small</v>
      </c>
      <c r="R242" s="98" t="n">
        <v>240</v>
      </c>
      <c r="S242" s="100" t="n">
        <f aca="false">S241/20</f>
        <v>414.55</v>
      </c>
      <c r="T242" s="101" t="n">
        <f aca="false">S242/1.11</f>
        <v>373.468468468469</v>
      </c>
      <c r="U242" s="102" t="n">
        <v>388</v>
      </c>
      <c r="V242" s="102" t="n">
        <v>349</v>
      </c>
      <c r="W242" s="1" t="e">
        <f aca="false">VLOOKUP($G242,#REF!,2,0)</f>
        <v>#VALUE!</v>
      </c>
    </row>
    <row r="243" customFormat="false" ht="22.5" hidden="true" customHeight="true" outlineLevel="0" collapsed="false">
      <c r="A243" s="53"/>
      <c r="B243" s="53"/>
      <c r="C243" s="98" t="n">
        <v>85</v>
      </c>
      <c r="D243" s="98" t="n">
        <v>130205202</v>
      </c>
      <c r="E243" s="98" t="s">
        <v>221</v>
      </c>
      <c r="F243" s="98" t="s">
        <v>211</v>
      </c>
      <c r="G243" s="98" t="s">
        <v>211</v>
      </c>
      <c r="H243" s="98" t="s">
        <v>212</v>
      </c>
      <c r="I243" s="98" t="s">
        <v>213</v>
      </c>
      <c r="J243" s="99" t="n">
        <v>3</v>
      </c>
      <c r="K243" s="98" t="str">
        <f aca="false">IFERROR(VLOOKUP($J243,$J$10:$K$13,2,0),"")</f>
        <v>NON DISTRIBUTOR</v>
      </c>
      <c r="L243" s="98" t="s">
        <v>26</v>
      </c>
      <c r="M243" s="99" t="n">
        <v>1</v>
      </c>
      <c r="N243" s="98" t="str">
        <f aca="false">IFERROR(VLOOKUP($M243,$M$3:$Q$14,2,0),"")</f>
        <v>In Carton</v>
      </c>
      <c r="O243" s="98" t="str">
        <f aca="false">IFERROR(VLOOKUP($M243,$M$3:$Q$14,3,0),"")</f>
        <v>Carton</v>
      </c>
      <c r="P243" s="99" t="n">
        <f aca="false">IFERROR(VLOOKUP($M243,$M$3:$Q$14,4,0),"")</f>
        <v>1</v>
      </c>
      <c r="Q243" s="98" t="str">
        <f aca="false">IFERROR(VLOOKUP($M243,$M$3:$Q$14,5,0),"")</f>
        <v>large</v>
      </c>
      <c r="R243" s="98" t="n">
        <v>1</v>
      </c>
      <c r="S243" s="100" t="n">
        <f aca="false">8291*12</f>
        <v>99492</v>
      </c>
      <c r="T243" s="101" t="n">
        <f aca="false">S243/1.11</f>
        <v>89632.4324324324</v>
      </c>
      <c r="U243" s="102" t="n">
        <f aca="false">V243+(V243*11%)</f>
        <v>93211.14</v>
      </c>
      <c r="V243" s="102" t="n">
        <v>83974</v>
      </c>
      <c r="W243" s="1" t="e">
        <f aca="false">VLOOKUP($G243,#REF!,2,0)</f>
        <v>#VALUE!</v>
      </c>
    </row>
    <row r="244" customFormat="false" ht="22.5" hidden="true" customHeight="true" outlineLevel="0" collapsed="false">
      <c r="A244" s="53"/>
      <c r="B244" s="53"/>
      <c r="C244" s="98" t="n">
        <v>85</v>
      </c>
      <c r="D244" s="98" t="n">
        <v>130205203</v>
      </c>
      <c r="E244" s="98" t="s">
        <v>221</v>
      </c>
      <c r="F244" s="98" t="s">
        <v>211</v>
      </c>
      <c r="G244" s="98" t="s">
        <v>211</v>
      </c>
      <c r="H244" s="98" t="s">
        <v>212</v>
      </c>
      <c r="I244" s="98" t="s">
        <v>213</v>
      </c>
      <c r="J244" s="99" t="n">
        <v>3</v>
      </c>
      <c r="K244" s="98" t="str">
        <f aca="false">IFERROR(VLOOKUP($J244,$J$10:$K$13,2,0),"")</f>
        <v>NON DISTRIBUTOR</v>
      </c>
      <c r="L244" s="98" t="s">
        <v>26</v>
      </c>
      <c r="M244" s="99" t="n">
        <v>4</v>
      </c>
      <c r="N244" s="98" t="str">
        <f aca="false">IFERROR(VLOOKUP($M244,$M$3:$Q$14,2,0),"")</f>
        <v>In Pack</v>
      </c>
      <c r="O244" s="98" t="str">
        <f aca="false">IFERROR(VLOOKUP($M244,$M$3:$Q$14,3,0),"")</f>
        <v>Box</v>
      </c>
      <c r="P244" s="99" t="n">
        <f aca="false">IFERROR(VLOOKUP($M244,$M$3:$Q$14,4,0),"")</f>
        <v>2</v>
      </c>
      <c r="Q244" s="98" t="n">
        <f aca="false">IFERROR(VLOOKUP($M244,$M$3:$Q$14,5,0),"")</f>
        <v>0</v>
      </c>
      <c r="R244" s="98" t="n">
        <v>12</v>
      </c>
      <c r="S244" s="100" t="n">
        <f aca="false">S243/12</f>
        <v>8291</v>
      </c>
      <c r="T244" s="101" t="n">
        <f aca="false">S244/1.11</f>
        <v>7469.36936936937</v>
      </c>
      <c r="U244" s="102" t="n">
        <v>7767</v>
      </c>
      <c r="V244" s="102" t="n">
        <v>6997</v>
      </c>
      <c r="W244" s="1" t="e">
        <f aca="false">VLOOKUP($G244,#REF!,2,0)</f>
        <v>#VALUE!</v>
      </c>
    </row>
    <row r="245" customFormat="false" ht="22.5" hidden="true" customHeight="true" outlineLevel="0" collapsed="false">
      <c r="A245" s="53"/>
      <c r="B245" s="53"/>
      <c r="C245" s="98" t="n">
        <v>85</v>
      </c>
      <c r="D245" s="98" t="n">
        <v>130205204</v>
      </c>
      <c r="E245" s="98" t="s">
        <v>221</v>
      </c>
      <c r="F245" s="98" t="s">
        <v>211</v>
      </c>
      <c r="G245" s="98" t="s">
        <v>211</v>
      </c>
      <c r="H245" s="98" t="s">
        <v>212</v>
      </c>
      <c r="I245" s="98" t="s">
        <v>213</v>
      </c>
      <c r="J245" s="99" t="n">
        <v>3</v>
      </c>
      <c r="K245" s="98" t="str">
        <f aca="false">IFERROR(VLOOKUP($J245,$J$10:$K$13,2,0),"")</f>
        <v>NON DISTRIBUTOR</v>
      </c>
      <c r="L245" s="98" t="s">
        <v>26</v>
      </c>
      <c r="M245" s="99" t="n">
        <v>9</v>
      </c>
      <c r="N245" s="98" t="str">
        <f aca="false">IFERROR(VLOOKUP($M245,$M$3:$Q$14,2,0),"")</f>
        <v>In Pcs</v>
      </c>
      <c r="O245" s="98" t="str">
        <f aca="false">IFERROR(VLOOKUP($M245,$M$3:$Q$14,3,0),"")</f>
        <v>Pcs</v>
      </c>
      <c r="P245" s="99" t="n">
        <f aca="false">IFERROR(VLOOKUP($M245,$M$3:$Q$14,4,0),"")</f>
        <v>4</v>
      </c>
      <c r="Q245" s="98" t="str">
        <f aca="false">IFERROR(VLOOKUP($M245,$M$3:$Q$14,5,0),"")</f>
        <v>small</v>
      </c>
      <c r="R245" s="98" t="n">
        <v>240</v>
      </c>
      <c r="S245" s="100" t="n">
        <f aca="false">S244/20</f>
        <v>414.55</v>
      </c>
      <c r="T245" s="101" t="n">
        <f aca="false">S245/1.11</f>
        <v>373.468468468469</v>
      </c>
      <c r="U245" s="102" t="n">
        <v>388</v>
      </c>
      <c r="V245" s="102" t="n">
        <v>349</v>
      </c>
      <c r="W245" s="1" t="e">
        <f aca="false">VLOOKUP($G245,#REF!,2,0)</f>
        <v>#VALUE!</v>
      </c>
    </row>
    <row r="246" customFormat="false" ht="22.5" hidden="true" customHeight="true" outlineLevel="0" collapsed="false">
      <c r="A246" s="53"/>
      <c r="B246" s="53"/>
      <c r="C246" s="103" t="n">
        <v>86</v>
      </c>
      <c r="D246" s="103" t="n">
        <v>431533</v>
      </c>
      <c r="E246" s="103" t="s">
        <v>222</v>
      </c>
      <c r="F246" s="103" t="s">
        <v>223</v>
      </c>
      <c r="G246" s="103" t="s">
        <v>223</v>
      </c>
      <c r="H246" s="103"/>
      <c r="I246" s="103" t="s">
        <v>224</v>
      </c>
      <c r="J246" s="104" t="n">
        <v>3</v>
      </c>
      <c r="K246" s="103" t="str">
        <f aca="false">IFERROR(VLOOKUP($J246,$J$10:$K$13,2,0),"")</f>
        <v>NON DISTRIBUTOR</v>
      </c>
      <c r="L246" s="103" t="s">
        <v>26</v>
      </c>
      <c r="M246" s="104" t="n">
        <v>1</v>
      </c>
      <c r="N246" s="103" t="str">
        <f aca="false">IFERROR(VLOOKUP($M246,$M$3:$Q$14,2,0),"")</f>
        <v>In Carton</v>
      </c>
      <c r="O246" s="103" t="str">
        <f aca="false">IFERROR(VLOOKUP($M246,$M$3:$Q$14,3,0),"")</f>
        <v>Carton</v>
      </c>
      <c r="P246" s="104" t="n">
        <f aca="false">IFERROR(VLOOKUP($M246,$M$3:$Q$14,4,0),"")</f>
        <v>1</v>
      </c>
      <c r="Q246" s="103" t="str">
        <f aca="false">IFERROR(VLOOKUP($M246,$M$3:$Q$14,5,0),"")</f>
        <v>large</v>
      </c>
      <c r="R246" s="103" t="n">
        <v>1</v>
      </c>
      <c r="S246" s="105" t="n">
        <f aca="false">15542*6</f>
        <v>93252</v>
      </c>
      <c r="T246" s="106" t="n">
        <f aca="false">S246/1.11</f>
        <v>84010.8108108108</v>
      </c>
      <c r="U246" s="107" t="n">
        <v>89350</v>
      </c>
      <c r="V246" s="87" t="n">
        <f aca="false">U246-(U246*11%)</f>
        <v>79521.5</v>
      </c>
      <c r="W246" s="1" t="e">
        <f aca="false">VLOOKUP($G246,#REF!,2,0)</f>
        <v>#VALUE!</v>
      </c>
    </row>
    <row r="247" customFormat="false" ht="22.5" hidden="true" customHeight="true" outlineLevel="0" collapsed="false">
      <c r="A247" s="53"/>
      <c r="B247" s="53"/>
      <c r="C247" s="103" t="n">
        <v>86</v>
      </c>
      <c r="D247" s="103" t="n">
        <v>431533</v>
      </c>
      <c r="E247" s="103" t="s">
        <v>222</v>
      </c>
      <c r="F247" s="103" t="s">
        <v>223</v>
      </c>
      <c r="G247" s="103" t="s">
        <v>223</v>
      </c>
      <c r="H247" s="103"/>
      <c r="I247" s="103" t="s">
        <v>224</v>
      </c>
      <c r="J247" s="104" t="n">
        <v>3</v>
      </c>
      <c r="K247" s="103" t="str">
        <f aca="false">IFERROR(VLOOKUP($J247,$J$10:$K$13,2,0),"")</f>
        <v>NON DISTRIBUTOR</v>
      </c>
      <c r="L247" s="103" t="s">
        <v>26</v>
      </c>
      <c r="M247" s="104" t="n">
        <v>8</v>
      </c>
      <c r="N247" s="103" t="str">
        <f aca="false">IFERROR(VLOOKUP($M247,$M$3:$Q$14,2,0),"")</f>
        <v>In Renceng</v>
      </c>
      <c r="O247" s="103" t="str">
        <f aca="false">IFERROR(VLOOKUP($M247,$M$3:$Q$14,3,0),"")</f>
        <v>Renceng</v>
      </c>
      <c r="P247" s="104" t="n">
        <f aca="false">IFERROR(VLOOKUP($M247,$M$3:$Q$14,4,0),"")</f>
        <v>3</v>
      </c>
      <c r="Q247" s="103" t="n">
        <f aca="false">IFERROR(VLOOKUP($M247,$M$3:$Q$14,5,0),"")</f>
        <v>0</v>
      </c>
      <c r="R247" s="103" t="n">
        <v>6</v>
      </c>
      <c r="S247" s="105" t="n">
        <f aca="false">S246/6</f>
        <v>15542</v>
      </c>
      <c r="T247" s="106" t="n">
        <f aca="false">S247/1.11</f>
        <v>14001.8018018018</v>
      </c>
      <c r="U247" s="107" t="n">
        <v>14891</v>
      </c>
      <c r="V247" s="87" t="n">
        <f aca="false">U247-(U247*11%)</f>
        <v>13252.99</v>
      </c>
      <c r="W247" s="1" t="e">
        <f aca="false">VLOOKUP($G247,#REF!,2,0)</f>
        <v>#VALUE!</v>
      </c>
    </row>
    <row r="248" customFormat="false" ht="22.5" hidden="true" customHeight="true" outlineLevel="0" collapsed="false">
      <c r="A248" s="53"/>
      <c r="B248" s="53"/>
      <c r="C248" s="103" t="n">
        <v>86</v>
      </c>
      <c r="D248" s="103" t="n">
        <v>431533</v>
      </c>
      <c r="E248" s="103" t="s">
        <v>222</v>
      </c>
      <c r="F248" s="103" t="s">
        <v>223</v>
      </c>
      <c r="G248" s="103" t="s">
        <v>223</v>
      </c>
      <c r="H248" s="103"/>
      <c r="I248" s="103" t="s">
        <v>224</v>
      </c>
      <c r="J248" s="104" t="n">
        <v>3</v>
      </c>
      <c r="K248" s="103" t="str">
        <f aca="false">IFERROR(VLOOKUP($J248,$J$10:$K$13,2,0),"")</f>
        <v>NON DISTRIBUTOR</v>
      </c>
      <c r="L248" s="103" t="s">
        <v>26</v>
      </c>
      <c r="M248" s="104" t="n">
        <v>9</v>
      </c>
      <c r="N248" s="103" t="str">
        <f aca="false">IFERROR(VLOOKUP($M248,$M$3:$Q$14,2,0),"")</f>
        <v>In Pcs</v>
      </c>
      <c r="O248" s="103" t="str">
        <f aca="false">IFERROR(VLOOKUP($M248,$M$3:$Q$14,3,0),"")</f>
        <v>Pcs</v>
      </c>
      <c r="P248" s="104" t="n">
        <f aca="false">IFERROR(VLOOKUP($M248,$M$3:$Q$14,4,0),"")</f>
        <v>4</v>
      </c>
      <c r="Q248" s="103" t="str">
        <f aca="false">IFERROR(VLOOKUP($M248,$M$3:$Q$14,5,0),"")</f>
        <v>small</v>
      </c>
      <c r="R248" s="103" t="n">
        <v>60</v>
      </c>
      <c r="S248" s="105" t="n">
        <f aca="false">S247/10</f>
        <v>1554.2</v>
      </c>
      <c r="T248" s="106" t="n">
        <f aca="false">S248/1.11</f>
        <v>1400.18018018018</v>
      </c>
      <c r="U248" s="107" t="n">
        <v>1489</v>
      </c>
      <c r="V248" s="87" t="n">
        <f aca="false">U248-(U248*11%)</f>
        <v>1325.21</v>
      </c>
      <c r="W248" s="1" t="e">
        <f aca="false">VLOOKUP($G248,#REF!,2,0)</f>
        <v>#VALUE!</v>
      </c>
    </row>
    <row r="249" customFormat="false" ht="22.5" hidden="true" customHeight="true" outlineLevel="0" collapsed="false">
      <c r="A249" s="53"/>
      <c r="B249" s="53"/>
      <c r="C249" s="103" t="n">
        <v>87</v>
      </c>
      <c r="D249" s="103" t="n">
        <v>431531</v>
      </c>
      <c r="E249" s="103" t="s">
        <v>225</v>
      </c>
      <c r="F249" s="103" t="s">
        <v>223</v>
      </c>
      <c r="G249" s="103" t="s">
        <v>223</v>
      </c>
      <c r="H249" s="103"/>
      <c r="I249" s="103" t="s">
        <v>224</v>
      </c>
      <c r="J249" s="104" t="n">
        <v>3</v>
      </c>
      <c r="K249" s="103" t="str">
        <f aca="false">IFERROR(VLOOKUP($J249,$J$10:$K$13,2,0),"")</f>
        <v>NON DISTRIBUTOR</v>
      </c>
      <c r="L249" s="103" t="s">
        <v>26</v>
      </c>
      <c r="M249" s="104" t="n">
        <v>1</v>
      </c>
      <c r="N249" s="103" t="str">
        <f aca="false">IFERROR(VLOOKUP($M249,$M$3:$Q$14,2,0),"")</f>
        <v>In Carton</v>
      </c>
      <c r="O249" s="103" t="str">
        <f aca="false">IFERROR(VLOOKUP($M249,$M$3:$Q$14,3,0),"")</f>
        <v>Carton</v>
      </c>
      <c r="P249" s="104" t="n">
        <f aca="false">IFERROR(VLOOKUP($M249,$M$3:$Q$14,4,0),"")</f>
        <v>1</v>
      </c>
      <c r="Q249" s="103" t="str">
        <f aca="false">IFERROR(VLOOKUP($M249,$M$3:$Q$14,5,0),"")</f>
        <v>large</v>
      </c>
      <c r="R249" s="103" t="n">
        <v>1</v>
      </c>
      <c r="S249" s="105" t="n">
        <f aca="false">15542*6</f>
        <v>93252</v>
      </c>
      <c r="T249" s="106" t="n">
        <f aca="false">S249/1.11</f>
        <v>84010.8108108108</v>
      </c>
      <c r="U249" s="107" t="n">
        <v>89350</v>
      </c>
      <c r="V249" s="87" t="n">
        <f aca="false">U249-(U249*11%)</f>
        <v>79521.5</v>
      </c>
      <c r="W249" s="1" t="e">
        <f aca="false">VLOOKUP($G249,#REF!,2,0)</f>
        <v>#VALUE!</v>
      </c>
    </row>
    <row r="250" customFormat="false" ht="22.5" hidden="true" customHeight="true" outlineLevel="0" collapsed="false">
      <c r="A250" s="53"/>
      <c r="B250" s="53"/>
      <c r="C250" s="103" t="n">
        <v>87</v>
      </c>
      <c r="D250" s="103" t="n">
        <v>431531</v>
      </c>
      <c r="E250" s="103" t="s">
        <v>225</v>
      </c>
      <c r="F250" s="103" t="s">
        <v>223</v>
      </c>
      <c r="G250" s="103" t="s">
        <v>223</v>
      </c>
      <c r="H250" s="103"/>
      <c r="I250" s="103" t="s">
        <v>224</v>
      </c>
      <c r="J250" s="104" t="n">
        <v>3</v>
      </c>
      <c r="K250" s="103" t="str">
        <f aca="false">IFERROR(VLOOKUP($J250,$J$10:$K$13,2,0),"")</f>
        <v>NON DISTRIBUTOR</v>
      </c>
      <c r="L250" s="103" t="s">
        <v>26</v>
      </c>
      <c r="M250" s="104" t="n">
        <v>8</v>
      </c>
      <c r="N250" s="103" t="str">
        <f aca="false">IFERROR(VLOOKUP($M250,$M$3:$Q$14,2,0),"")</f>
        <v>In Renceng</v>
      </c>
      <c r="O250" s="103" t="str">
        <f aca="false">IFERROR(VLOOKUP($M250,$M$3:$Q$14,3,0),"")</f>
        <v>Renceng</v>
      </c>
      <c r="P250" s="104" t="n">
        <f aca="false">IFERROR(VLOOKUP($M250,$M$3:$Q$14,4,0),"")</f>
        <v>3</v>
      </c>
      <c r="Q250" s="103" t="n">
        <f aca="false">IFERROR(VLOOKUP($M250,$M$3:$Q$14,5,0),"")</f>
        <v>0</v>
      </c>
      <c r="R250" s="103" t="n">
        <v>6</v>
      </c>
      <c r="S250" s="105" t="n">
        <f aca="false">S249/6</f>
        <v>15542</v>
      </c>
      <c r="T250" s="106" t="n">
        <f aca="false">S250/1.11</f>
        <v>14001.8018018018</v>
      </c>
      <c r="U250" s="107" t="n">
        <v>14891</v>
      </c>
      <c r="V250" s="87" t="n">
        <f aca="false">U250-(U250*11%)</f>
        <v>13252.99</v>
      </c>
      <c r="W250" s="1" t="e">
        <f aca="false">VLOOKUP($G250,#REF!,2,0)</f>
        <v>#VALUE!</v>
      </c>
    </row>
    <row r="251" customFormat="false" ht="22.5" hidden="true" customHeight="true" outlineLevel="0" collapsed="false">
      <c r="A251" s="53"/>
      <c r="B251" s="53"/>
      <c r="C251" s="103" t="n">
        <v>87</v>
      </c>
      <c r="D251" s="103" t="n">
        <v>431531</v>
      </c>
      <c r="E251" s="103" t="s">
        <v>225</v>
      </c>
      <c r="F251" s="103" t="s">
        <v>223</v>
      </c>
      <c r="G251" s="103" t="s">
        <v>223</v>
      </c>
      <c r="H251" s="103"/>
      <c r="I251" s="103" t="s">
        <v>224</v>
      </c>
      <c r="J251" s="104" t="n">
        <v>3</v>
      </c>
      <c r="K251" s="103" t="str">
        <f aca="false">IFERROR(VLOOKUP($J251,$J$10:$K$13,2,0),"")</f>
        <v>NON DISTRIBUTOR</v>
      </c>
      <c r="L251" s="103" t="s">
        <v>26</v>
      </c>
      <c r="M251" s="104" t="n">
        <v>9</v>
      </c>
      <c r="N251" s="103" t="str">
        <f aca="false">IFERROR(VLOOKUP($M251,$M$3:$Q$14,2,0),"")</f>
        <v>In Pcs</v>
      </c>
      <c r="O251" s="103" t="str">
        <f aca="false">IFERROR(VLOOKUP($M251,$M$3:$Q$14,3,0),"")</f>
        <v>Pcs</v>
      </c>
      <c r="P251" s="104" t="n">
        <f aca="false">IFERROR(VLOOKUP($M251,$M$3:$Q$14,4,0),"")</f>
        <v>4</v>
      </c>
      <c r="Q251" s="103" t="str">
        <f aca="false">IFERROR(VLOOKUP($M251,$M$3:$Q$14,5,0),"")</f>
        <v>small</v>
      </c>
      <c r="R251" s="103" t="n">
        <v>60</v>
      </c>
      <c r="S251" s="105" t="n">
        <f aca="false">S250/10</f>
        <v>1554.2</v>
      </c>
      <c r="T251" s="106" t="n">
        <f aca="false">S251/1.11</f>
        <v>1400.18018018018</v>
      </c>
      <c r="U251" s="107" t="n">
        <v>1489</v>
      </c>
      <c r="V251" s="87" t="n">
        <f aca="false">U251-(U251*11%)</f>
        <v>1325.21</v>
      </c>
      <c r="W251" s="1" t="e">
        <f aca="false">VLOOKUP($G251,#REF!,2,0)</f>
        <v>#VALUE!</v>
      </c>
    </row>
    <row r="252" customFormat="false" ht="22.5" hidden="true" customHeight="true" outlineLevel="0" collapsed="false">
      <c r="A252" s="53"/>
      <c r="B252" s="53"/>
      <c r="C252" s="103" t="n">
        <v>88</v>
      </c>
      <c r="D252" s="103" t="n">
        <v>437689</v>
      </c>
      <c r="E252" s="103" t="s">
        <v>226</v>
      </c>
      <c r="F252" s="103" t="s">
        <v>223</v>
      </c>
      <c r="G252" s="103" t="s">
        <v>223</v>
      </c>
      <c r="H252" s="103"/>
      <c r="I252" s="103" t="s">
        <v>224</v>
      </c>
      <c r="J252" s="104" t="n">
        <v>3</v>
      </c>
      <c r="K252" s="103" t="str">
        <f aca="false">IFERROR(VLOOKUP($J252,$J$10:$K$13,2,0),"")</f>
        <v>NON DISTRIBUTOR</v>
      </c>
      <c r="L252" s="103" t="s">
        <v>26</v>
      </c>
      <c r="M252" s="104" t="n">
        <v>1</v>
      </c>
      <c r="N252" s="103" t="str">
        <f aca="false">IFERROR(VLOOKUP($M252,$M$3:$Q$14,2,0),"")</f>
        <v>In Carton</v>
      </c>
      <c r="O252" s="103" t="str">
        <f aca="false">IFERROR(VLOOKUP($M252,$M$3:$Q$14,3,0),"")</f>
        <v>Carton</v>
      </c>
      <c r="P252" s="104" t="n">
        <f aca="false">IFERROR(VLOOKUP($M252,$M$3:$Q$14,4,0),"")</f>
        <v>1</v>
      </c>
      <c r="Q252" s="103" t="str">
        <f aca="false">IFERROR(VLOOKUP($M252,$M$3:$Q$14,5,0),"")</f>
        <v>large</v>
      </c>
      <c r="R252" s="103" t="n">
        <v>1</v>
      </c>
      <c r="S252" s="105" t="n">
        <f aca="false">15542*6</f>
        <v>93252</v>
      </c>
      <c r="T252" s="106" t="n">
        <f aca="false">S252/1.11</f>
        <v>84010.8108108108</v>
      </c>
      <c r="U252" s="107" t="n">
        <v>89350</v>
      </c>
      <c r="V252" s="87" t="n">
        <f aca="false">U252-(U252*11%)</f>
        <v>79521.5</v>
      </c>
      <c r="W252" s="1" t="e">
        <f aca="false">VLOOKUP($G252,#REF!,2,0)</f>
        <v>#VALUE!</v>
      </c>
    </row>
    <row r="253" customFormat="false" ht="22.5" hidden="true" customHeight="true" outlineLevel="0" collapsed="false">
      <c r="A253" s="53"/>
      <c r="B253" s="53"/>
      <c r="C253" s="103" t="n">
        <v>88</v>
      </c>
      <c r="D253" s="103" t="n">
        <v>437689</v>
      </c>
      <c r="E253" s="103" t="s">
        <v>226</v>
      </c>
      <c r="F253" s="103" t="s">
        <v>223</v>
      </c>
      <c r="G253" s="103" t="s">
        <v>223</v>
      </c>
      <c r="H253" s="103"/>
      <c r="I253" s="103" t="s">
        <v>224</v>
      </c>
      <c r="J253" s="104" t="n">
        <v>3</v>
      </c>
      <c r="K253" s="103" t="str">
        <f aca="false">IFERROR(VLOOKUP($J253,$J$10:$K$13,2,0),"")</f>
        <v>NON DISTRIBUTOR</v>
      </c>
      <c r="L253" s="103" t="s">
        <v>26</v>
      </c>
      <c r="M253" s="104" t="n">
        <v>8</v>
      </c>
      <c r="N253" s="103" t="str">
        <f aca="false">IFERROR(VLOOKUP($M253,$M$3:$Q$14,2,0),"")</f>
        <v>In Renceng</v>
      </c>
      <c r="O253" s="103" t="str">
        <f aca="false">IFERROR(VLOOKUP($M253,$M$3:$Q$14,3,0),"")</f>
        <v>Renceng</v>
      </c>
      <c r="P253" s="104" t="n">
        <f aca="false">IFERROR(VLOOKUP($M253,$M$3:$Q$14,4,0),"")</f>
        <v>3</v>
      </c>
      <c r="Q253" s="103" t="n">
        <f aca="false">IFERROR(VLOOKUP($M253,$M$3:$Q$14,5,0),"")</f>
        <v>0</v>
      </c>
      <c r="R253" s="103" t="n">
        <v>6</v>
      </c>
      <c r="S253" s="105" t="n">
        <f aca="false">S252/6</f>
        <v>15542</v>
      </c>
      <c r="T253" s="106" t="n">
        <f aca="false">S253/1.11</f>
        <v>14001.8018018018</v>
      </c>
      <c r="U253" s="107" t="n">
        <v>14891</v>
      </c>
      <c r="V253" s="87" t="n">
        <f aca="false">U253-(U253*11%)</f>
        <v>13252.99</v>
      </c>
      <c r="W253" s="1" t="e">
        <f aca="false">VLOOKUP($G253,#REF!,2,0)</f>
        <v>#VALUE!</v>
      </c>
    </row>
    <row r="254" customFormat="false" ht="22.5" hidden="true" customHeight="true" outlineLevel="0" collapsed="false">
      <c r="A254" s="53"/>
      <c r="B254" s="53"/>
      <c r="C254" s="103" t="n">
        <v>88</v>
      </c>
      <c r="D254" s="103" t="n">
        <v>437689</v>
      </c>
      <c r="E254" s="103" t="s">
        <v>226</v>
      </c>
      <c r="F254" s="103" t="s">
        <v>223</v>
      </c>
      <c r="G254" s="103" t="s">
        <v>223</v>
      </c>
      <c r="H254" s="103"/>
      <c r="I254" s="103" t="s">
        <v>224</v>
      </c>
      <c r="J254" s="104" t="n">
        <v>3</v>
      </c>
      <c r="K254" s="103" t="str">
        <f aca="false">IFERROR(VLOOKUP($J254,$J$10:$K$13,2,0),"")</f>
        <v>NON DISTRIBUTOR</v>
      </c>
      <c r="L254" s="103" t="s">
        <v>26</v>
      </c>
      <c r="M254" s="104" t="n">
        <v>9</v>
      </c>
      <c r="N254" s="103" t="str">
        <f aca="false">IFERROR(VLOOKUP($M254,$M$3:$Q$14,2,0),"")</f>
        <v>In Pcs</v>
      </c>
      <c r="O254" s="103" t="str">
        <f aca="false">IFERROR(VLOOKUP($M254,$M$3:$Q$14,3,0),"")</f>
        <v>Pcs</v>
      </c>
      <c r="P254" s="104" t="n">
        <f aca="false">IFERROR(VLOOKUP($M254,$M$3:$Q$14,4,0),"")</f>
        <v>4</v>
      </c>
      <c r="Q254" s="103" t="str">
        <f aca="false">IFERROR(VLOOKUP($M254,$M$3:$Q$14,5,0),"")</f>
        <v>small</v>
      </c>
      <c r="R254" s="103" t="n">
        <v>60</v>
      </c>
      <c r="S254" s="105" t="n">
        <f aca="false">S253/10</f>
        <v>1554.2</v>
      </c>
      <c r="T254" s="106" t="n">
        <f aca="false">S254/1.11</f>
        <v>1400.18018018018</v>
      </c>
      <c r="U254" s="107" t="n">
        <v>1489</v>
      </c>
      <c r="V254" s="87" t="n">
        <f aca="false">U254-(U254*11%)</f>
        <v>1325.21</v>
      </c>
      <c r="W254" s="1" t="e">
        <f aca="false">VLOOKUP($G254,#REF!,2,0)</f>
        <v>#VALUE!</v>
      </c>
    </row>
    <row r="255" customFormat="false" ht="22.5" hidden="true" customHeight="true" outlineLevel="0" collapsed="false">
      <c r="A255" s="53"/>
      <c r="B255" s="53"/>
      <c r="C255" s="103" t="n">
        <v>89</v>
      </c>
      <c r="D255" s="103" t="n">
        <v>431532</v>
      </c>
      <c r="E255" s="103" t="s">
        <v>227</v>
      </c>
      <c r="F255" s="103" t="s">
        <v>223</v>
      </c>
      <c r="G255" s="103" t="s">
        <v>223</v>
      </c>
      <c r="H255" s="103"/>
      <c r="I255" s="103" t="s">
        <v>224</v>
      </c>
      <c r="J255" s="104" t="n">
        <v>3</v>
      </c>
      <c r="K255" s="103" t="str">
        <f aca="false">IFERROR(VLOOKUP($J255,$J$10:$K$13,2,0),"")</f>
        <v>NON DISTRIBUTOR</v>
      </c>
      <c r="L255" s="103" t="s">
        <v>26</v>
      </c>
      <c r="M255" s="104" t="n">
        <v>1</v>
      </c>
      <c r="N255" s="103" t="str">
        <f aca="false">IFERROR(VLOOKUP($M255,$M$3:$Q$14,2,0),"")</f>
        <v>In Carton</v>
      </c>
      <c r="O255" s="103" t="str">
        <f aca="false">IFERROR(VLOOKUP($M255,$M$3:$Q$14,3,0),"")</f>
        <v>Carton</v>
      </c>
      <c r="P255" s="104" t="n">
        <f aca="false">IFERROR(VLOOKUP($M255,$M$3:$Q$14,4,0),"")</f>
        <v>1</v>
      </c>
      <c r="Q255" s="103" t="str">
        <f aca="false">IFERROR(VLOOKUP($M255,$M$3:$Q$14,5,0),"")</f>
        <v>large</v>
      </c>
      <c r="R255" s="103" t="n">
        <v>1</v>
      </c>
      <c r="S255" s="105" t="n">
        <f aca="false">15542*6</f>
        <v>93252</v>
      </c>
      <c r="T255" s="106" t="n">
        <f aca="false">S255/1.11</f>
        <v>84010.8108108108</v>
      </c>
      <c r="U255" s="107" t="n">
        <v>89350</v>
      </c>
      <c r="V255" s="87" t="n">
        <f aca="false">U255-(U255*11%)</f>
        <v>79521.5</v>
      </c>
      <c r="W255" s="1" t="e">
        <f aca="false">VLOOKUP($G255,#REF!,2,0)</f>
        <v>#VALUE!</v>
      </c>
    </row>
    <row r="256" customFormat="false" ht="22.5" hidden="true" customHeight="true" outlineLevel="0" collapsed="false">
      <c r="A256" s="53"/>
      <c r="B256" s="53"/>
      <c r="C256" s="103" t="n">
        <v>89</v>
      </c>
      <c r="D256" s="103" t="n">
        <v>431532</v>
      </c>
      <c r="E256" s="103" t="s">
        <v>227</v>
      </c>
      <c r="F256" s="103" t="s">
        <v>223</v>
      </c>
      <c r="G256" s="103" t="s">
        <v>223</v>
      </c>
      <c r="H256" s="103"/>
      <c r="I256" s="103" t="s">
        <v>224</v>
      </c>
      <c r="J256" s="104" t="n">
        <v>3</v>
      </c>
      <c r="K256" s="103" t="str">
        <f aca="false">IFERROR(VLOOKUP($J256,$J$10:$K$13,2,0),"")</f>
        <v>NON DISTRIBUTOR</v>
      </c>
      <c r="L256" s="103" t="s">
        <v>26</v>
      </c>
      <c r="M256" s="104" t="n">
        <v>8</v>
      </c>
      <c r="N256" s="103" t="str">
        <f aca="false">IFERROR(VLOOKUP($M256,$M$3:$Q$14,2,0),"")</f>
        <v>In Renceng</v>
      </c>
      <c r="O256" s="103" t="str">
        <f aca="false">IFERROR(VLOOKUP($M256,$M$3:$Q$14,3,0),"")</f>
        <v>Renceng</v>
      </c>
      <c r="P256" s="104" t="n">
        <f aca="false">IFERROR(VLOOKUP($M256,$M$3:$Q$14,4,0),"")</f>
        <v>3</v>
      </c>
      <c r="Q256" s="103" t="n">
        <f aca="false">IFERROR(VLOOKUP($M256,$M$3:$Q$14,5,0),"")</f>
        <v>0</v>
      </c>
      <c r="R256" s="103" t="n">
        <v>6</v>
      </c>
      <c r="S256" s="105" t="n">
        <f aca="false">S255/6</f>
        <v>15542</v>
      </c>
      <c r="T256" s="106" t="n">
        <f aca="false">S256/1.11</f>
        <v>14001.8018018018</v>
      </c>
      <c r="U256" s="107" t="n">
        <v>14891</v>
      </c>
      <c r="V256" s="87" t="n">
        <f aca="false">U256-(U256*11%)</f>
        <v>13252.99</v>
      </c>
      <c r="W256" s="1" t="e">
        <f aca="false">VLOOKUP($G256,#REF!,2,0)</f>
        <v>#VALUE!</v>
      </c>
    </row>
    <row r="257" customFormat="false" ht="22.5" hidden="true" customHeight="true" outlineLevel="0" collapsed="false">
      <c r="A257" s="53"/>
      <c r="B257" s="53"/>
      <c r="C257" s="103" t="n">
        <v>89</v>
      </c>
      <c r="D257" s="103" t="n">
        <v>431532</v>
      </c>
      <c r="E257" s="103" t="s">
        <v>227</v>
      </c>
      <c r="F257" s="103" t="s">
        <v>223</v>
      </c>
      <c r="G257" s="103" t="s">
        <v>223</v>
      </c>
      <c r="H257" s="103"/>
      <c r="I257" s="103" t="s">
        <v>224</v>
      </c>
      <c r="J257" s="104" t="n">
        <v>3</v>
      </c>
      <c r="K257" s="103" t="str">
        <f aca="false">IFERROR(VLOOKUP($J257,$J$10:$K$13,2,0),"")</f>
        <v>NON DISTRIBUTOR</v>
      </c>
      <c r="L257" s="103" t="s">
        <v>26</v>
      </c>
      <c r="M257" s="104" t="n">
        <v>9</v>
      </c>
      <c r="N257" s="103" t="str">
        <f aca="false">IFERROR(VLOOKUP($M257,$M$3:$Q$14,2,0),"")</f>
        <v>In Pcs</v>
      </c>
      <c r="O257" s="103" t="str">
        <f aca="false">IFERROR(VLOOKUP($M257,$M$3:$Q$14,3,0),"")</f>
        <v>Pcs</v>
      </c>
      <c r="P257" s="104" t="n">
        <f aca="false">IFERROR(VLOOKUP($M257,$M$3:$Q$14,4,0),"")</f>
        <v>4</v>
      </c>
      <c r="Q257" s="103" t="str">
        <f aca="false">IFERROR(VLOOKUP($M257,$M$3:$Q$14,5,0),"")</f>
        <v>small</v>
      </c>
      <c r="R257" s="103" t="n">
        <v>60</v>
      </c>
      <c r="S257" s="105" t="n">
        <f aca="false">S256/10</f>
        <v>1554.2</v>
      </c>
      <c r="T257" s="106" t="n">
        <f aca="false">S257/1.11</f>
        <v>1400.18018018018</v>
      </c>
      <c r="U257" s="107" t="n">
        <v>1489</v>
      </c>
      <c r="V257" s="87" t="n">
        <f aca="false">U257-(U257*11%)</f>
        <v>1325.21</v>
      </c>
      <c r="W257" s="1" t="e">
        <f aca="false">VLOOKUP($G257,#REF!,2,0)</f>
        <v>#VALUE!</v>
      </c>
    </row>
    <row r="258" customFormat="false" ht="22.5" hidden="true" customHeight="true" outlineLevel="0" collapsed="false">
      <c r="A258" s="53"/>
      <c r="B258" s="53"/>
      <c r="C258" s="103" t="n">
        <v>90</v>
      </c>
      <c r="D258" s="103" t="n">
        <v>431530</v>
      </c>
      <c r="E258" s="103" t="s">
        <v>228</v>
      </c>
      <c r="F258" s="103" t="s">
        <v>223</v>
      </c>
      <c r="G258" s="103" t="s">
        <v>223</v>
      </c>
      <c r="H258" s="103"/>
      <c r="I258" s="103" t="s">
        <v>224</v>
      </c>
      <c r="J258" s="104" t="n">
        <v>3</v>
      </c>
      <c r="K258" s="103" t="str">
        <f aca="false">IFERROR(VLOOKUP($J258,$J$10:$K$13,2,0),"")</f>
        <v>NON DISTRIBUTOR</v>
      </c>
      <c r="L258" s="103" t="s">
        <v>26</v>
      </c>
      <c r="M258" s="104" t="n">
        <v>1</v>
      </c>
      <c r="N258" s="103" t="str">
        <f aca="false">IFERROR(VLOOKUP($M258,$M$3:$Q$14,2,0),"")</f>
        <v>In Carton</v>
      </c>
      <c r="O258" s="103" t="str">
        <f aca="false">IFERROR(VLOOKUP($M258,$M$3:$Q$14,3,0),"")</f>
        <v>Carton</v>
      </c>
      <c r="P258" s="104" t="n">
        <f aca="false">IFERROR(VLOOKUP($M258,$M$3:$Q$14,4,0),"")</f>
        <v>1</v>
      </c>
      <c r="Q258" s="103" t="str">
        <f aca="false">IFERROR(VLOOKUP($M258,$M$3:$Q$14,5,0),"")</f>
        <v>large</v>
      </c>
      <c r="R258" s="103" t="n">
        <v>1</v>
      </c>
      <c r="S258" s="105" t="n">
        <f aca="false">15542*6</f>
        <v>93252</v>
      </c>
      <c r="T258" s="106" t="n">
        <f aca="false">S258/1.11</f>
        <v>84010.8108108108</v>
      </c>
      <c r="U258" s="107" t="n">
        <v>89350</v>
      </c>
      <c r="V258" s="87" t="n">
        <f aca="false">U258-(U258*11%)</f>
        <v>79521.5</v>
      </c>
      <c r="W258" s="1" t="e">
        <f aca="false">VLOOKUP($G258,#REF!,2,0)</f>
        <v>#VALUE!</v>
      </c>
    </row>
    <row r="259" customFormat="false" ht="22.5" hidden="true" customHeight="true" outlineLevel="0" collapsed="false">
      <c r="A259" s="53"/>
      <c r="B259" s="53"/>
      <c r="C259" s="103" t="n">
        <v>90</v>
      </c>
      <c r="D259" s="103" t="n">
        <v>431530</v>
      </c>
      <c r="E259" s="103" t="s">
        <v>228</v>
      </c>
      <c r="F259" s="103" t="s">
        <v>223</v>
      </c>
      <c r="G259" s="103" t="s">
        <v>223</v>
      </c>
      <c r="H259" s="103"/>
      <c r="I259" s="103" t="s">
        <v>224</v>
      </c>
      <c r="J259" s="104" t="n">
        <v>3</v>
      </c>
      <c r="K259" s="103" t="str">
        <f aca="false">IFERROR(VLOOKUP($J259,$J$10:$K$13,2,0),"")</f>
        <v>NON DISTRIBUTOR</v>
      </c>
      <c r="L259" s="103" t="s">
        <v>26</v>
      </c>
      <c r="M259" s="104" t="n">
        <v>8</v>
      </c>
      <c r="N259" s="103" t="str">
        <f aca="false">IFERROR(VLOOKUP($M259,$M$3:$Q$14,2,0),"")</f>
        <v>In Renceng</v>
      </c>
      <c r="O259" s="103" t="str">
        <f aca="false">IFERROR(VLOOKUP($M259,$M$3:$Q$14,3,0),"")</f>
        <v>Renceng</v>
      </c>
      <c r="P259" s="104" t="n">
        <f aca="false">IFERROR(VLOOKUP($M259,$M$3:$Q$14,4,0),"")</f>
        <v>3</v>
      </c>
      <c r="Q259" s="103" t="n">
        <f aca="false">IFERROR(VLOOKUP($M259,$M$3:$Q$14,5,0),"")</f>
        <v>0</v>
      </c>
      <c r="R259" s="103" t="n">
        <v>6</v>
      </c>
      <c r="S259" s="105" t="n">
        <f aca="false">S258/6</f>
        <v>15542</v>
      </c>
      <c r="T259" s="106" t="n">
        <f aca="false">S259/1.11</f>
        <v>14001.8018018018</v>
      </c>
      <c r="U259" s="107" t="n">
        <v>14891</v>
      </c>
      <c r="V259" s="87" t="n">
        <f aca="false">U259-(U259*11%)</f>
        <v>13252.99</v>
      </c>
      <c r="W259" s="1" t="e">
        <f aca="false">VLOOKUP($G259,#REF!,2,0)</f>
        <v>#VALUE!</v>
      </c>
    </row>
    <row r="260" customFormat="false" ht="22.5" hidden="true" customHeight="true" outlineLevel="0" collapsed="false">
      <c r="A260" s="53"/>
      <c r="B260" s="53"/>
      <c r="C260" s="103" t="n">
        <v>90</v>
      </c>
      <c r="D260" s="103" t="n">
        <v>431530</v>
      </c>
      <c r="E260" s="103" t="s">
        <v>228</v>
      </c>
      <c r="F260" s="103" t="s">
        <v>223</v>
      </c>
      <c r="G260" s="103" t="s">
        <v>223</v>
      </c>
      <c r="H260" s="103"/>
      <c r="I260" s="103" t="s">
        <v>224</v>
      </c>
      <c r="J260" s="104" t="n">
        <v>3</v>
      </c>
      <c r="K260" s="103" t="str">
        <f aca="false">IFERROR(VLOOKUP($J260,$J$10:$K$13,2,0),"")</f>
        <v>NON DISTRIBUTOR</v>
      </c>
      <c r="L260" s="103" t="s">
        <v>26</v>
      </c>
      <c r="M260" s="104" t="n">
        <v>9</v>
      </c>
      <c r="N260" s="103" t="str">
        <f aca="false">IFERROR(VLOOKUP($M260,$M$3:$Q$14,2,0),"")</f>
        <v>In Pcs</v>
      </c>
      <c r="O260" s="103" t="str">
        <f aca="false">IFERROR(VLOOKUP($M260,$M$3:$Q$14,3,0),"")</f>
        <v>Pcs</v>
      </c>
      <c r="P260" s="104" t="n">
        <f aca="false">IFERROR(VLOOKUP($M260,$M$3:$Q$14,4,0),"")</f>
        <v>4</v>
      </c>
      <c r="Q260" s="103" t="str">
        <f aca="false">IFERROR(VLOOKUP($M260,$M$3:$Q$14,5,0),"")</f>
        <v>small</v>
      </c>
      <c r="R260" s="103" t="n">
        <v>60</v>
      </c>
      <c r="S260" s="105" t="n">
        <f aca="false">S259/10</f>
        <v>1554.2</v>
      </c>
      <c r="T260" s="106" t="n">
        <f aca="false">S260/1.11</f>
        <v>1400.18018018018</v>
      </c>
      <c r="U260" s="107" t="n">
        <v>1489</v>
      </c>
      <c r="V260" s="87" t="n">
        <f aca="false">U260-(U260*11%)</f>
        <v>1325.21</v>
      </c>
      <c r="W260" s="1" t="e">
        <f aca="false">VLOOKUP($G260,#REF!,2,0)</f>
        <v>#VALUE!</v>
      </c>
    </row>
    <row r="261" customFormat="false" ht="22.5" hidden="true" customHeight="true" outlineLevel="0" collapsed="false">
      <c r="A261" s="53"/>
      <c r="B261" s="53"/>
      <c r="C261" s="103" t="n">
        <v>91</v>
      </c>
      <c r="D261" s="103" t="n">
        <v>419710</v>
      </c>
      <c r="E261" s="103" t="s">
        <v>229</v>
      </c>
      <c r="F261" s="103" t="s">
        <v>223</v>
      </c>
      <c r="G261" s="103" t="s">
        <v>223</v>
      </c>
      <c r="H261" s="103"/>
      <c r="I261" s="103" t="s">
        <v>224</v>
      </c>
      <c r="J261" s="104" t="n">
        <v>3</v>
      </c>
      <c r="K261" s="103" t="str">
        <f aca="false">IFERROR(VLOOKUP($J261,$J$10:$K$13,2,0),"")</f>
        <v>NON DISTRIBUTOR</v>
      </c>
      <c r="L261" s="103" t="s">
        <v>26</v>
      </c>
      <c r="M261" s="104" t="n">
        <v>1</v>
      </c>
      <c r="N261" s="103" t="str">
        <f aca="false">IFERROR(VLOOKUP($M261,$M$3:$Q$14,2,0),"")</f>
        <v>In Carton</v>
      </c>
      <c r="O261" s="103" t="str">
        <f aca="false">IFERROR(VLOOKUP($M261,$M$3:$Q$14,3,0),"")</f>
        <v>Carton</v>
      </c>
      <c r="P261" s="104" t="n">
        <f aca="false">IFERROR(VLOOKUP($M261,$M$3:$Q$14,4,0),"")</f>
        <v>1</v>
      </c>
      <c r="Q261" s="103" t="str">
        <f aca="false">IFERROR(VLOOKUP($M261,$M$3:$Q$14,5,0),"")</f>
        <v>large</v>
      </c>
      <c r="R261" s="103" t="n">
        <v>1</v>
      </c>
      <c r="S261" s="105" t="n">
        <f aca="false">17000*6</f>
        <v>102000</v>
      </c>
      <c r="T261" s="106" t="n">
        <f aca="false">S261/1.11</f>
        <v>91891.8918918919</v>
      </c>
      <c r="U261" s="107" t="n">
        <v>97500</v>
      </c>
      <c r="V261" s="107" t="n">
        <f aca="false">U261-(U261*11%)</f>
        <v>86775</v>
      </c>
      <c r="W261" s="1" t="e">
        <f aca="false">VLOOKUP($G261,#REF!,2,0)</f>
        <v>#VALUE!</v>
      </c>
    </row>
    <row r="262" customFormat="false" ht="22.5" hidden="true" customHeight="true" outlineLevel="0" collapsed="false">
      <c r="A262" s="53"/>
      <c r="B262" s="53"/>
      <c r="C262" s="103" t="n">
        <v>91</v>
      </c>
      <c r="D262" s="103" t="n">
        <v>419710</v>
      </c>
      <c r="E262" s="103" t="s">
        <v>229</v>
      </c>
      <c r="F262" s="103" t="s">
        <v>223</v>
      </c>
      <c r="G262" s="103" t="s">
        <v>223</v>
      </c>
      <c r="H262" s="103"/>
      <c r="I262" s="103" t="s">
        <v>224</v>
      </c>
      <c r="J262" s="104" t="n">
        <v>3</v>
      </c>
      <c r="K262" s="103" t="str">
        <f aca="false">IFERROR(VLOOKUP($J262,$J$10:$K$13,2,0),"")</f>
        <v>NON DISTRIBUTOR</v>
      </c>
      <c r="L262" s="103" t="s">
        <v>26</v>
      </c>
      <c r="M262" s="104" t="n">
        <v>8</v>
      </c>
      <c r="N262" s="103" t="str">
        <f aca="false">IFERROR(VLOOKUP($M262,$M$3:$Q$14,2,0),"")</f>
        <v>In Renceng</v>
      </c>
      <c r="O262" s="103" t="str">
        <f aca="false">IFERROR(VLOOKUP($M262,$M$3:$Q$14,3,0),"")</f>
        <v>Renceng</v>
      </c>
      <c r="P262" s="104" t="n">
        <f aca="false">IFERROR(VLOOKUP($M262,$M$3:$Q$14,4,0),"")</f>
        <v>3</v>
      </c>
      <c r="Q262" s="103" t="n">
        <f aca="false">IFERROR(VLOOKUP($M262,$M$3:$Q$14,5,0),"")</f>
        <v>0</v>
      </c>
      <c r="R262" s="103" t="n">
        <v>6</v>
      </c>
      <c r="S262" s="105" t="n">
        <f aca="false">S261/6</f>
        <v>17000</v>
      </c>
      <c r="T262" s="106" t="n">
        <f aca="false">S262/1.11</f>
        <v>15315.3153153153</v>
      </c>
      <c r="U262" s="107" t="n">
        <v>16250</v>
      </c>
      <c r="V262" s="107" t="n">
        <f aca="false">U262-(U262*11%)</f>
        <v>14462.5</v>
      </c>
      <c r="W262" s="1" t="e">
        <f aca="false">VLOOKUP($G262,#REF!,2,0)</f>
        <v>#VALUE!</v>
      </c>
    </row>
    <row r="263" customFormat="false" ht="22.5" hidden="true" customHeight="true" outlineLevel="0" collapsed="false">
      <c r="A263" s="53"/>
      <c r="B263" s="53"/>
      <c r="C263" s="103" t="n">
        <v>91</v>
      </c>
      <c r="D263" s="103" t="n">
        <v>419710</v>
      </c>
      <c r="E263" s="103" t="s">
        <v>229</v>
      </c>
      <c r="F263" s="103" t="s">
        <v>223</v>
      </c>
      <c r="G263" s="103" t="s">
        <v>223</v>
      </c>
      <c r="H263" s="103"/>
      <c r="I263" s="103" t="s">
        <v>224</v>
      </c>
      <c r="J263" s="104" t="n">
        <v>3</v>
      </c>
      <c r="K263" s="103" t="str">
        <f aca="false">IFERROR(VLOOKUP($J263,$J$10:$K$13,2,0),"")</f>
        <v>NON DISTRIBUTOR</v>
      </c>
      <c r="L263" s="103" t="s">
        <v>26</v>
      </c>
      <c r="M263" s="104" t="n">
        <v>9</v>
      </c>
      <c r="N263" s="103" t="str">
        <f aca="false">IFERROR(VLOOKUP($M263,$M$3:$Q$14,2,0),"")</f>
        <v>In Pcs</v>
      </c>
      <c r="O263" s="103" t="str">
        <f aca="false">IFERROR(VLOOKUP($M263,$M$3:$Q$14,3,0),"")</f>
        <v>Pcs</v>
      </c>
      <c r="P263" s="104" t="n">
        <f aca="false">IFERROR(VLOOKUP($M263,$M$3:$Q$14,4,0),"")</f>
        <v>4</v>
      </c>
      <c r="Q263" s="103" t="str">
        <f aca="false">IFERROR(VLOOKUP($M263,$M$3:$Q$14,5,0),"")</f>
        <v>small</v>
      </c>
      <c r="R263" s="103" t="n">
        <v>60</v>
      </c>
      <c r="S263" s="105" t="n">
        <f aca="false">S262/10</f>
        <v>1700</v>
      </c>
      <c r="T263" s="106" t="n">
        <f aca="false">S263/1.11</f>
        <v>1531.53153153153</v>
      </c>
      <c r="U263" s="107" t="n">
        <v>1625</v>
      </c>
      <c r="V263" s="107" t="n">
        <f aca="false">U263-(U263*11%)</f>
        <v>1446.25</v>
      </c>
      <c r="W263" s="1" t="e">
        <f aca="false">VLOOKUP($G263,#REF!,2,0)</f>
        <v>#VALUE!</v>
      </c>
    </row>
    <row r="264" customFormat="false" ht="22.5" hidden="true" customHeight="true" outlineLevel="0" collapsed="false">
      <c r="A264" s="53"/>
      <c r="B264" s="53"/>
      <c r="C264" s="103" t="n">
        <v>92</v>
      </c>
      <c r="D264" s="103" t="n">
        <v>400582</v>
      </c>
      <c r="E264" s="103" t="s">
        <v>230</v>
      </c>
      <c r="F264" s="103" t="s">
        <v>223</v>
      </c>
      <c r="G264" s="103" t="s">
        <v>223</v>
      </c>
      <c r="H264" s="103"/>
      <c r="I264" s="103" t="s">
        <v>224</v>
      </c>
      <c r="J264" s="104" t="n">
        <v>3</v>
      </c>
      <c r="K264" s="103" t="str">
        <f aca="false">IFERROR(VLOOKUP($J264,$J$10:$K$13,2,0),"")</f>
        <v>NON DISTRIBUTOR</v>
      </c>
      <c r="L264" s="103" t="s">
        <v>26</v>
      </c>
      <c r="M264" s="104" t="n">
        <v>1</v>
      </c>
      <c r="N264" s="103" t="str">
        <f aca="false">IFERROR(VLOOKUP($M264,$M$3:$Q$14,2,0),"")</f>
        <v>In Carton</v>
      </c>
      <c r="O264" s="103" t="str">
        <f aca="false">IFERROR(VLOOKUP($M264,$M$3:$Q$14,3,0),"")</f>
        <v>Carton</v>
      </c>
      <c r="P264" s="104" t="n">
        <f aca="false">IFERROR(VLOOKUP($M264,$M$3:$Q$14,4,0),"")</f>
        <v>1</v>
      </c>
      <c r="Q264" s="103" t="str">
        <f aca="false">IFERROR(VLOOKUP($M264,$M$3:$Q$14,5,0),"")</f>
        <v>large</v>
      </c>
      <c r="R264" s="103" t="n">
        <v>1</v>
      </c>
      <c r="S264" s="105" t="n">
        <f aca="false">6*17000</f>
        <v>102000</v>
      </c>
      <c r="T264" s="106" t="n">
        <f aca="false">S264/1.11</f>
        <v>91891.8918918919</v>
      </c>
      <c r="U264" s="107" t="n">
        <v>97500</v>
      </c>
      <c r="V264" s="107" t="n">
        <f aca="false">U264-(U264*11%)</f>
        <v>86775</v>
      </c>
      <c r="W264" s="1" t="e">
        <f aca="false">VLOOKUP($G264,#REF!,2,0)</f>
        <v>#VALUE!</v>
      </c>
    </row>
    <row r="265" customFormat="false" ht="22.5" hidden="true" customHeight="true" outlineLevel="0" collapsed="false">
      <c r="A265" s="53"/>
      <c r="B265" s="53"/>
      <c r="C265" s="103" t="n">
        <v>92</v>
      </c>
      <c r="D265" s="103" t="n">
        <v>400582</v>
      </c>
      <c r="E265" s="103" t="s">
        <v>230</v>
      </c>
      <c r="F265" s="103" t="s">
        <v>223</v>
      </c>
      <c r="G265" s="103" t="s">
        <v>223</v>
      </c>
      <c r="H265" s="103"/>
      <c r="I265" s="103" t="s">
        <v>224</v>
      </c>
      <c r="J265" s="104" t="n">
        <v>3</v>
      </c>
      <c r="K265" s="103" t="str">
        <f aca="false">IFERROR(VLOOKUP($J265,$J$10:$K$13,2,0),"")</f>
        <v>NON DISTRIBUTOR</v>
      </c>
      <c r="L265" s="103" t="s">
        <v>26</v>
      </c>
      <c r="M265" s="104" t="n">
        <v>8</v>
      </c>
      <c r="N265" s="103" t="str">
        <f aca="false">IFERROR(VLOOKUP($M265,$M$3:$Q$14,2,0),"")</f>
        <v>In Renceng</v>
      </c>
      <c r="O265" s="103" t="str">
        <f aca="false">IFERROR(VLOOKUP($M265,$M$3:$Q$14,3,0),"")</f>
        <v>Renceng</v>
      </c>
      <c r="P265" s="104" t="n">
        <f aca="false">IFERROR(VLOOKUP($M265,$M$3:$Q$14,4,0),"")</f>
        <v>3</v>
      </c>
      <c r="Q265" s="103" t="n">
        <f aca="false">IFERROR(VLOOKUP($M265,$M$3:$Q$14,5,0),"")</f>
        <v>0</v>
      </c>
      <c r="R265" s="103" t="n">
        <v>6</v>
      </c>
      <c r="S265" s="105" t="n">
        <f aca="false">S264/6</f>
        <v>17000</v>
      </c>
      <c r="T265" s="106" t="n">
        <f aca="false">S265/1.11</f>
        <v>15315.3153153153</v>
      </c>
      <c r="U265" s="107" t="n">
        <v>16250</v>
      </c>
      <c r="V265" s="107" t="n">
        <f aca="false">U265-(U265*11%)</f>
        <v>14462.5</v>
      </c>
      <c r="W265" s="1" t="e">
        <f aca="false">VLOOKUP($G265,#REF!,2,0)</f>
        <v>#VALUE!</v>
      </c>
    </row>
    <row r="266" customFormat="false" ht="22.5" hidden="true" customHeight="true" outlineLevel="0" collapsed="false">
      <c r="A266" s="53"/>
      <c r="B266" s="53"/>
      <c r="C266" s="103" t="n">
        <v>92</v>
      </c>
      <c r="D266" s="103" t="n">
        <v>400582</v>
      </c>
      <c r="E266" s="103" t="s">
        <v>230</v>
      </c>
      <c r="F266" s="103" t="s">
        <v>223</v>
      </c>
      <c r="G266" s="103" t="s">
        <v>223</v>
      </c>
      <c r="H266" s="103"/>
      <c r="I266" s="103" t="s">
        <v>224</v>
      </c>
      <c r="J266" s="104" t="n">
        <v>3</v>
      </c>
      <c r="K266" s="103" t="str">
        <f aca="false">IFERROR(VLOOKUP($J266,$J$10:$K$13,2,0),"")</f>
        <v>NON DISTRIBUTOR</v>
      </c>
      <c r="L266" s="103" t="s">
        <v>26</v>
      </c>
      <c r="M266" s="104" t="n">
        <v>9</v>
      </c>
      <c r="N266" s="103" t="str">
        <f aca="false">IFERROR(VLOOKUP($M266,$M$3:$Q$14,2,0),"")</f>
        <v>In Pcs</v>
      </c>
      <c r="O266" s="103" t="str">
        <f aca="false">IFERROR(VLOOKUP($M266,$M$3:$Q$14,3,0),"")</f>
        <v>Pcs</v>
      </c>
      <c r="P266" s="104" t="n">
        <f aca="false">IFERROR(VLOOKUP($M266,$M$3:$Q$14,4,0),"")</f>
        <v>4</v>
      </c>
      <c r="Q266" s="103" t="str">
        <f aca="false">IFERROR(VLOOKUP($M266,$M$3:$Q$14,5,0),"")</f>
        <v>small</v>
      </c>
      <c r="R266" s="103" t="n">
        <v>60</v>
      </c>
      <c r="S266" s="105" t="n">
        <f aca="false">S265/10</f>
        <v>1700</v>
      </c>
      <c r="T266" s="106" t="n">
        <f aca="false">S266/1.11</f>
        <v>1531.53153153153</v>
      </c>
      <c r="U266" s="107" t="n">
        <v>1625</v>
      </c>
      <c r="V266" s="107" t="n">
        <f aca="false">U266-(U266*11%)</f>
        <v>1446.25</v>
      </c>
      <c r="W266" s="1" t="e">
        <f aca="false">VLOOKUP($G266,#REF!,2,0)</f>
        <v>#VALUE!</v>
      </c>
    </row>
    <row r="267" customFormat="false" ht="22.5" hidden="true" customHeight="true" outlineLevel="0" collapsed="false">
      <c r="A267" s="53"/>
      <c r="B267" s="53"/>
      <c r="C267" s="103" t="n">
        <v>93</v>
      </c>
      <c r="D267" s="103" t="n">
        <v>436739</v>
      </c>
      <c r="E267" s="103" t="s">
        <v>231</v>
      </c>
      <c r="F267" s="103" t="s">
        <v>223</v>
      </c>
      <c r="G267" s="103" t="s">
        <v>223</v>
      </c>
      <c r="H267" s="103"/>
      <c r="I267" s="103" t="s">
        <v>224</v>
      </c>
      <c r="J267" s="104" t="n">
        <v>3</v>
      </c>
      <c r="K267" s="103" t="str">
        <f aca="false">IFERROR(VLOOKUP($J267,$J$10:$K$13,2,0),"")</f>
        <v>NON DISTRIBUTOR</v>
      </c>
      <c r="L267" s="103" t="s">
        <v>26</v>
      </c>
      <c r="M267" s="104" t="n">
        <v>1</v>
      </c>
      <c r="N267" s="103" t="str">
        <f aca="false">IFERROR(VLOOKUP($M267,$M$3:$Q$14,2,0),"")</f>
        <v>In Carton</v>
      </c>
      <c r="O267" s="103" t="str">
        <f aca="false">IFERROR(VLOOKUP($M267,$M$3:$Q$14,3,0),"")</f>
        <v>Carton</v>
      </c>
      <c r="P267" s="104" t="n">
        <f aca="false">IFERROR(VLOOKUP($M267,$M$3:$Q$14,4,0),"")</f>
        <v>1</v>
      </c>
      <c r="Q267" s="103" t="str">
        <f aca="false">IFERROR(VLOOKUP($M267,$M$3:$Q$14,5,0),"")</f>
        <v>large</v>
      </c>
      <c r="R267" s="103" t="n">
        <v>1</v>
      </c>
      <c r="S267" s="105" t="n">
        <f aca="false">16542*6</f>
        <v>99252</v>
      </c>
      <c r="T267" s="106" t="n">
        <f aca="false">S267/1.11</f>
        <v>89416.2162162162</v>
      </c>
      <c r="U267" s="107" t="n">
        <v>97500</v>
      </c>
      <c r="V267" s="107" t="n">
        <f aca="false">U267-(U267*11%)</f>
        <v>86775</v>
      </c>
      <c r="W267" s="1" t="e">
        <f aca="false">VLOOKUP($G267,#REF!,2,0)</f>
        <v>#VALUE!</v>
      </c>
    </row>
    <row r="268" customFormat="false" ht="22.5" hidden="true" customHeight="true" outlineLevel="0" collapsed="false">
      <c r="A268" s="53"/>
      <c r="B268" s="53"/>
      <c r="C268" s="103" t="n">
        <v>93</v>
      </c>
      <c r="D268" s="103" t="n">
        <v>436740</v>
      </c>
      <c r="E268" s="103" t="s">
        <v>232</v>
      </c>
      <c r="F268" s="103" t="s">
        <v>223</v>
      </c>
      <c r="G268" s="103" t="s">
        <v>223</v>
      </c>
      <c r="H268" s="103"/>
      <c r="I268" s="103" t="s">
        <v>224</v>
      </c>
      <c r="J268" s="104" t="n">
        <v>3</v>
      </c>
      <c r="K268" s="103" t="str">
        <f aca="false">IFERROR(VLOOKUP($J268,$J$10:$K$13,2,0),"")</f>
        <v>NON DISTRIBUTOR</v>
      </c>
      <c r="L268" s="103" t="s">
        <v>26</v>
      </c>
      <c r="M268" s="104" t="n">
        <v>8</v>
      </c>
      <c r="N268" s="103" t="str">
        <f aca="false">IFERROR(VLOOKUP($M268,$M$3:$Q$14,2,0),"")</f>
        <v>In Renceng</v>
      </c>
      <c r="O268" s="103" t="str">
        <f aca="false">IFERROR(VLOOKUP($M268,$M$3:$Q$14,3,0),"")</f>
        <v>Renceng</v>
      </c>
      <c r="P268" s="104" t="n">
        <f aca="false">IFERROR(VLOOKUP($M268,$M$3:$Q$14,4,0),"")</f>
        <v>3</v>
      </c>
      <c r="Q268" s="103" t="n">
        <f aca="false">IFERROR(VLOOKUP($M268,$M$3:$Q$14,5,0),"")</f>
        <v>0</v>
      </c>
      <c r="R268" s="103" t="n">
        <v>6</v>
      </c>
      <c r="S268" s="105" t="n">
        <f aca="false">S267/6</f>
        <v>16542</v>
      </c>
      <c r="T268" s="106" t="n">
        <f aca="false">S268/1.11</f>
        <v>14902.7027027027</v>
      </c>
      <c r="U268" s="107" t="n">
        <v>16250</v>
      </c>
      <c r="V268" s="107" t="n">
        <f aca="false">U268-(U268*11%)</f>
        <v>14462.5</v>
      </c>
      <c r="W268" s="1" t="e">
        <f aca="false">VLOOKUP($G268,#REF!,2,0)</f>
        <v>#VALUE!</v>
      </c>
    </row>
    <row r="269" customFormat="false" ht="22.5" hidden="true" customHeight="true" outlineLevel="0" collapsed="false">
      <c r="A269" s="53"/>
      <c r="B269" s="53"/>
      <c r="C269" s="103" t="n">
        <v>93</v>
      </c>
      <c r="D269" s="103" t="n">
        <v>436741</v>
      </c>
      <c r="E269" s="103" t="s">
        <v>233</v>
      </c>
      <c r="F269" s="103" t="s">
        <v>223</v>
      </c>
      <c r="G269" s="103" t="s">
        <v>223</v>
      </c>
      <c r="H269" s="103"/>
      <c r="I269" s="103" t="s">
        <v>224</v>
      </c>
      <c r="J269" s="104" t="n">
        <v>3</v>
      </c>
      <c r="K269" s="103" t="str">
        <f aca="false">IFERROR(VLOOKUP($J269,$J$10:$K$13,2,0),"")</f>
        <v>NON DISTRIBUTOR</v>
      </c>
      <c r="L269" s="103" t="s">
        <v>26</v>
      </c>
      <c r="M269" s="104" t="n">
        <v>9</v>
      </c>
      <c r="N269" s="103" t="str">
        <f aca="false">IFERROR(VLOOKUP($M269,$M$3:$Q$14,2,0),"")</f>
        <v>In Pcs</v>
      </c>
      <c r="O269" s="103" t="str">
        <f aca="false">IFERROR(VLOOKUP($M269,$M$3:$Q$14,3,0),"")</f>
        <v>Pcs</v>
      </c>
      <c r="P269" s="104" t="n">
        <f aca="false">IFERROR(VLOOKUP($M269,$M$3:$Q$14,4,0),"")</f>
        <v>4</v>
      </c>
      <c r="Q269" s="103" t="str">
        <f aca="false">IFERROR(VLOOKUP($M269,$M$3:$Q$14,5,0),"")</f>
        <v>small</v>
      </c>
      <c r="R269" s="103" t="n">
        <v>60</v>
      </c>
      <c r="S269" s="105" t="n">
        <f aca="false">S268/10</f>
        <v>1654.2</v>
      </c>
      <c r="T269" s="106" t="n">
        <f aca="false">S269/1.11</f>
        <v>1490.27027027027</v>
      </c>
      <c r="U269" s="107" t="n">
        <v>1625</v>
      </c>
      <c r="V269" s="107" t="n">
        <f aca="false">U269-(U269*11%)</f>
        <v>1446.25</v>
      </c>
      <c r="W269" s="1" t="e">
        <f aca="false">VLOOKUP($G269,#REF!,2,0)</f>
        <v>#VALUE!</v>
      </c>
    </row>
    <row r="270" customFormat="false" ht="22.5" hidden="true" customHeight="true" outlineLevel="0" collapsed="false">
      <c r="A270" s="53"/>
      <c r="B270" s="53"/>
      <c r="C270" s="108" t="n">
        <v>94</v>
      </c>
      <c r="D270" s="108" t="n">
        <v>915314</v>
      </c>
      <c r="E270" s="108" t="s">
        <v>234</v>
      </c>
      <c r="F270" s="108" t="s">
        <v>235</v>
      </c>
      <c r="G270" s="108" t="s">
        <v>235</v>
      </c>
      <c r="H270" s="108"/>
      <c r="I270" s="108" t="s">
        <v>236</v>
      </c>
      <c r="J270" s="109" t="n">
        <v>3</v>
      </c>
      <c r="K270" s="108" t="str">
        <f aca="false">IFERROR(VLOOKUP($J270,$J$10:$K$13,2,0),"")</f>
        <v>NON DISTRIBUTOR</v>
      </c>
      <c r="L270" s="108" t="s">
        <v>26</v>
      </c>
      <c r="M270" s="109" t="n">
        <v>1</v>
      </c>
      <c r="N270" s="108" t="str">
        <f aca="false">IFERROR(VLOOKUP($M270,$M$3:$Q$14,2,0),"")</f>
        <v>In Carton</v>
      </c>
      <c r="O270" s="108" t="str">
        <f aca="false">IFERROR(VLOOKUP($M270,$M$3:$Q$14,3,0),"")</f>
        <v>Carton</v>
      </c>
      <c r="P270" s="109" t="n">
        <f aca="false">IFERROR(VLOOKUP($M270,$M$3:$Q$14,4,0),"")</f>
        <v>1</v>
      </c>
      <c r="Q270" s="108" t="str">
        <f aca="false">IFERROR(VLOOKUP($M270,$M$3:$Q$14,5,0),"")</f>
        <v>large</v>
      </c>
      <c r="R270" s="108" t="n">
        <v>1</v>
      </c>
      <c r="S270" s="110" t="n">
        <f aca="false">17000*6</f>
        <v>102000</v>
      </c>
      <c r="T270" s="111" t="n">
        <f aca="false">S270/1.11</f>
        <v>91891.8918918919</v>
      </c>
      <c r="U270" s="102" t="n">
        <f aca="false">V270+(V270*11%)</f>
        <v>95134.77</v>
      </c>
      <c r="V270" s="112" t="n">
        <v>85707</v>
      </c>
      <c r="W270" s="1" t="e">
        <f aca="false">VLOOKUP($G270,#REF!,2,0)</f>
        <v>#VALUE!</v>
      </c>
    </row>
    <row r="271" customFormat="false" ht="22.5" hidden="true" customHeight="true" outlineLevel="0" collapsed="false">
      <c r="A271" s="53"/>
      <c r="B271" s="53"/>
      <c r="C271" s="108" t="n">
        <v>94</v>
      </c>
      <c r="D271" s="108" t="n">
        <v>915314</v>
      </c>
      <c r="E271" s="108" t="s">
        <v>234</v>
      </c>
      <c r="F271" s="108" t="s">
        <v>235</v>
      </c>
      <c r="G271" s="108" t="s">
        <v>235</v>
      </c>
      <c r="H271" s="108"/>
      <c r="I271" s="108" t="s">
        <v>236</v>
      </c>
      <c r="J271" s="109" t="n">
        <v>3</v>
      </c>
      <c r="K271" s="108" t="str">
        <f aca="false">IFERROR(VLOOKUP($J271,$J$10:$K$13,2,0),"")</f>
        <v>NON DISTRIBUTOR</v>
      </c>
      <c r="L271" s="108" t="s">
        <v>26</v>
      </c>
      <c r="M271" s="109" t="n">
        <v>4</v>
      </c>
      <c r="N271" s="108" t="str">
        <f aca="false">IFERROR(VLOOKUP($M271,$M$3:$Q$14,2,0),"")</f>
        <v>In Pack</v>
      </c>
      <c r="O271" s="108" t="str">
        <f aca="false">IFERROR(VLOOKUP($M271,$M$3:$Q$14,3,0),"")</f>
        <v>Box</v>
      </c>
      <c r="P271" s="109" t="n">
        <f aca="false">IFERROR(VLOOKUP($M271,$M$3:$Q$14,4,0),"")</f>
        <v>2</v>
      </c>
      <c r="Q271" s="108" t="n">
        <f aca="false">IFERROR(VLOOKUP($M271,$M$3:$Q$14,5,0),"")</f>
        <v>0</v>
      </c>
      <c r="R271" s="108" t="n">
        <v>6</v>
      </c>
      <c r="S271" s="110" t="n">
        <f aca="false">S270/6</f>
        <v>17000</v>
      </c>
      <c r="T271" s="111" t="n">
        <f aca="false">S271/1.11</f>
        <v>15315.3153153153</v>
      </c>
      <c r="U271" s="112" t="n">
        <v>15855</v>
      </c>
      <c r="V271" s="112" t="n">
        <v>15642</v>
      </c>
      <c r="W271" s="1" t="e">
        <f aca="false">VLOOKUP($G271,#REF!,2,0)</f>
        <v>#VALUE!</v>
      </c>
    </row>
    <row r="272" customFormat="false" ht="22.5" hidden="true" customHeight="true" outlineLevel="0" collapsed="false">
      <c r="A272" s="53"/>
      <c r="B272" s="53"/>
      <c r="C272" s="108" t="n">
        <v>94</v>
      </c>
      <c r="D272" s="108" t="n">
        <v>915314</v>
      </c>
      <c r="E272" s="108" t="s">
        <v>234</v>
      </c>
      <c r="F272" s="108" t="s">
        <v>235</v>
      </c>
      <c r="G272" s="108" t="s">
        <v>235</v>
      </c>
      <c r="H272" s="108"/>
      <c r="I272" s="108" t="s">
        <v>236</v>
      </c>
      <c r="J272" s="109" t="n">
        <v>3</v>
      </c>
      <c r="K272" s="108" t="str">
        <f aca="false">IFERROR(VLOOKUP($J272,$J$10:$K$13,2,0),"")</f>
        <v>NON DISTRIBUTOR</v>
      </c>
      <c r="L272" s="108" t="s">
        <v>26</v>
      </c>
      <c r="M272" s="109" t="n">
        <v>9</v>
      </c>
      <c r="N272" s="108" t="str">
        <f aca="false">IFERROR(VLOOKUP($M272,$M$3:$Q$14,2,0),"")</f>
        <v>In Pcs</v>
      </c>
      <c r="O272" s="108" t="str">
        <f aca="false">IFERROR(VLOOKUP($M272,$M$3:$Q$14,3,0),"")</f>
        <v>Pcs</v>
      </c>
      <c r="P272" s="109" t="n">
        <f aca="false">IFERROR(VLOOKUP($M272,$M$3:$Q$14,4,0),"")</f>
        <v>4</v>
      </c>
      <c r="Q272" s="108" t="str">
        <f aca="false">IFERROR(VLOOKUP($M272,$M$3:$Q$14,5,0),"")</f>
        <v>small</v>
      </c>
      <c r="R272" s="108" t="n">
        <v>120</v>
      </c>
      <c r="S272" s="110" t="n">
        <f aca="false">S271/20</f>
        <v>850</v>
      </c>
      <c r="T272" s="111" t="n">
        <f aca="false">S272/1.11</f>
        <v>765.765765765766</v>
      </c>
      <c r="U272" s="112" t="n">
        <v>792</v>
      </c>
      <c r="V272" s="112" t="n">
        <v>782</v>
      </c>
      <c r="W272" s="1" t="e">
        <f aca="false">VLOOKUP($G272,#REF!,2,0)</f>
        <v>#VALUE!</v>
      </c>
    </row>
    <row r="273" customFormat="false" ht="22.5" hidden="true" customHeight="true" outlineLevel="0" collapsed="false">
      <c r="A273" s="53"/>
      <c r="B273" s="53"/>
      <c r="C273" s="108" t="n">
        <v>95</v>
      </c>
      <c r="D273" s="108" t="n">
        <v>915315</v>
      </c>
      <c r="E273" s="108" t="s">
        <v>237</v>
      </c>
      <c r="F273" s="108" t="s">
        <v>235</v>
      </c>
      <c r="G273" s="108" t="s">
        <v>235</v>
      </c>
      <c r="H273" s="108"/>
      <c r="I273" s="108" t="s">
        <v>236</v>
      </c>
      <c r="J273" s="109" t="n">
        <v>3</v>
      </c>
      <c r="K273" s="108" t="str">
        <f aca="false">IFERROR(VLOOKUP($J273,$J$10:$K$13,2,0),"")</f>
        <v>NON DISTRIBUTOR</v>
      </c>
      <c r="L273" s="108" t="s">
        <v>26</v>
      </c>
      <c r="M273" s="109" t="n">
        <v>1</v>
      </c>
      <c r="N273" s="108" t="str">
        <f aca="false">IFERROR(VLOOKUP($M273,$M$3:$Q$14,2,0),"")</f>
        <v>In Carton</v>
      </c>
      <c r="O273" s="108" t="str">
        <f aca="false">IFERROR(VLOOKUP($M273,$M$3:$Q$14,3,0),"")</f>
        <v>Carton</v>
      </c>
      <c r="P273" s="109" t="n">
        <f aca="false">IFERROR(VLOOKUP($M273,$M$3:$Q$14,4,0),"")</f>
        <v>1</v>
      </c>
      <c r="Q273" s="108" t="str">
        <f aca="false">IFERROR(VLOOKUP($M273,$M$3:$Q$14,5,0),"")</f>
        <v>large</v>
      </c>
      <c r="R273" s="108" t="n">
        <v>1</v>
      </c>
      <c r="S273" s="110" t="n">
        <f aca="false">17000*6</f>
        <v>102000</v>
      </c>
      <c r="T273" s="111" t="n">
        <f aca="false">S273/1.11</f>
        <v>91891.8918918919</v>
      </c>
      <c r="U273" s="102" t="n">
        <f aca="false">V273+(V273*11%)</f>
        <v>95134.77</v>
      </c>
      <c r="V273" s="112" t="n">
        <v>85707</v>
      </c>
      <c r="W273" s="1" t="e">
        <f aca="false">VLOOKUP($G273,#REF!,2,0)</f>
        <v>#VALUE!</v>
      </c>
    </row>
    <row r="274" customFormat="false" ht="22.5" hidden="true" customHeight="true" outlineLevel="0" collapsed="false">
      <c r="A274" s="53"/>
      <c r="B274" s="53"/>
      <c r="C274" s="108" t="n">
        <v>95</v>
      </c>
      <c r="D274" s="108" t="n">
        <v>915315</v>
      </c>
      <c r="E274" s="108" t="s">
        <v>237</v>
      </c>
      <c r="F274" s="108" t="s">
        <v>235</v>
      </c>
      <c r="G274" s="108" t="s">
        <v>235</v>
      </c>
      <c r="H274" s="108"/>
      <c r="I274" s="108" t="s">
        <v>236</v>
      </c>
      <c r="J274" s="109" t="n">
        <v>3</v>
      </c>
      <c r="K274" s="108" t="str">
        <f aca="false">IFERROR(VLOOKUP($J274,$J$10:$K$13,2,0),"")</f>
        <v>NON DISTRIBUTOR</v>
      </c>
      <c r="L274" s="108" t="s">
        <v>26</v>
      </c>
      <c r="M274" s="109" t="n">
        <v>4</v>
      </c>
      <c r="N274" s="108" t="str">
        <f aca="false">IFERROR(VLOOKUP($M274,$M$3:$Q$14,2,0),"")</f>
        <v>In Pack</v>
      </c>
      <c r="O274" s="108" t="str">
        <f aca="false">IFERROR(VLOOKUP($M274,$M$3:$Q$14,3,0),"")</f>
        <v>Box</v>
      </c>
      <c r="P274" s="109" t="n">
        <f aca="false">IFERROR(VLOOKUP($M274,$M$3:$Q$14,4,0),"")</f>
        <v>2</v>
      </c>
      <c r="Q274" s="108" t="n">
        <f aca="false">IFERROR(VLOOKUP($M274,$M$3:$Q$14,5,0),"")</f>
        <v>0</v>
      </c>
      <c r="R274" s="108" t="n">
        <v>6</v>
      </c>
      <c r="S274" s="110" t="n">
        <f aca="false">S273/6</f>
        <v>17000</v>
      </c>
      <c r="T274" s="111" t="n">
        <f aca="false">S274/1.11</f>
        <v>15315.3153153153</v>
      </c>
      <c r="U274" s="112" t="n">
        <v>15855</v>
      </c>
      <c r="V274" s="112" t="n">
        <v>15642</v>
      </c>
      <c r="W274" s="1" t="e">
        <f aca="false">VLOOKUP($G274,#REF!,2,0)</f>
        <v>#VALUE!</v>
      </c>
    </row>
    <row r="275" customFormat="false" ht="22.5" hidden="true" customHeight="true" outlineLevel="0" collapsed="false">
      <c r="A275" s="53"/>
      <c r="B275" s="53"/>
      <c r="C275" s="108" t="n">
        <v>95</v>
      </c>
      <c r="D275" s="108" t="n">
        <v>915315</v>
      </c>
      <c r="E275" s="108" t="s">
        <v>237</v>
      </c>
      <c r="F275" s="108" t="s">
        <v>235</v>
      </c>
      <c r="G275" s="108" t="s">
        <v>235</v>
      </c>
      <c r="H275" s="108"/>
      <c r="I275" s="108" t="s">
        <v>236</v>
      </c>
      <c r="J275" s="109" t="n">
        <v>3</v>
      </c>
      <c r="K275" s="108" t="str">
        <f aca="false">IFERROR(VLOOKUP($J275,$J$10:$K$13,2,0),"")</f>
        <v>NON DISTRIBUTOR</v>
      </c>
      <c r="L275" s="108" t="s">
        <v>26</v>
      </c>
      <c r="M275" s="109" t="n">
        <v>9</v>
      </c>
      <c r="N275" s="108" t="str">
        <f aca="false">IFERROR(VLOOKUP($M275,$M$3:$Q$14,2,0),"")</f>
        <v>In Pcs</v>
      </c>
      <c r="O275" s="108" t="str">
        <f aca="false">IFERROR(VLOOKUP($M275,$M$3:$Q$14,3,0),"")</f>
        <v>Pcs</v>
      </c>
      <c r="P275" s="109" t="n">
        <f aca="false">IFERROR(VLOOKUP($M275,$M$3:$Q$14,4,0),"")</f>
        <v>4</v>
      </c>
      <c r="Q275" s="108" t="str">
        <f aca="false">IFERROR(VLOOKUP($M275,$M$3:$Q$14,5,0),"")</f>
        <v>small</v>
      </c>
      <c r="R275" s="108" t="n">
        <v>120</v>
      </c>
      <c r="S275" s="110" t="n">
        <f aca="false">S274/20</f>
        <v>850</v>
      </c>
      <c r="T275" s="111" t="n">
        <f aca="false">S275/1.11</f>
        <v>765.765765765766</v>
      </c>
      <c r="U275" s="112" t="n">
        <v>792</v>
      </c>
      <c r="V275" s="112" t="n">
        <v>782</v>
      </c>
      <c r="W275" s="1" t="e">
        <f aca="false">VLOOKUP($G275,#REF!,2,0)</f>
        <v>#VALUE!</v>
      </c>
    </row>
    <row r="276" customFormat="false" ht="22.5" hidden="true" customHeight="true" outlineLevel="0" collapsed="false">
      <c r="A276" s="53"/>
      <c r="B276" s="53"/>
      <c r="C276" s="108" t="n">
        <v>96</v>
      </c>
      <c r="D276" s="108" t="n">
        <v>915316</v>
      </c>
      <c r="E276" s="108" t="s">
        <v>238</v>
      </c>
      <c r="F276" s="108" t="s">
        <v>235</v>
      </c>
      <c r="G276" s="108" t="s">
        <v>235</v>
      </c>
      <c r="H276" s="108"/>
      <c r="I276" s="108" t="s">
        <v>236</v>
      </c>
      <c r="J276" s="109" t="n">
        <v>3</v>
      </c>
      <c r="K276" s="108" t="str">
        <f aca="false">IFERROR(VLOOKUP($J276,$J$10:$K$13,2,0),"")</f>
        <v>NON DISTRIBUTOR</v>
      </c>
      <c r="L276" s="108" t="s">
        <v>26</v>
      </c>
      <c r="M276" s="109" t="n">
        <v>1</v>
      </c>
      <c r="N276" s="108" t="str">
        <f aca="false">IFERROR(VLOOKUP($M276,$M$3:$Q$14,2,0),"")</f>
        <v>In Carton</v>
      </c>
      <c r="O276" s="108" t="str">
        <f aca="false">IFERROR(VLOOKUP($M276,$M$3:$Q$14,3,0),"")</f>
        <v>Carton</v>
      </c>
      <c r="P276" s="109" t="n">
        <f aca="false">IFERROR(VLOOKUP($M276,$M$3:$Q$14,4,0),"")</f>
        <v>1</v>
      </c>
      <c r="Q276" s="108" t="str">
        <f aca="false">IFERROR(VLOOKUP($M276,$M$3:$Q$14,5,0),"")</f>
        <v>large</v>
      </c>
      <c r="R276" s="108" t="n">
        <v>1</v>
      </c>
      <c r="S276" s="110" t="n">
        <f aca="false">17000*6</f>
        <v>102000</v>
      </c>
      <c r="T276" s="111" t="n">
        <f aca="false">S276/1.11</f>
        <v>91891.8918918919</v>
      </c>
      <c r="U276" s="102" t="n">
        <f aca="false">V276+(V276*11%)</f>
        <v>95134.77</v>
      </c>
      <c r="V276" s="112" t="n">
        <v>85707</v>
      </c>
      <c r="W276" s="1" t="e">
        <f aca="false">VLOOKUP($G276,#REF!,2,0)</f>
        <v>#VALUE!</v>
      </c>
    </row>
    <row r="277" customFormat="false" ht="22.5" hidden="true" customHeight="true" outlineLevel="0" collapsed="false">
      <c r="A277" s="53"/>
      <c r="B277" s="53"/>
      <c r="C277" s="108" t="n">
        <v>96</v>
      </c>
      <c r="D277" s="108" t="n">
        <v>915316</v>
      </c>
      <c r="E277" s="108" t="s">
        <v>238</v>
      </c>
      <c r="F277" s="108" t="s">
        <v>235</v>
      </c>
      <c r="G277" s="108" t="s">
        <v>235</v>
      </c>
      <c r="H277" s="108"/>
      <c r="I277" s="108" t="s">
        <v>236</v>
      </c>
      <c r="J277" s="109" t="n">
        <v>3</v>
      </c>
      <c r="K277" s="108" t="str">
        <f aca="false">IFERROR(VLOOKUP($J277,$J$10:$K$13,2,0),"")</f>
        <v>NON DISTRIBUTOR</v>
      </c>
      <c r="L277" s="108" t="s">
        <v>26</v>
      </c>
      <c r="M277" s="109" t="n">
        <v>4</v>
      </c>
      <c r="N277" s="108" t="str">
        <f aca="false">IFERROR(VLOOKUP($M277,$M$3:$Q$14,2,0),"")</f>
        <v>In Pack</v>
      </c>
      <c r="O277" s="108" t="str">
        <f aca="false">IFERROR(VLOOKUP($M277,$M$3:$Q$14,3,0),"")</f>
        <v>Box</v>
      </c>
      <c r="P277" s="109" t="n">
        <f aca="false">IFERROR(VLOOKUP($M277,$M$3:$Q$14,4,0),"")</f>
        <v>2</v>
      </c>
      <c r="Q277" s="108" t="n">
        <f aca="false">IFERROR(VLOOKUP($M277,$M$3:$Q$14,5,0),"")</f>
        <v>0</v>
      </c>
      <c r="R277" s="108" t="n">
        <v>6</v>
      </c>
      <c r="S277" s="110" t="n">
        <f aca="false">S276/6</f>
        <v>17000</v>
      </c>
      <c r="T277" s="111" t="n">
        <f aca="false">S277/1.11</f>
        <v>15315.3153153153</v>
      </c>
      <c r="U277" s="112" t="n">
        <v>15855</v>
      </c>
      <c r="V277" s="112" t="n">
        <v>15642</v>
      </c>
      <c r="W277" s="1" t="e">
        <f aca="false">VLOOKUP($G277,#REF!,2,0)</f>
        <v>#VALUE!</v>
      </c>
    </row>
    <row r="278" customFormat="false" ht="22.5" hidden="true" customHeight="true" outlineLevel="0" collapsed="false">
      <c r="A278" s="53"/>
      <c r="B278" s="53"/>
      <c r="C278" s="108" t="n">
        <v>96</v>
      </c>
      <c r="D278" s="108" t="n">
        <v>915316</v>
      </c>
      <c r="E278" s="108" t="s">
        <v>238</v>
      </c>
      <c r="F278" s="108" t="s">
        <v>235</v>
      </c>
      <c r="G278" s="108" t="s">
        <v>235</v>
      </c>
      <c r="H278" s="108"/>
      <c r="I278" s="108" t="s">
        <v>236</v>
      </c>
      <c r="J278" s="109" t="n">
        <v>3</v>
      </c>
      <c r="K278" s="108" t="str">
        <f aca="false">IFERROR(VLOOKUP($J278,$J$10:$K$13,2,0),"")</f>
        <v>NON DISTRIBUTOR</v>
      </c>
      <c r="L278" s="108" t="s">
        <v>26</v>
      </c>
      <c r="M278" s="109" t="n">
        <v>9</v>
      </c>
      <c r="N278" s="108" t="str">
        <f aca="false">IFERROR(VLOOKUP($M278,$M$3:$Q$14,2,0),"")</f>
        <v>In Pcs</v>
      </c>
      <c r="O278" s="108" t="str">
        <f aca="false">IFERROR(VLOOKUP($M278,$M$3:$Q$14,3,0),"")</f>
        <v>Pcs</v>
      </c>
      <c r="P278" s="109" t="n">
        <f aca="false">IFERROR(VLOOKUP($M278,$M$3:$Q$14,4,0),"")</f>
        <v>4</v>
      </c>
      <c r="Q278" s="108" t="str">
        <f aca="false">IFERROR(VLOOKUP($M278,$M$3:$Q$14,5,0),"")</f>
        <v>small</v>
      </c>
      <c r="R278" s="108" t="n">
        <v>120</v>
      </c>
      <c r="S278" s="110" t="n">
        <f aca="false">S277/20</f>
        <v>850</v>
      </c>
      <c r="T278" s="111" t="n">
        <f aca="false">S278/1.11</f>
        <v>765.765765765766</v>
      </c>
      <c r="U278" s="112" t="n">
        <v>792</v>
      </c>
      <c r="V278" s="112" t="n">
        <v>782</v>
      </c>
      <c r="W278" s="1" t="e">
        <f aca="false">VLOOKUP($G278,#REF!,2,0)</f>
        <v>#VALUE!</v>
      </c>
    </row>
    <row r="279" customFormat="false" ht="22.5" hidden="true" customHeight="true" outlineLevel="0" collapsed="false">
      <c r="A279" s="53"/>
      <c r="B279" s="53"/>
      <c r="C279" s="108" t="n">
        <v>97</v>
      </c>
      <c r="D279" s="108" t="n">
        <v>931108</v>
      </c>
      <c r="E279" s="108" t="s">
        <v>239</v>
      </c>
      <c r="F279" s="108" t="s">
        <v>235</v>
      </c>
      <c r="G279" s="108" t="s">
        <v>235</v>
      </c>
      <c r="H279" s="108"/>
      <c r="I279" s="108" t="s">
        <v>236</v>
      </c>
      <c r="J279" s="109" t="n">
        <v>3</v>
      </c>
      <c r="K279" s="108" t="str">
        <f aca="false">IFERROR(VLOOKUP($J279,$J$10:$K$13,2,0),"")</f>
        <v>NON DISTRIBUTOR</v>
      </c>
      <c r="L279" s="108" t="s">
        <v>26</v>
      </c>
      <c r="M279" s="109" t="n">
        <v>1</v>
      </c>
      <c r="N279" s="108" t="str">
        <f aca="false">IFERROR(VLOOKUP($M279,$M$3:$Q$14,2,0),"")</f>
        <v>In Carton</v>
      </c>
      <c r="O279" s="108" t="str">
        <f aca="false">IFERROR(VLOOKUP($M279,$M$3:$Q$14,3,0),"")</f>
        <v>Carton</v>
      </c>
      <c r="P279" s="109" t="n">
        <f aca="false">IFERROR(VLOOKUP($M279,$M$3:$Q$14,4,0),"")</f>
        <v>1</v>
      </c>
      <c r="Q279" s="108" t="str">
        <f aca="false">IFERROR(VLOOKUP($M279,$M$3:$Q$14,5,0),"")</f>
        <v>large</v>
      </c>
      <c r="R279" s="108" t="n">
        <v>1</v>
      </c>
      <c r="S279" s="110" t="n">
        <f aca="false">16400*4</f>
        <v>65600</v>
      </c>
      <c r="T279" s="111" t="n">
        <f aca="false">S279/1.11</f>
        <v>59099.0990990991</v>
      </c>
      <c r="U279" s="102" t="n">
        <f aca="false">V279+(V279*11%)</f>
        <v>60361.8</v>
      </c>
      <c r="V279" s="112" t="n">
        <v>54380</v>
      </c>
      <c r="W279" s="1" t="e">
        <f aca="false">VLOOKUP($G279,#REF!,2,0)</f>
        <v>#VALUE!</v>
      </c>
    </row>
    <row r="280" customFormat="false" ht="22.5" hidden="true" customHeight="true" outlineLevel="0" collapsed="false">
      <c r="A280" s="53"/>
      <c r="B280" s="53"/>
      <c r="C280" s="108" t="n">
        <v>97</v>
      </c>
      <c r="D280" s="108" t="n">
        <v>931108</v>
      </c>
      <c r="E280" s="108" t="s">
        <v>239</v>
      </c>
      <c r="F280" s="108" t="s">
        <v>235</v>
      </c>
      <c r="G280" s="108" t="s">
        <v>235</v>
      </c>
      <c r="H280" s="108"/>
      <c r="I280" s="108" t="s">
        <v>236</v>
      </c>
      <c r="J280" s="109" t="n">
        <v>3</v>
      </c>
      <c r="K280" s="108" t="str">
        <f aca="false">IFERROR(VLOOKUP($J280,$J$10:$K$13,2,0),"")</f>
        <v>NON DISTRIBUTOR</v>
      </c>
      <c r="L280" s="108" t="s">
        <v>26</v>
      </c>
      <c r="M280" s="109" t="n">
        <v>8</v>
      </c>
      <c r="N280" s="108" t="str">
        <f aca="false">IFERROR(VLOOKUP($M280,$M$3:$Q$14,2,0),"")</f>
        <v>In Renceng</v>
      </c>
      <c r="O280" s="108" t="str">
        <f aca="false">IFERROR(VLOOKUP($M280,$M$3:$Q$14,3,0),"")</f>
        <v>Renceng</v>
      </c>
      <c r="P280" s="109" t="n">
        <f aca="false">IFERROR(VLOOKUP($M280,$M$3:$Q$14,4,0),"")</f>
        <v>3</v>
      </c>
      <c r="Q280" s="108" t="n">
        <f aca="false">IFERROR(VLOOKUP($M280,$M$3:$Q$14,5,0),"")</f>
        <v>0</v>
      </c>
      <c r="R280" s="108" t="n">
        <v>4</v>
      </c>
      <c r="S280" s="110" t="n">
        <f aca="false">S279/4</f>
        <v>16400</v>
      </c>
      <c r="T280" s="111" t="n">
        <f aca="false">S280/1.11</f>
        <v>14774.7747747748</v>
      </c>
      <c r="U280" s="112" t="n">
        <v>15090</v>
      </c>
      <c r="V280" s="112" t="n">
        <v>13595</v>
      </c>
      <c r="W280" s="1" t="e">
        <f aca="false">VLOOKUP($G280,#REF!,2,0)</f>
        <v>#VALUE!</v>
      </c>
    </row>
    <row r="281" customFormat="false" ht="22.5" hidden="true" customHeight="true" outlineLevel="0" collapsed="false">
      <c r="A281" s="53"/>
      <c r="B281" s="53"/>
      <c r="C281" s="108" t="n">
        <v>97</v>
      </c>
      <c r="D281" s="108" t="n">
        <v>931108</v>
      </c>
      <c r="E281" s="108" t="s">
        <v>239</v>
      </c>
      <c r="F281" s="108" t="s">
        <v>235</v>
      </c>
      <c r="G281" s="108" t="s">
        <v>235</v>
      </c>
      <c r="H281" s="108"/>
      <c r="I281" s="108" t="s">
        <v>236</v>
      </c>
      <c r="J281" s="109" t="n">
        <v>3</v>
      </c>
      <c r="K281" s="108" t="str">
        <f aca="false">IFERROR(VLOOKUP($J281,$J$10:$K$13,2,0),"")</f>
        <v>NON DISTRIBUTOR</v>
      </c>
      <c r="L281" s="108" t="s">
        <v>26</v>
      </c>
      <c r="M281" s="109" t="n">
        <v>9</v>
      </c>
      <c r="N281" s="108" t="str">
        <f aca="false">IFERROR(VLOOKUP($M281,$M$3:$Q$14,2,0),"")</f>
        <v>In Pcs</v>
      </c>
      <c r="O281" s="108" t="str">
        <f aca="false">IFERROR(VLOOKUP($M281,$M$3:$Q$14,3,0),"")</f>
        <v>Pcs</v>
      </c>
      <c r="P281" s="109" t="n">
        <f aca="false">IFERROR(VLOOKUP($M281,$M$3:$Q$14,4,0),"")</f>
        <v>4</v>
      </c>
      <c r="Q281" s="108" t="str">
        <f aca="false">IFERROR(VLOOKUP($M281,$M$3:$Q$14,5,0),"")</f>
        <v>small</v>
      </c>
      <c r="R281" s="108" t="n">
        <v>40</v>
      </c>
      <c r="S281" s="110" t="n">
        <f aca="false">S280/10</f>
        <v>1640</v>
      </c>
      <c r="T281" s="111" t="n">
        <f aca="false">S281/1.11</f>
        <v>1477.47747747748</v>
      </c>
      <c r="U281" s="112" t="n">
        <v>1509</v>
      </c>
      <c r="V281" s="112" t="n">
        <v>1359</v>
      </c>
      <c r="W281" s="1" t="e">
        <f aca="false">VLOOKUP($G281,#REF!,2,0)</f>
        <v>#VALUE!</v>
      </c>
    </row>
    <row r="282" customFormat="false" ht="22.5" hidden="true" customHeight="true" outlineLevel="0" collapsed="false">
      <c r="A282" s="53"/>
      <c r="B282" s="53"/>
      <c r="C282" s="108" t="n">
        <v>98</v>
      </c>
      <c r="D282" s="108" t="n">
        <v>931109</v>
      </c>
      <c r="E282" s="108" t="s">
        <v>240</v>
      </c>
      <c r="F282" s="108" t="s">
        <v>235</v>
      </c>
      <c r="G282" s="108" t="s">
        <v>235</v>
      </c>
      <c r="H282" s="108"/>
      <c r="I282" s="108" t="s">
        <v>236</v>
      </c>
      <c r="J282" s="109" t="n">
        <v>3</v>
      </c>
      <c r="K282" s="108" t="str">
        <f aca="false">IFERROR(VLOOKUP($J282,$J$10:$K$13,2,0),"")</f>
        <v>NON DISTRIBUTOR</v>
      </c>
      <c r="L282" s="108" t="s">
        <v>26</v>
      </c>
      <c r="M282" s="109" t="n">
        <v>1</v>
      </c>
      <c r="N282" s="108" t="str">
        <f aca="false">IFERROR(VLOOKUP($M282,$M$3:$Q$14,2,0),"")</f>
        <v>In Carton</v>
      </c>
      <c r="O282" s="108" t="str">
        <f aca="false">IFERROR(VLOOKUP($M282,$M$3:$Q$14,3,0),"")</f>
        <v>Carton</v>
      </c>
      <c r="P282" s="109" t="n">
        <f aca="false">IFERROR(VLOOKUP($M282,$M$3:$Q$14,4,0),"")</f>
        <v>1</v>
      </c>
      <c r="Q282" s="108" t="str">
        <f aca="false">IFERROR(VLOOKUP($M282,$M$3:$Q$14,5,0),"")</f>
        <v>large</v>
      </c>
      <c r="R282" s="108" t="n">
        <v>1</v>
      </c>
      <c r="S282" s="110" t="n">
        <f aca="false">16400*4</f>
        <v>65600</v>
      </c>
      <c r="T282" s="111" t="n">
        <f aca="false">S282/1.11</f>
        <v>59099.0990990991</v>
      </c>
      <c r="U282" s="102" t="n">
        <f aca="false">V282+(V282*11%)</f>
        <v>60361.8</v>
      </c>
      <c r="V282" s="112" t="n">
        <v>54380</v>
      </c>
      <c r="W282" s="1" t="e">
        <f aca="false">VLOOKUP($G282,#REF!,2,0)</f>
        <v>#VALUE!</v>
      </c>
    </row>
    <row r="283" customFormat="false" ht="22.5" hidden="true" customHeight="true" outlineLevel="0" collapsed="false">
      <c r="A283" s="53"/>
      <c r="B283" s="53"/>
      <c r="C283" s="108" t="n">
        <v>98</v>
      </c>
      <c r="D283" s="108" t="n">
        <v>931109</v>
      </c>
      <c r="E283" s="108" t="s">
        <v>240</v>
      </c>
      <c r="F283" s="108" t="s">
        <v>235</v>
      </c>
      <c r="G283" s="108" t="s">
        <v>235</v>
      </c>
      <c r="H283" s="108"/>
      <c r="I283" s="108" t="s">
        <v>236</v>
      </c>
      <c r="J283" s="109" t="n">
        <v>3</v>
      </c>
      <c r="K283" s="108" t="str">
        <f aca="false">IFERROR(VLOOKUP($J283,$J$10:$K$13,2,0),"")</f>
        <v>NON DISTRIBUTOR</v>
      </c>
      <c r="L283" s="108" t="s">
        <v>26</v>
      </c>
      <c r="M283" s="109" t="n">
        <v>8</v>
      </c>
      <c r="N283" s="108" t="str">
        <f aca="false">IFERROR(VLOOKUP($M283,$M$3:$Q$14,2,0),"")</f>
        <v>In Renceng</v>
      </c>
      <c r="O283" s="108" t="str">
        <f aca="false">IFERROR(VLOOKUP($M283,$M$3:$Q$14,3,0),"")</f>
        <v>Renceng</v>
      </c>
      <c r="P283" s="109" t="n">
        <f aca="false">IFERROR(VLOOKUP($M283,$M$3:$Q$14,4,0),"")</f>
        <v>3</v>
      </c>
      <c r="Q283" s="108" t="n">
        <f aca="false">IFERROR(VLOOKUP($M283,$M$3:$Q$14,5,0),"")</f>
        <v>0</v>
      </c>
      <c r="R283" s="108" t="n">
        <v>4</v>
      </c>
      <c r="S283" s="110" t="n">
        <f aca="false">S282/4</f>
        <v>16400</v>
      </c>
      <c r="T283" s="111" t="n">
        <f aca="false">S283/1.11</f>
        <v>14774.7747747748</v>
      </c>
      <c r="U283" s="112" t="n">
        <v>15090</v>
      </c>
      <c r="V283" s="112" t="n">
        <v>13595</v>
      </c>
      <c r="W283" s="1" t="e">
        <f aca="false">VLOOKUP($G283,#REF!,2,0)</f>
        <v>#VALUE!</v>
      </c>
    </row>
    <row r="284" customFormat="false" ht="22.5" hidden="true" customHeight="true" outlineLevel="0" collapsed="false">
      <c r="A284" s="53"/>
      <c r="B284" s="53"/>
      <c r="C284" s="108" t="n">
        <v>98</v>
      </c>
      <c r="D284" s="108" t="n">
        <v>931109</v>
      </c>
      <c r="E284" s="108" t="s">
        <v>240</v>
      </c>
      <c r="F284" s="108" t="s">
        <v>235</v>
      </c>
      <c r="G284" s="108" t="s">
        <v>235</v>
      </c>
      <c r="H284" s="108"/>
      <c r="I284" s="108" t="s">
        <v>236</v>
      </c>
      <c r="J284" s="109" t="n">
        <v>3</v>
      </c>
      <c r="K284" s="108" t="str">
        <f aca="false">IFERROR(VLOOKUP($J284,$J$10:$K$13,2,0),"")</f>
        <v>NON DISTRIBUTOR</v>
      </c>
      <c r="L284" s="108" t="s">
        <v>26</v>
      </c>
      <c r="M284" s="109" t="n">
        <v>9</v>
      </c>
      <c r="N284" s="108" t="str">
        <f aca="false">IFERROR(VLOOKUP($M284,$M$3:$Q$14,2,0),"")</f>
        <v>In Pcs</v>
      </c>
      <c r="O284" s="108" t="str">
        <f aca="false">IFERROR(VLOOKUP($M284,$M$3:$Q$14,3,0),"")</f>
        <v>Pcs</v>
      </c>
      <c r="P284" s="109" t="n">
        <f aca="false">IFERROR(VLOOKUP($M284,$M$3:$Q$14,4,0),"")</f>
        <v>4</v>
      </c>
      <c r="Q284" s="108" t="str">
        <f aca="false">IFERROR(VLOOKUP($M284,$M$3:$Q$14,5,0),"")</f>
        <v>small</v>
      </c>
      <c r="R284" s="108" t="n">
        <v>40</v>
      </c>
      <c r="S284" s="110" t="n">
        <f aca="false">S283/10</f>
        <v>1640</v>
      </c>
      <c r="T284" s="111" t="n">
        <f aca="false">S284/1.11</f>
        <v>1477.47747747748</v>
      </c>
      <c r="U284" s="112" t="n">
        <v>1509</v>
      </c>
      <c r="V284" s="112" t="n">
        <v>1359</v>
      </c>
      <c r="W284" s="1" t="e">
        <f aca="false">VLOOKUP($G284,#REF!,2,0)</f>
        <v>#VALUE!</v>
      </c>
    </row>
    <row r="285" customFormat="false" ht="22.5" hidden="true" customHeight="true" outlineLevel="0" collapsed="false">
      <c r="A285" s="53"/>
      <c r="B285" s="53"/>
      <c r="C285" s="108" t="n">
        <v>99</v>
      </c>
      <c r="D285" s="108" t="n">
        <v>931115</v>
      </c>
      <c r="E285" s="108" t="s">
        <v>241</v>
      </c>
      <c r="F285" s="108" t="s">
        <v>235</v>
      </c>
      <c r="G285" s="108" t="s">
        <v>235</v>
      </c>
      <c r="H285" s="108"/>
      <c r="I285" s="108" t="s">
        <v>236</v>
      </c>
      <c r="J285" s="109" t="n">
        <v>3</v>
      </c>
      <c r="K285" s="108" t="str">
        <f aca="false">IFERROR(VLOOKUP($J285,$J$10:$K$13,2,0),"")</f>
        <v>NON DISTRIBUTOR</v>
      </c>
      <c r="L285" s="108" t="s">
        <v>26</v>
      </c>
      <c r="M285" s="109" t="n">
        <v>1</v>
      </c>
      <c r="N285" s="108" t="str">
        <f aca="false">IFERROR(VLOOKUP($M285,$M$3:$Q$14,2,0),"")</f>
        <v>In Carton</v>
      </c>
      <c r="O285" s="108" t="str">
        <f aca="false">IFERROR(VLOOKUP($M285,$M$3:$Q$14,3,0),"")</f>
        <v>Carton</v>
      </c>
      <c r="P285" s="109" t="n">
        <f aca="false">IFERROR(VLOOKUP($M285,$M$3:$Q$14,4,0),"")</f>
        <v>1</v>
      </c>
      <c r="Q285" s="108" t="str">
        <f aca="false">IFERROR(VLOOKUP($M285,$M$3:$Q$14,5,0),"")</f>
        <v>large</v>
      </c>
      <c r="R285" s="108" t="n">
        <v>1</v>
      </c>
      <c r="S285" s="110" t="n">
        <f aca="false">8500*6</f>
        <v>51000</v>
      </c>
      <c r="T285" s="111" t="n">
        <f aca="false">S285/1.11</f>
        <v>45945.9459459459</v>
      </c>
      <c r="U285" s="102" t="n">
        <f aca="false">V285+(V285*11%)</f>
        <v>52681.71</v>
      </c>
      <c r="V285" s="112" t="n">
        <v>47461</v>
      </c>
      <c r="W285" s="1" t="e">
        <f aca="false">VLOOKUP($G285,#REF!,2,0)</f>
        <v>#VALUE!</v>
      </c>
    </row>
    <row r="286" customFormat="false" ht="22.5" hidden="true" customHeight="true" outlineLevel="0" collapsed="false">
      <c r="A286" s="53"/>
      <c r="B286" s="53"/>
      <c r="C286" s="108" t="n">
        <v>99</v>
      </c>
      <c r="D286" s="108" t="n">
        <v>931115</v>
      </c>
      <c r="E286" s="108" t="s">
        <v>241</v>
      </c>
      <c r="F286" s="108" t="s">
        <v>235</v>
      </c>
      <c r="G286" s="108" t="s">
        <v>235</v>
      </c>
      <c r="H286" s="108"/>
      <c r="I286" s="108" t="s">
        <v>236</v>
      </c>
      <c r="J286" s="109" t="n">
        <v>3</v>
      </c>
      <c r="K286" s="108" t="str">
        <f aca="false">IFERROR(VLOOKUP($J286,$J$10:$K$13,2,0),"")</f>
        <v>NON DISTRIBUTOR</v>
      </c>
      <c r="L286" s="108" t="s">
        <v>26</v>
      </c>
      <c r="M286" s="109" t="n">
        <v>8</v>
      </c>
      <c r="N286" s="108" t="str">
        <f aca="false">IFERROR(VLOOKUP($M286,$M$3:$Q$14,2,0),"")</f>
        <v>In Renceng</v>
      </c>
      <c r="O286" s="108" t="str">
        <f aca="false">IFERROR(VLOOKUP($M286,$M$3:$Q$14,3,0),"")</f>
        <v>Renceng</v>
      </c>
      <c r="P286" s="109" t="n">
        <f aca="false">IFERROR(VLOOKUP($M286,$M$3:$Q$14,4,0),"")</f>
        <v>3</v>
      </c>
      <c r="Q286" s="108" t="n">
        <f aca="false">IFERROR(VLOOKUP($M286,$M$3:$Q$14,5,0),"")</f>
        <v>0</v>
      </c>
      <c r="R286" s="108" t="n">
        <v>6</v>
      </c>
      <c r="S286" s="110" t="n">
        <f aca="false">S285/6</f>
        <v>8500</v>
      </c>
      <c r="T286" s="111" t="n">
        <f aca="false">S286/1.11</f>
        <v>7657.65765765766</v>
      </c>
      <c r="U286" s="112" t="n">
        <v>8780</v>
      </c>
      <c r="V286" s="112" t="n">
        <v>7910</v>
      </c>
      <c r="W286" s="1" t="e">
        <f aca="false">VLOOKUP($G286,#REF!,2,0)</f>
        <v>#VALUE!</v>
      </c>
    </row>
    <row r="287" customFormat="false" ht="22.5" hidden="true" customHeight="true" outlineLevel="0" collapsed="false">
      <c r="A287" s="53"/>
      <c r="B287" s="53"/>
      <c r="C287" s="108" t="n">
        <v>99</v>
      </c>
      <c r="D287" s="108" t="n">
        <v>931115</v>
      </c>
      <c r="E287" s="108" t="s">
        <v>241</v>
      </c>
      <c r="F287" s="108" t="s">
        <v>235</v>
      </c>
      <c r="G287" s="108" t="s">
        <v>235</v>
      </c>
      <c r="H287" s="108"/>
      <c r="I287" s="108" t="s">
        <v>236</v>
      </c>
      <c r="J287" s="109" t="n">
        <v>3</v>
      </c>
      <c r="K287" s="108" t="str">
        <f aca="false">IFERROR(VLOOKUP($J287,$J$10:$K$13,2,0),"")</f>
        <v>NON DISTRIBUTOR</v>
      </c>
      <c r="L287" s="108" t="s">
        <v>26</v>
      </c>
      <c r="M287" s="109" t="n">
        <v>9</v>
      </c>
      <c r="N287" s="108" t="str">
        <f aca="false">IFERROR(VLOOKUP($M287,$M$3:$Q$14,2,0),"")</f>
        <v>In Pcs</v>
      </c>
      <c r="O287" s="108" t="str">
        <f aca="false">IFERROR(VLOOKUP($M287,$M$3:$Q$14,3,0),"")</f>
        <v>Pcs</v>
      </c>
      <c r="P287" s="109" t="n">
        <f aca="false">IFERROR(VLOOKUP($M287,$M$3:$Q$14,4,0),"")</f>
        <v>4</v>
      </c>
      <c r="Q287" s="108" t="str">
        <f aca="false">IFERROR(VLOOKUP($M287,$M$3:$Q$14,5,0),"")</f>
        <v>small</v>
      </c>
      <c r="R287" s="108" t="n">
        <v>60</v>
      </c>
      <c r="S287" s="110" t="n">
        <f aca="false">S286/10</f>
        <v>850</v>
      </c>
      <c r="T287" s="111" t="n">
        <f aca="false">S287/1.11</f>
        <v>765.765765765766</v>
      </c>
      <c r="U287" s="112" t="n">
        <v>878</v>
      </c>
      <c r="V287" s="112" t="n">
        <v>791</v>
      </c>
      <c r="W287" s="1" t="e">
        <f aca="false">VLOOKUP($G287,#REF!,2,0)</f>
        <v>#VALUE!</v>
      </c>
    </row>
    <row r="288" customFormat="false" ht="22.5" hidden="true" customHeight="true" outlineLevel="0" collapsed="false">
      <c r="A288" s="53"/>
      <c r="B288" s="53"/>
      <c r="C288" s="108" t="n">
        <v>100</v>
      </c>
      <c r="D288" s="108" t="n">
        <v>931211</v>
      </c>
      <c r="E288" s="108" t="s">
        <v>242</v>
      </c>
      <c r="F288" s="108" t="s">
        <v>235</v>
      </c>
      <c r="G288" s="108" t="s">
        <v>235</v>
      </c>
      <c r="H288" s="108"/>
      <c r="I288" s="108" t="s">
        <v>236</v>
      </c>
      <c r="J288" s="109" t="n">
        <v>3</v>
      </c>
      <c r="K288" s="108" t="str">
        <f aca="false">IFERROR(VLOOKUP($J288,$J$10:$K$13,2,0),"")</f>
        <v>NON DISTRIBUTOR</v>
      </c>
      <c r="L288" s="108" t="s">
        <v>26</v>
      </c>
      <c r="M288" s="109" t="n">
        <v>1</v>
      </c>
      <c r="N288" s="108" t="str">
        <f aca="false">IFERROR(VLOOKUP($M288,$M$3:$Q$14,2,0),"")</f>
        <v>In Carton</v>
      </c>
      <c r="O288" s="108" t="str">
        <f aca="false">IFERROR(VLOOKUP($M288,$M$3:$Q$14,3,0),"")</f>
        <v>Carton</v>
      </c>
      <c r="P288" s="109" t="n">
        <f aca="false">IFERROR(VLOOKUP($M288,$M$3:$Q$14,4,0),"")</f>
        <v>1</v>
      </c>
      <c r="Q288" s="108" t="str">
        <f aca="false">IFERROR(VLOOKUP($M288,$M$3:$Q$14,5,0),"")</f>
        <v>large</v>
      </c>
      <c r="R288" s="108" t="n">
        <v>1</v>
      </c>
      <c r="S288" s="110" t="n">
        <f aca="false">3900*36</f>
        <v>140400</v>
      </c>
      <c r="T288" s="111" t="n">
        <f aca="false">S288/1.11</f>
        <v>126486.486486486</v>
      </c>
      <c r="U288" s="102" t="n">
        <f aca="false">V288+(V288*11%)</f>
        <v>141205.32</v>
      </c>
      <c r="V288" s="112" t="n">
        <v>127212</v>
      </c>
      <c r="W288" s="1" t="e">
        <f aca="false">VLOOKUP($G288,#REF!,2,0)</f>
        <v>#VALUE!</v>
      </c>
    </row>
    <row r="289" customFormat="false" ht="22.5" hidden="true" customHeight="true" outlineLevel="0" collapsed="false">
      <c r="A289" s="53"/>
      <c r="B289" s="53"/>
      <c r="C289" s="108" t="n">
        <v>100</v>
      </c>
      <c r="D289" s="108" t="n">
        <v>931211</v>
      </c>
      <c r="E289" s="108" t="s">
        <v>242</v>
      </c>
      <c r="F289" s="108" t="s">
        <v>235</v>
      </c>
      <c r="G289" s="108" t="s">
        <v>235</v>
      </c>
      <c r="H289" s="108"/>
      <c r="I289" s="108" t="s">
        <v>236</v>
      </c>
      <c r="J289" s="109" t="n">
        <v>3</v>
      </c>
      <c r="K289" s="108" t="str">
        <f aca="false">IFERROR(VLOOKUP($J289,$J$10:$K$13,2,0),"")</f>
        <v>NON DISTRIBUTOR</v>
      </c>
      <c r="L289" s="108" t="s">
        <v>26</v>
      </c>
      <c r="M289" s="109" t="n">
        <v>9</v>
      </c>
      <c r="N289" s="108" t="str">
        <f aca="false">IFERROR(VLOOKUP($M289,$M$3:$Q$14,2,0),"")</f>
        <v>In Pcs</v>
      </c>
      <c r="O289" s="108" t="str">
        <f aca="false">IFERROR(VLOOKUP($M289,$M$3:$Q$14,3,0),"")</f>
        <v>Pcs</v>
      </c>
      <c r="P289" s="109" t="n">
        <f aca="false">IFERROR(VLOOKUP($M289,$M$3:$Q$14,4,0),"")</f>
        <v>4</v>
      </c>
      <c r="Q289" s="108" t="str">
        <f aca="false">IFERROR(VLOOKUP($M289,$M$3:$Q$14,5,0),"")</f>
        <v>small</v>
      </c>
      <c r="R289" s="108" t="n">
        <v>36</v>
      </c>
      <c r="S289" s="110" t="n">
        <f aca="false">S288/36</f>
        <v>3900</v>
      </c>
      <c r="T289" s="111" t="n">
        <f aca="false">S289/1.11</f>
        <v>3513.51351351351</v>
      </c>
      <c r="U289" s="112" t="n">
        <v>3922</v>
      </c>
      <c r="V289" s="112" t="n">
        <v>3533</v>
      </c>
      <c r="W289" s="1" t="e">
        <f aca="false">VLOOKUP($G289,#REF!,2,0)</f>
        <v>#VALUE!</v>
      </c>
    </row>
    <row r="290" customFormat="false" ht="22.5" hidden="true" customHeight="true" outlineLevel="0" collapsed="false">
      <c r="A290" s="53"/>
      <c r="B290" s="53"/>
      <c r="C290" s="113" t="n">
        <v>101</v>
      </c>
      <c r="D290" s="113" t="n">
        <v>24006</v>
      </c>
      <c r="E290" s="113" t="s">
        <v>243</v>
      </c>
      <c r="F290" s="113" t="s">
        <v>244</v>
      </c>
      <c r="G290" s="113" t="s">
        <v>244</v>
      </c>
      <c r="H290" s="113" t="s">
        <v>244</v>
      </c>
      <c r="I290" s="113" t="s">
        <v>245</v>
      </c>
      <c r="J290" s="114" t="n">
        <v>3</v>
      </c>
      <c r="K290" s="113" t="str">
        <f aca="false">IFERROR(VLOOKUP($J290,$J$10:$K$13,2,0),"")</f>
        <v>NON DISTRIBUTOR</v>
      </c>
      <c r="L290" s="113" t="s">
        <v>26</v>
      </c>
      <c r="M290" s="114" t="n">
        <v>1</v>
      </c>
      <c r="N290" s="113" t="str">
        <f aca="false">IFERROR(VLOOKUP($M290,$M$3:$Q$14,2,0),"")</f>
        <v>In Carton</v>
      </c>
      <c r="O290" s="113" t="str">
        <f aca="false">IFERROR(VLOOKUP($M290,$M$3:$Q$14,3,0),"")</f>
        <v>Carton</v>
      </c>
      <c r="P290" s="114" t="n">
        <f aca="false">IFERROR(VLOOKUP($M290,$M$3:$Q$14,4,0),"")</f>
        <v>1</v>
      </c>
      <c r="Q290" s="113" t="str">
        <f aca="false">IFERROR(VLOOKUP($M290,$M$3:$Q$14,5,0),"")</f>
        <v>large</v>
      </c>
      <c r="R290" s="113" t="n">
        <v>1</v>
      </c>
      <c r="S290" s="115" t="n">
        <f aca="false">9500*16</f>
        <v>152000</v>
      </c>
      <c r="T290" s="116" t="n">
        <f aca="false">S290/1.11</f>
        <v>136936.936936937</v>
      </c>
      <c r="U290" s="102" t="n">
        <f aca="false">V290+(V290*11%)</f>
        <v>148976.43</v>
      </c>
      <c r="V290" s="117" t="n">
        <v>134213</v>
      </c>
      <c r="W290" s="1" t="e">
        <f aca="false">VLOOKUP($G290,#REF!,2,0)</f>
        <v>#VALUE!</v>
      </c>
    </row>
    <row r="291" customFormat="false" ht="22.5" hidden="true" customHeight="true" outlineLevel="0" collapsed="false">
      <c r="A291" s="53"/>
      <c r="B291" s="53"/>
      <c r="C291" s="113" t="n">
        <v>101</v>
      </c>
      <c r="D291" s="113" t="n">
        <v>24006</v>
      </c>
      <c r="E291" s="113" t="s">
        <v>243</v>
      </c>
      <c r="F291" s="113" t="s">
        <v>244</v>
      </c>
      <c r="G291" s="113" t="s">
        <v>244</v>
      </c>
      <c r="H291" s="113" t="s">
        <v>244</v>
      </c>
      <c r="I291" s="113" t="s">
        <v>245</v>
      </c>
      <c r="J291" s="114" t="n">
        <v>3</v>
      </c>
      <c r="K291" s="113" t="str">
        <f aca="false">IFERROR(VLOOKUP($J291,$J$10:$K$13,2,0),"")</f>
        <v>NON DISTRIBUTOR</v>
      </c>
      <c r="L291" s="113" t="s">
        <v>26</v>
      </c>
      <c r="M291" s="114" t="n">
        <v>3</v>
      </c>
      <c r="N291" s="113" t="str">
        <f aca="false">IFERROR(VLOOKUP($M291,$M$3:$Q$14,2,0),"")</f>
        <v>In Pack</v>
      </c>
      <c r="O291" s="113" t="str">
        <f aca="false">IFERROR(VLOOKUP($M291,$M$3:$Q$14,3,0),"")</f>
        <v>Pack</v>
      </c>
      <c r="P291" s="114" t="n">
        <f aca="false">IFERROR(VLOOKUP($M291,$M$3:$Q$14,4,0),"")</f>
        <v>2</v>
      </c>
      <c r="Q291" s="113" t="n">
        <f aca="false">IFERROR(VLOOKUP($M291,$M$3:$Q$14,5,0),"")</f>
        <v>0</v>
      </c>
      <c r="R291" s="113" t="n">
        <v>8</v>
      </c>
      <c r="S291" s="115" t="n">
        <f aca="false">S290/8</f>
        <v>19000</v>
      </c>
      <c r="T291" s="116" t="n">
        <f aca="false">S291/1.11</f>
        <v>17117.1171171171</v>
      </c>
      <c r="U291" s="117" t="n">
        <v>18622</v>
      </c>
      <c r="V291" s="117" t="n">
        <v>16776</v>
      </c>
      <c r="W291" s="1" t="e">
        <f aca="false">VLOOKUP($G291,#REF!,2,0)</f>
        <v>#VALUE!</v>
      </c>
    </row>
    <row r="292" customFormat="false" ht="22.5" hidden="true" customHeight="true" outlineLevel="0" collapsed="false">
      <c r="A292" s="53"/>
      <c r="B292" s="53"/>
      <c r="C292" s="113" t="n">
        <v>101</v>
      </c>
      <c r="D292" s="113" t="n">
        <v>24006</v>
      </c>
      <c r="E292" s="113" t="s">
        <v>243</v>
      </c>
      <c r="F292" s="113" t="s">
        <v>244</v>
      </c>
      <c r="G292" s="113" t="s">
        <v>244</v>
      </c>
      <c r="H292" s="113" t="s">
        <v>244</v>
      </c>
      <c r="I292" s="113" t="s">
        <v>245</v>
      </c>
      <c r="J292" s="114" t="n">
        <v>3</v>
      </c>
      <c r="K292" s="113" t="str">
        <f aca="false">IFERROR(VLOOKUP($J292,$J$10:$K$13,2,0),"")</f>
        <v>NON DISTRIBUTOR</v>
      </c>
      <c r="L292" s="113" t="s">
        <v>26</v>
      </c>
      <c r="M292" s="114" t="n">
        <v>8</v>
      </c>
      <c r="N292" s="113" t="str">
        <f aca="false">IFERROR(VLOOKUP($M292,$M$3:$Q$14,2,0),"")</f>
        <v>In Renceng</v>
      </c>
      <c r="O292" s="113" t="str">
        <f aca="false">IFERROR(VLOOKUP($M292,$M$3:$Q$14,3,0),"")</f>
        <v>Renceng</v>
      </c>
      <c r="P292" s="114" t="n">
        <f aca="false">IFERROR(VLOOKUP($M292,$M$3:$Q$14,4,0),"")</f>
        <v>3</v>
      </c>
      <c r="Q292" s="113" t="n">
        <f aca="false">IFERROR(VLOOKUP($M292,$M$3:$Q$14,5,0),"")</f>
        <v>0</v>
      </c>
      <c r="R292" s="113" t="n">
        <v>16</v>
      </c>
      <c r="S292" s="115" t="n">
        <f aca="false">S291/2</f>
        <v>9500</v>
      </c>
      <c r="T292" s="116" t="n">
        <f aca="false">S292/1.11</f>
        <v>8558.55855855856</v>
      </c>
      <c r="U292" s="117" t="n">
        <v>9311</v>
      </c>
      <c r="V292" s="117" t="n">
        <v>8388</v>
      </c>
      <c r="W292" s="1" t="e">
        <f aca="false">VLOOKUP($G292,#REF!,2,0)</f>
        <v>#VALUE!</v>
      </c>
    </row>
    <row r="293" customFormat="false" ht="22.5" hidden="true" customHeight="true" outlineLevel="0" collapsed="false">
      <c r="A293" s="53"/>
      <c r="B293" s="53"/>
      <c r="C293" s="113" t="n">
        <v>101</v>
      </c>
      <c r="D293" s="113" t="n">
        <v>24006</v>
      </c>
      <c r="E293" s="113" t="s">
        <v>243</v>
      </c>
      <c r="F293" s="113" t="s">
        <v>244</v>
      </c>
      <c r="G293" s="113" t="s">
        <v>244</v>
      </c>
      <c r="H293" s="113" t="s">
        <v>244</v>
      </c>
      <c r="I293" s="113" t="s">
        <v>245</v>
      </c>
      <c r="J293" s="114" t="n">
        <v>3</v>
      </c>
      <c r="K293" s="113" t="str">
        <f aca="false">IFERROR(VLOOKUP($J293,$J$10:$K$13,2,0),"")</f>
        <v>NON DISTRIBUTOR</v>
      </c>
      <c r="L293" s="113" t="s">
        <v>26</v>
      </c>
      <c r="M293" s="114" t="n">
        <v>9</v>
      </c>
      <c r="N293" s="113" t="str">
        <f aca="false">IFERROR(VLOOKUP($M293,$M$3:$Q$14,2,0),"")</f>
        <v>In Pcs</v>
      </c>
      <c r="O293" s="113" t="str">
        <f aca="false">IFERROR(VLOOKUP($M293,$M$3:$Q$14,3,0),"")</f>
        <v>Pcs</v>
      </c>
      <c r="P293" s="114" t="n">
        <f aca="false">IFERROR(VLOOKUP($M293,$M$3:$Q$14,4,0),"")</f>
        <v>4</v>
      </c>
      <c r="Q293" s="113" t="str">
        <f aca="false">IFERROR(VLOOKUP($M293,$M$3:$Q$14,5,0),"")</f>
        <v>small</v>
      </c>
      <c r="R293" s="113" t="n">
        <v>192</v>
      </c>
      <c r="S293" s="115" t="n">
        <f aca="false">S292/12</f>
        <v>791.666666666667</v>
      </c>
      <c r="T293" s="116" t="n">
        <f aca="false">S293/1.11</f>
        <v>713.213213213213</v>
      </c>
      <c r="U293" s="117" t="n">
        <v>775</v>
      </c>
      <c r="V293" s="117" t="n">
        <v>713</v>
      </c>
      <c r="W293" s="1" t="e">
        <f aca="false">VLOOKUP($G293,#REF!,2,0)</f>
        <v>#VALUE!</v>
      </c>
    </row>
    <row r="294" customFormat="false" ht="22.5" hidden="true" customHeight="true" outlineLevel="0" collapsed="false">
      <c r="A294" s="53"/>
      <c r="B294" s="53"/>
      <c r="C294" s="113" t="n">
        <v>102</v>
      </c>
      <c r="D294" s="113" t="n">
        <v>24007</v>
      </c>
      <c r="E294" s="113" t="s">
        <v>246</v>
      </c>
      <c r="F294" s="113" t="s">
        <v>244</v>
      </c>
      <c r="G294" s="113" t="s">
        <v>244</v>
      </c>
      <c r="H294" s="113" t="s">
        <v>244</v>
      </c>
      <c r="I294" s="113" t="s">
        <v>245</v>
      </c>
      <c r="J294" s="114" t="n">
        <v>3</v>
      </c>
      <c r="K294" s="113" t="str">
        <f aca="false">IFERROR(VLOOKUP($J294,$J$10:$K$13,2,0),"")</f>
        <v>NON DISTRIBUTOR</v>
      </c>
      <c r="L294" s="113" t="s">
        <v>26</v>
      </c>
      <c r="M294" s="114" t="n">
        <v>1</v>
      </c>
      <c r="N294" s="113" t="str">
        <f aca="false">IFERROR(VLOOKUP($M294,$M$3:$Q$14,2,0),"")</f>
        <v>In Carton</v>
      </c>
      <c r="O294" s="113" t="str">
        <f aca="false">IFERROR(VLOOKUP($M294,$M$3:$Q$14,3,0),"")</f>
        <v>Carton</v>
      </c>
      <c r="P294" s="114" t="n">
        <f aca="false">IFERROR(VLOOKUP($M294,$M$3:$Q$14,4,0),"")</f>
        <v>1</v>
      </c>
      <c r="Q294" s="113" t="str">
        <f aca="false">IFERROR(VLOOKUP($M294,$M$3:$Q$14,5,0),"")</f>
        <v>large</v>
      </c>
      <c r="R294" s="113" t="n">
        <v>1</v>
      </c>
      <c r="S294" s="115" t="n">
        <f aca="false">9500*36</f>
        <v>342000</v>
      </c>
      <c r="T294" s="116" t="n">
        <f aca="false">S294/1.11</f>
        <v>308108.108108108</v>
      </c>
      <c r="U294" s="102" t="n">
        <f aca="false">V294+(V294*11%)</f>
        <v>335158.95</v>
      </c>
      <c r="V294" s="117" t="n">
        <v>301945</v>
      </c>
      <c r="W294" s="1" t="e">
        <f aca="false">VLOOKUP($G294,#REF!,2,0)</f>
        <v>#VALUE!</v>
      </c>
    </row>
    <row r="295" customFormat="false" ht="22.5" hidden="true" customHeight="true" outlineLevel="0" collapsed="false">
      <c r="A295" s="53"/>
      <c r="B295" s="53"/>
      <c r="C295" s="113" t="n">
        <v>102</v>
      </c>
      <c r="D295" s="113" t="n">
        <v>24007</v>
      </c>
      <c r="E295" s="113" t="s">
        <v>246</v>
      </c>
      <c r="F295" s="113" t="s">
        <v>244</v>
      </c>
      <c r="G295" s="113" t="s">
        <v>244</v>
      </c>
      <c r="H295" s="113" t="s">
        <v>244</v>
      </c>
      <c r="I295" s="113" t="s">
        <v>245</v>
      </c>
      <c r="J295" s="114" t="n">
        <v>3</v>
      </c>
      <c r="K295" s="113" t="str">
        <f aca="false">IFERROR(VLOOKUP($J295,$J$10:$K$13,2,0),"")</f>
        <v>NON DISTRIBUTOR</v>
      </c>
      <c r="L295" s="113" t="s">
        <v>26</v>
      </c>
      <c r="M295" s="114" t="n">
        <v>3</v>
      </c>
      <c r="N295" s="113" t="str">
        <f aca="false">IFERROR(VLOOKUP($M295,$M$3:$Q$14,2,0),"")</f>
        <v>In Pack</v>
      </c>
      <c r="O295" s="113" t="str">
        <f aca="false">IFERROR(VLOOKUP($M295,$M$3:$Q$14,3,0),"")</f>
        <v>Pack</v>
      </c>
      <c r="P295" s="114" t="n">
        <f aca="false">IFERROR(VLOOKUP($M295,$M$3:$Q$14,4,0),"")</f>
        <v>2</v>
      </c>
      <c r="Q295" s="113" t="n">
        <f aca="false">IFERROR(VLOOKUP($M295,$M$3:$Q$14,5,0),"")</f>
        <v>0</v>
      </c>
      <c r="R295" s="113" t="n">
        <v>18</v>
      </c>
      <c r="S295" s="115" t="n">
        <f aca="false">S294/18</f>
        <v>19000</v>
      </c>
      <c r="T295" s="116" t="n">
        <f aca="false">S295/1.11</f>
        <v>17117.1171171171</v>
      </c>
      <c r="U295" s="117" t="n">
        <v>18619</v>
      </c>
      <c r="V295" s="117" t="n">
        <v>16774</v>
      </c>
      <c r="W295" s="1" t="e">
        <f aca="false">VLOOKUP($G295,#REF!,2,0)</f>
        <v>#VALUE!</v>
      </c>
    </row>
    <row r="296" customFormat="false" ht="22.5" hidden="true" customHeight="true" outlineLevel="0" collapsed="false">
      <c r="A296" s="53"/>
      <c r="B296" s="53"/>
      <c r="C296" s="113" t="n">
        <v>102</v>
      </c>
      <c r="D296" s="113" t="n">
        <v>24007</v>
      </c>
      <c r="E296" s="113" t="s">
        <v>246</v>
      </c>
      <c r="F296" s="113" t="s">
        <v>244</v>
      </c>
      <c r="G296" s="113" t="s">
        <v>244</v>
      </c>
      <c r="H296" s="113" t="s">
        <v>244</v>
      </c>
      <c r="I296" s="113" t="s">
        <v>245</v>
      </c>
      <c r="J296" s="114" t="n">
        <v>3</v>
      </c>
      <c r="K296" s="113" t="str">
        <f aca="false">IFERROR(VLOOKUP($J296,$J$10:$K$13,2,0),"")</f>
        <v>NON DISTRIBUTOR</v>
      </c>
      <c r="L296" s="113" t="s">
        <v>26</v>
      </c>
      <c r="M296" s="114" t="n">
        <v>8</v>
      </c>
      <c r="N296" s="113" t="str">
        <f aca="false">IFERROR(VLOOKUP($M296,$M$3:$Q$14,2,0),"")</f>
        <v>In Renceng</v>
      </c>
      <c r="O296" s="113" t="str">
        <f aca="false">IFERROR(VLOOKUP($M296,$M$3:$Q$14,3,0),"")</f>
        <v>Renceng</v>
      </c>
      <c r="P296" s="114" t="n">
        <f aca="false">IFERROR(VLOOKUP($M296,$M$3:$Q$14,4,0),"")</f>
        <v>3</v>
      </c>
      <c r="Q296" s="113" t="n">
        <f aca="false">IFERROR(VLOOKUP($M296,$M$3:$Q$14,5,0),"")</f>
        <v>0</v>
      </c>
      <c r="R296" s="113" t="n">
        <v>36</v>
      </c>
      <c r="S296" s="115" t="n">
        <f aca="false">S295/2</f>
        <v>9500</v>
      </c>
      <c r="T296" s="116" t="n">
        <f aca="false">S296/1.11</f>
        <v>8558.55855855856</v>
      </c>
      <c r="U296" s="117" t="n">
        <v>9309</v>
      </c>
      <c r="V296" s="117" t="n">
        <v>8558</v>
      </c>
      <c r="W296" s="1" t="e">
        <f aca="false">VLOOKUP($G296,#REF!,2,0)</f>
        <v>#VALUE!</v>
      </c>
    </row>
    <row r="297" customFormat="false" ht="22.5" hidden="true" customHeight="true" outlineLevel="0" collapsed="false">
      <c r="A297" s="53"/>
      <c r="B297" s="53"/>
      <c r="C297" s="113" t="n">
        <v>102</v>
      </c>
      <c r="D297" s="113" t="n">
        <v>24007</v>
      </c>
      <c r="E297" s="113" t="s">
        <v>246</v>
      </c>
      <c r="F297" s="113" t="s">
        <v>244</v>
      </c>
      <c r="G297" s="113" t="s">
        <v>244</v>
      </c>
      <c r="H297" s="113" t="s">
        <v>244</v>
      </c>
      <c r="I297" s="113" t="s">
        <v>245</v>
      </c>
      <c r="J297" s="114" t="n">
        <v>3</v>
      </c>
      <c r="K297" s="113" t="str">
        <f aca="false">IFERROR(VLOOKUP($J297,$J$10:$K$13,2,0),"")</f>
        <v>NON DISTRIBUTOR</v>
      </c>
      <c r="L297" s="113" t="s">
        <v>26</v>
      </c>
      <c r="M297" s="114" t="n">
        <v>9</v>
      </c>
      <c r="N297" s="113" t="str">
        <f aca="false">IFERROR(VLOOKUP($M297,$M$3:$Q$14,2,0),"")</f>
        <v>In Pcs</v>
      </c>
      <c r="O297" s="113" t="str">
        <f aca="false">IFERROR(VLOOKUP($M297,$M$3:$Q$14,3,0),"")</f>
        <v>Pcs</v>
      </c>
      <c r="P297" s="114" t="n">
        <f aca="false">IFERROR(VLOOKUP($M297,$M$3:$Q$14,4,0),"")</f>
        <v>4</v>
      </c>
      <c r="Q297" s="113" t="str">
        <f aca="false">IFERROR(VLOOKUP($M297,$M$3:$Q$14,5,0),"")</f>
        <v>small</v>
      </c>
      <c r="R297" s="113" t="n">
        <v>432</v>
      </c>
      <c r="S297" s="115" t="n">
        <f aca="false">S296/12</f>
        <v>791.666666666667</v>
      </c>
      <c r="T297" s="116" t="n">
        <f aca="false">S297/1.11</f>
        <v>713.213213213213</v>
      </c>
      <c r="U297" s="117" t="n">
        <v>775</v>
      </c>
      <c r="V297" s="117" t="n">
        <v>698</v>
      </c>
      <c r="W297" s="1" t="e">
        <f aca="false">VLOOKUP($G297,#REF!,2,0)</f>
        <v>#VALUE!</v>
      </c>
    </row>
    <row r="298" customFormat="false" ht="22.5" hidden="true" customHeight="true" outlineLevel="0" collapsed="false">
      <c r="A298" s="53"/>
      <c r="B298" s="53"/>
      <c r="C298" s="113" t="n">
        <v>103</v>
      </c>
      <c r="D298" s="113" t="n">
        <v>24008</v>
      </c>
      <c r="E298" s="113" t="s">
        <v>247</v>
      </c>
      <c r="F298" s="113" t="s">
        <v>244</v>
      </c>
      <c r="G298" s="113" t="s">
        <v>244</v>
      </c>
      <c r="H298" s="113" t="s">
        <v>244</v>
      </c>
      <c r="I298" s="113" t="s">
        <v>245</v>
      </c>
      <c r="J298" s="114" t="n">
        <v>3</v>
      </c>
      <c r="K298" s="113" t="str">
        <f aca="false">IFERROR(VLOOKUP($J298,$J$10:$K$13,2,0),"")</f>
        <v>NON DISTRIBUTOR</v>
      </c>
      <c r="L298" s="113" t="s">
        <v>26</v>
      </c>
      <c r="M298" s="114" t="n">
        <v>1</v>
      </c>
      <c r="N298" s="113" t="str">
        <f aca="false">IFERROR(VLOOKUP($M298,$M$3:$Q$14,2,0),"")</f>
        <v>In Carton</v>
      </c>
      <c r="O298" s="113" t="str">
        <f aca="false">IFERROR(VLOOKUP($M298,$M$3:$Q$14,3,0),"")</f>
        <v>Carton</v>
      </c>
      <c r="P298" s="114" t="n">
        <f aca="false">IFERROR(VLOOKUP($M298,$M$3:$Q$14,4,0),"")</f>
        <v>1</v>
      </c>
      <c r="Q298" s="113" t="str">
        <f aca="false">IFERROR(VLOOKUP($M298,$M$3:$Q$14,5,0),"")</f>
        <v>large</v>
      </c>
      <c r="R298" s="113" t="n">
        <v>1</v>
      </c>
      <c r="S298" s="115" t="n">
        <f aca="false">9500*36</f>
        <v>342000</v>
      </c>
      <c r="T298" s="116" t="n">
        <f aca="false">S298/1.11</f>
        <v>308108.108108108</v>
      </c>
      <c r="U298" s="102" t="n">
        <f aca="false">V298+(V298*11%)</f>
        <v>335158.95</v>
      </c>
      <c r="V298" s="117" t="n">
        <v>301945</v>
      </c>
      <c r="W298" s="1" t="e">
        <f aca="false">VLOOKUP($G298,#REF!,2,0)</f>
        <v>#VALUE!</v>
      </c>
    </row>
    <row r="299" customFormat="false" ht="22.5" hidden="true" customHeight="true" outlineLevel="0" collapsed="false">
      <c r="A299" s="53"/>
      <c r="B299" s="53"/>
      <c r="C299" s="113" t="n">
        <v>103</v>
      </c>
      <c r="D299" s="113" t="n">
        <v>24008</v>
      </c>
      <c r="E299" s="113" t="s">
        <v>247</v>
      </c>
      <c r="F299" s="113" t="s">
        <v>244</v>
      </c>
      <c r="G299" s="113" t="s">
        <v>244</v>
      </c>
      <c r="H299" s="113" t="s">
        <v>244</v>
      </c>
      <c r="I299" s="113" t="s">
        <v>245</v>
      </c>
      <c r="J299" s="114" t="n">
        <v>3</v>
      </c>
      <c r="K299" s="113" t="str">
        <f aca="false">IFERROR(VLOOKUP($J299,$J$10:$K$13,2,0),"")</f>
        <v>NON DISTRIBUTOR</v>
      </c>
      <c r="L299" s="113" t="s">
        <v>26</v>
      </c>
      <c r="M299" s="114" t="n">
        <v>8</v>
      </c>
      <c r="N299" s="113" t="str">
        <f aca="false">IFERROR(VLOOKUP($M299,$M$3:$Q$14,2,0),"")</f>
        <v>In Renceng</v>
      </c>
      <c r="O299" s="113" t="str">
        <f aca="false">IFERROR(VLOOKUP($M299,$M$3:$Q$14,3,0),"")</f>
        <v>Renceng</v>
      </c>
      <c r="P299" s="114" t="n">
        <f aca="false">IFERROR(VLOOKUP($M299,$M$3:$Q$14,4,0),"")</f>
        <v>3</v>
      </c>
      <c r="Q299" s="113" t="n">
        <f aca="false">IFERROR(VLOOKUP($M299,$M$3:$Q$14,5,0),"")</f>
        <v>0</v>
      </c>
      <c r="R299" s="113" t="n">
        <v>36</v>
      </c>
      <c r="S299" s="115" t="n">
        <f aca="false">S298/36</f>
        <v>9500</v>
      </c>
      <c r="T299" s="116" t="n">
        <f aca="false">S299/1.11</f>
        <v>8558.55855855856</v>
      </c>
      <c r="U299" s="117" t="n">
        <v>18619</v>
      </c>
      <c r="V299" s="117" t="n">
        <v>8387</v>
      </c>
      <c r="W299" s="1" t="e">
        <f aca="false">VLOOKUP($G299,#REF!,2,0)</f>
        <v>#VALUE!</v>
      </c>
    </row>
    <row r="300" customFormat="false" ht="22.5" hidden="true" customHeight="true" outlineLevel="0" collapsed="false">
      <c r="A300" s="53"/>
      <c r="B300" s="53"/>
      <c r="C300" s="113" t="n">
        <v>103</v>
      </c>
      <c r="D300" s="113" t="n">
        <v>24008</v>
      </c>
      <c r="E300" s="113" t="s">
        <v>247</v>
      </c>
      <c r="F300" s="113" t="s">
        <v>244</v>
      </c>
      <c r="G300" s="113" t="s">
        <v>244</v>
      </c>
      <c r="H300" s="113" t="s">
        <v>244</v>
      </c>
      <c r="I300" s="113" t="s">
        <v>245</v>
      </c>
      <c r="J300" s="114" t="n">
        <v>3</v>
      </c>
      <c r="K300" s="113" t="str">
        <f aca="false">IFERROR(VLOOKUP($J300,$J$10:$K$13,2,0),"")</f>
        <v>NON DISTRIBUTOR</v>
      </c>
      <c r="L300" s="113" t="s">
        <v>26</v>
      </c>
      <c r="M300" s="114" t="n">
        <v>9</v>
      </c>
      <c r="N300" s="113" t="str">
        <f aca="false">IFERROR(VLOOKUP($M300,$M$3:$Q$14,2,0),"")</f>
        <v>In Pcs</v>
      </c>
      <c r="O300" s="113" t="str">
        <f aca="false">IFERROR(VLOOKUP($M300,$M$3:$Q$14,3,0),"")</f>
        <v>Pcs</v>
      </c>
      <c r="P300" s="114" t="n">
        <f aca="false">IFERROR(VLOOKUP($M300,$M$3:$Q$14,4,0),"")</f>
        <v>4</v>
      </c>
      <c r="Q300" s="113" t="str">
        <f aca="false">IFERROR(VLOOKUP($M300,$M$3:$Q$14,5,0),"")</f>
        <v>small</v>
      </c>
      <c r="R300" s="113" t="n">
        <v>432</v>
      </c>
      <c r="S300" s="115" t="n">
        <f aca="false">S299/12</f>
        <v>791.666666666667</v>
      </c>
      <c r="T300" s="116" t="n">
        <f aca="false">S300/1.11</f>
        <v>713.213213213213</v>
      </c>
      <c r="U300" s="117" t="n">
        <v>775</v>
      </c>
      <c r="V300" s="117" t="n">
        <v>698</v>
      </c>
      <c r="W300" s="1" t="e">
        <f aca="false">VLOOKUP($G300,#REF!,2,0)</f>
        <v>#VALUE!</v>
      </c>
    </row>
    <row r="301" customFormat="false" ht="22.5" hidden="true" customHeight="true" outlineLevel="0" collapsed="false">
      <c r="A301" s="53"/>
      <c r="B301" s="53"/>
      <c r="C301" s="113" t="n">
        <v>104</v>
      </c>
      <c r="D301" s="113" t="n">
        <v>24013</v>
      </c>
      <c r="E301" s="113" t="s">
        <v>248</v>
      </c>
      <c r="F301" s="113" t="s">
        <v>244</v>
      </c>
      <c r="G301" s="113" t="s">
        <v>244</v>
      </c>
      <c r="H301" s="113" t="s">
        <v>244</v>
      </c>
      <c r="I301" s="113" t="s">
        <v>245</v>
      </c>
      <c r="J301" s="114" t="n">
        <v>3</v>
      </c>
      <c r="K301" s="113" t="str">
        <f aca="false">IFERROR(VLOOKUP($J301,$J$10:$K$13,2,0),"")</f>
        <v>NON DISTRIBUTOR</v>
      </c>
      <c r="L301" s="113" t="s">
        <v>26</v>
      </c>
      <c r="M301" s="114" t="n">
        <v>1</v>
      </c>
      <c r="N301" s="113" t="str">
        <f aca="false">IFERROR(VLOOKUP($M301,$M$3:$Q$14,2,0),"")</f>
        <v>In Carton</v>
      </c>
      <c r="O301" s="113" t="str">
        <f aca="false">IFERROR(VLOOKUP($M301,$M$3:$Q$14,3,0),"")</f>
        <v>Carton</v>
      </c>
      <c r="P301" s="114" t="n">
        <f aca="false">IFERROR(VLOOKUP($M301,$M$3:$Q$14,4,0),"")</f>
        <v>1</v>
      </c>
      <c r="Q301" s="113" t="str">
        <f aca="false">IFERROR(VLOOKUP($M301,$M$3:$Q$14,5,0),"")</f>
        <v>large</v>
      </c>
      <c r="R301" s="113" t="n">
        <v>1</v>
      </c>
      <c r="S301" s="115" t="n">
        <f aca="false">9500*36</f>
        <v>342000</v>
      </c>
      <c r="T301" s="116" t="n">
        <f aca="false">S301/1.11</f>
        <v>308108.108108108</v>
      </c>
      <c r="U301" s="102" t="n">
        <f aca="false">V301+(V301*11%)</f>
        <v>335158.95</v>
      </c>
      <c r="V301" s="117" t="n">
        <v>301945</v>
      </c>
      <c r="W301" s="1" t="e">
        <f aca="false">VLOOKUP($G301,#REF!,2,0)</f>
        <v>#VALUE!</v>
      </c>
    </row>
    <row r="302" customFormat="false" ht="22.5" hidden="true" customHeight="true" outlineLevel="0" collapsed="false">
      <c r="A302" s="53"/>
      <c r="B302" s="53"/>
      <c r="C302" s="113" t="n">
        <v>104</v>
      </c>
      <c r="D302" s="113" t="n">
        <v>24013</v>
      </c>
      <c r="E302" s="113" t="s">
        <v>248</v>
      </c>
      <c r="F302" s="113" t="s">
        <v>244</v>
      </c>
      <c r="G302" s="113" t="s">
        <v>244</v>
      </c>
      <c r="H302" s="113" t="s">
        <v>244</v>
      </c>
      <c r="I302" s="113" t="s">
        <v>245</v>
      </c>
      <c r="J302" s="114" t="n">
        <v>3</v>
      </c>
      <c r="K302" s="113" t="str">
        <f aca="false">IFERROR(VLOOKUP($J302,$J$10:$K$13,2,0),"")</f>
        <v>NON DISTRIBUTOR</v>
      </c>
      <c r="L302" s="113" t="s">
        <v>26</v>
      </c>
      <c r="M302" s="114" t="n">
        <v>3</v>
      </c>
      <c r="N302" s="113" t="str">
        <f aca="false">IFERROR(VLOOKUP($M302,$M$3:$Q$14,2,0),"")</f>
        <v>In Pack</v>
      </c>
      <c r="O302" s="113" t="str">
        <f aca="false">IFERROR(VLOOKUP($M302,$M$3:$Q$14,3,0),"")</f>
        <v>Pack</v>
      </c>
      <c r="P302" s="114" t="n">
        <f aca="false">IFERROR(VLOOKUP($M302,$M$3:$Q$14,4,0),"")</f>
        <v>2</v>
      </c>
      <c r="Q302" s="113" t="n">
        <f aca="false">IFERROR(VLOOKUP($M302,$M$3:$Q$14,5,0),"")</f>
        <v>0</v>
      </c>
      <c r="R302" s="113" t="n">
        <v>18</v>
      </c>
      <c r="S302" s="115" t="n">
        <f aca="false">S301/18</f>
        <v>19000</v>
      </c>
      <c r="T302" s="116" t="n">
        <f aca="false">S302/1.11</f>
        <v>17117.1171171171</v>
      </c>
      <c r="U302" s="117" t="n">
        <v>18619</v>
      </c>
      <c r="V302" s="117" t="n">
        <v>16774</v>
      </c>
      <c r="W302" s="1" t="e">
        <f aca="false">VLOOKUP($G302,#REF!,2,0)</f>
        <v>#VALUE!</v>
      </c>
    </row>
    <row r="303" customFormat="false" ht="22.5" hidden="true" customHeight="true" outlineLevel="0" collapsed="false">
      <c r="A303" s="53"/>
      <c r="B303" s="53"/>
      <c r="C303" s="113" t="n">
        <v>104</v>
      </c>
      <c r="D303" s="113" t="n">
        <v>24013</v>
      </c>
      <c r="E303" s="113" t="s">
        <v>248</v>
      </c>
      <c r="F303" s="113" t="s">
        <v>244</v>
      </c>
      <c r="G303" s="113" t="s">
        <v>244</v>
      </c>
      <c r="H303" s="113" t="s">
        <v>244</v>
      </c>
      <c r="I303" s="113" t="s">
        <v>245</v>
      </c>
      <c r="J303" s="114" t="n">
        <v>3</v>
      </c>
      <c r="K303" s="113" t="str">
        <f aca="false">IFERROR(VLOOKUP($J303,$J$10:$K$13,2,0),"")</f>
        <v>NON DISTRIBUTOR</v>
      </c>
      <c r="L303" s="113" t="s">
        <v>26</v>
      </c>
      <c r="M303" s="114" t="n">
        <v>8</v>
      </c>
      <c r="N303" s="113" t="str">
        <f aca="false">IFERROR(VLOOKUP($M303,$M$3:$Q$14,2,0),"")</f>
        <v>In Renceng</v>
      </c>
      <c r="O303" s="113" t="str">
        <f aca="false">IFERROR(VLOOKUP($M303,$M$3:$Q$14,3,0),"")</f>
        <v>Renceng</v>
      </c>
      <c r="P303" s="114" t="n">
        <f aca="false">IFERROR(VLOOKUP($M303,$M$3:$Q$14,4,0),"")</f>
        <v>3</v>
      </c>
      <c r="Q303" s="113" t="n">
        <f aca="false">IFERROR(VLOOKUP($M303,$M$3:$Q$14,5,0),"")</f>
        <v>0</v>
      </c>
      <c r="R303" s="113" t="n">
        <v>36</v>
      </c>
      <c r="S303" s="115" t="n">
        <f aca="false">S302/2</f>
        <v>9500</v>
      </c>
      <c r="T303" s="116" t="n">
        <f aca="false">S303/1.11</f>
        <v>8558.55855855856</v>
      </c>
      <c r="U303" s="117" t="n">
        <v>9309</v>
      </c>
      <c r="V303" s="117" t="n">
        <v>8558</v>
      </c>
      <c r="W303" s="1" t="e">
        <f aca="false">VLOOKUP($G303,#REF!,2,0)</f>
        <v>#VALUE!</v>
      </c>
    </row>
    <row r="304" customFormat="false" ht="22.5" hidden="true" customHeight="true" outlineLevel="0" collapsed="false">
      <c r="A304" s="53"/>
      <c r="B304" s="53"/>
      <c r="C304" s="113" t="n">
        <v>104</v>
      </c>
      <c r="D304" s="113" t="n">
        <v>24013</v>
      </c>
      <c r="E304" s="113" t="s">
        <v>248</v>
      </c>
      <c r="F304" s="113" t="s">
        <v>244</v>
      </c>
      <c r="G304" s="113" t="s">
        <v>244</v>
      </c>
      <c r="H304" s="113" t="s">
        <v>244</v>
      </c>
      <c r="I304" s="113" t="s">
        <v>245</v>
      </c>
      <c r="J304" s="114" t="n">
        <v>3</v>
      </c>
      <c r="K304" s="113" t="str">
        <f aca="false">IFERROR(VLOOKUP($J304,$J$10:$K$13,2,0),"")</f>
        <v>NON DISTRIBUTOR</v>
      </c>
      <c r="L304" s="113" t="s">
        <v>26</v>
      </c>
      <c r="M304" s="114" t="n">
        <v>9</v>
      </c>
      <c r="N304" s="113" t="str">
        <f aca="false">IFERROR(VLOOKUP($M304,$M$3:$Q$14,2,0),"")</f>
        <v>In Pcs</v>
      </c>
      <c r="O304" s="113" t="str">
        <f aca="false">IFERROR(VLOOKUP($M304,$M$3:$Q$14,3,0),"")</f>
        <v>Pcs</v>
      </c>
      <c r="P304" s="114" t="n">
        <f aca="false">IFERROR(VLOOKUP($M304,$M$3:$Q$14,4,0),"")</f>
        <v>4</v>
      </c>
      <c r="Q304" s="113" t="str">
        <f aca="false">IFERROR(VLOOKUP($M304,$M$3:$Q$14,5,0),"")</f>
        <v>small</v>
      </c>
      <c r="R304" s="113" t="n">
        <v>432</v>
      </c>
      <c r="S304" s="115" t="n">
        <f aca="false">S303/12</f>
        <v>791.666666666667</v>
      </c>
      <c r="T304" s="116" t="n">
        <f aca="false">S304/1.11</f>
        <v>713.213213213213</v>
      </c>
      <c r="U304" s="117" t="n">
        <v>775</v>
      </c>
      <c r="V304" s="117" t="n">
        <v>698</v>
      </c>
      <c r="W304" s="1" t="e">
        <f aca="false">VLOOKUP($G304,#REF!,2,0)</f>
        <v>#VALUE!</v>
      </c>
    </row>
    <row r="305" customFormat="false" ht="22.5" hidden="true" customHeight="true" outlineLevel="0" collapsed="false">
      <c r="A305" s="53"/>
      <c r="B305" s="53"/>
      <c r="C305" s="113" t="n">
        <v>105</v>
      </c>
      <c r="D305" s="113" t="n">
        <v>24009</v>
      </c>
      <c r="E305" s="113" t="s">
        <v>249</v>
      </c>
      <c r="F305" s="113" t="s">
        <v>244</v>
      </c>
      <c r="G305" s="113" t="s">
        <v>244</v>
      </c>
      <c r="H305" s="113" t="s">
        <v>244</v>
      </c>
      <c r="I305" s="113" t="s">
        <v>245</v>
      </c>
      <c r="J305" s="114" t="n">
        <v>3</v>
      </c>
      <c r="K305" s="113" t="str">
        <f aca="false">IFERROR(VLOOKUP($J305,$J$10:$K$13,2,0),"")</f>
        <v>NON DISTRIBUTOR</v>
      </c>
      <c r="L305" s="113" t="s">
        <v>26</v>
      </c>
      <c r="M305" s="114" t="n">
        <v>1</v>
      </c>
      <c r="N305" s="113" t="str">
        <f aca="false">IFERROR(VLOOKUP($M305,$M$3:$Q$14,2,0),"")</f>
        <v>In Carton</v>
      </c>
      <c r="O305" s="113" t="str">
        <f aca="false">IFERROR(VLOOKUP($M305,$M$3:$Q$14,3,0),"")</f>
        <v>Carton</v>
      </c>
      <c r="P305" s="114" t="n">
        <f aca="false">IFERROR(VLOOKUP($M305,$M$3:$Q$14,4,0),"")</f>
        <v>1</v>
      </c>
      <c r="Q305" s="113" t="str">
        <f aca="false">IFERROR(VLOOKUP($M305,$M$3:$Q$14,5,0),"")</f>
        <v>large</v>
      </c>
      <c r="R305" s="113" t="n">
        <v>1</v>
      </c>
      <c r="S305" s="115" t="n">
        <f aca="false">9500*48</f>
        <v>456000</v>
      </c>
      <c r="T305" s="116" t="n">
        <f aca="false">S305/1.11</f>
        <v>410810.810810811</v>
      </c>
      <c r="U305" s="102" t="n">
        <f aca="false">V305+(V305*11%)</f>
        <v>446879.34</v>
      </c>
      <c r="V305" s="117" t="n">
        <v>402594</v>
      </c>
      <c r="W305" s="1" t="e">
        <f aca="false">VLOOKUP($G305,#REF!,2,0)</f>
        <v>#VALUE!</v>
      </c>
    </row>
    <row r="306" customFormat="false" ht="22.5" hidden="true" customHeight="true" outlineLevel="0" collapsed="false">
      <c r="A306" s="53"/>
      <c r="B306" s="53"/>
      <c r="C306" s="113" t="n">
        <v>105</v>
      </c>
      <c r="D306" s="113" t="n">
        <v>24009</v>
      </c>
      <c r="E306" s="113" t="s">
        <v>249</v>
      </c>
      <c r="F306" s="113" t="s">
        <v>244</v>
      </c>
      <c r="G306" s="113" t="s">
        <v>244</v>
      </c>
      <c r="H306" s="113" t="s">
        <v>244</v>
      </c>
      <c r="I306" s="113" t="s">
        <v>245</v>
      </c>
      <c r="J306" s="114" t="n">
        <v>3</v>
      </c>
      <c r="K306" s="113" t="str">
        <f aca="false">IFERROR(VLOOKUP($J306,$J$10:$K$13,2,0),"")</f>
        <v>NON DISTRIBUTOR</v>
      </c>
      <c r="L306" s="113" t="s">
        <v>26</v>
      </c>
      <c r="M306" s="114" t="n">
        <v>3</v>
      </c>
      <c r="N306" s="113" t="str">
        <f aca="false">IFERROR(VLOOKUP($M306,$M$3:$Q$14,2,0),"")</f>
        <v>In Pack</v>
      </c>
      <c r="O306" s="113" t="str">
        <f aca="false">IFERROR(VLOOKUP($M306,$M$3:$Q$14,3,0),"")</f>
        <v>Pack</v>
      </c>
      <c r="P306" s="114" t="n">
        <f aca="false">IFERROR(VLOOKUP($M306,$M$3:$Q$14,4,0),"")</f>
        <v>2</v>
      </c>
      <c r="Q306" s="113" t="n">
        <f aca="false">IFERROR(VLOOKUP($M306,$M$3:$Q$14,5,0),"")</f>
        <v>0</v>
      </c>
      <c r="R306" s="113" t="n">
        <v>8</v>
      </c>
      <c r="S306" s="115" t="n">
        <f aca="false">S305/8</f>
        <v>57000</v>
      </c>
      <c r="T306" s="116" t="n">
        <f aca="false">S306/1.11</f>
        <v>51351.3513513513</v>
      </c>
      <c r="U306" s="117" t="n">
        <v>55859</v>
      </c>
      <c r="V306" s="117" t="n">
        <v>50324</v>
      </c>
      <c r="W306" s="1" t="e">
        <f aca="false">VLOOKUP($G306,#REF!,2,0)</f>
        <v>#VALUE!</v>
      </c>
    </row>
    <row r="307" customFormat="false" ht="22.5" hidden="true" customHeight="true" outlineLevel="0" collapsed="false">
      <c r="A307" s="53"/>
      <c r="B307" s="53"/>
      <c r="C307" s="113" t="n">
        <v>105</v>
      </c>
      <c r="D307" s="113" t="n">
        <v>24009</v>
      </c>
      <c r="E307" s="113" t="s">
        <v>249</v>
      </c>
      <c r="F307" s="113" t="s">
        <v>244</v>
      </c>
      <c r="G307" s="113" t="s">
        <v>244</v>
      </c>
      <c r="H307" s="113" t="s">
        <v>244</v>
      </c>
      <c r="I307" s="113" t="s">
        <v>245</v>
      </c>
      <c r="J307" s="114" t="n">
        <v>3</v>
      </c>
      <c r="K307" s="113" t="str">
        <f aca="false">IFERROR(VLOOKUP($J307,$J$10:$K$13,2,0),"")</f>
        <v>NON DISTRIBUTOR</v>
      </c>
      <c r="L307" s="113" t="s">
        <v>26</v>
      </c>
      <c r="M307" s="114" t="n">
        <v>8</v>
      </c>
      <c r="N307" s="113" t="str">
        <f aca="false">IFERROR(VLOOKUP($M307,$M$3:$Q$14,2,0),"")</f>
        <v>In Renceng</v>
      </c>
      <c r="O307" s="113" t="str">
        <f aca="false">IFERROR(VLOOKUP($M307,$M$3:$Q$14,3,0),"")</f>
        <v>Renceng</v>
      </c>
      <c r="P307" s="114" t="n">
        <f aca="false">IFERROR(VLOOKUP($M307,$M$3:$Q$14,4,0),"")</f>
        <v>3</v>
      </c>
      <c r="Q307" s="113" t="n">
        <f aca="false">IFERROR(VLOOKUP($M307,$M$3:$Q$14,5,0),"")</f>
        <v>0</v>
      </c>
      <c r="R307" s="113" t="n">
        <v>48</v>
      </c>
      <c r="S307" s="115" t="n">
        <f aca="false">S306/6</f>
        <v>9500</v>
      </c>
      <c r="T307" s="116" t="n">
        <f aca="false">S307/1.11</f>
        <v>8558.55855855856</v>
      </c>
      <c r="U307" s="117" t="n">
        <v>9309</v>
      </c>
      <c r="V307" s="117" t="n">
        <v>8387</v>
      </c>
      <c r="W307" s="1" t="e">
        <f aca="false">VLOOKUP($G307,#REF!,2,0)</f>
        <v>#VALUE!</v>
      </c>
    </row>
    <row r="308" customFormat="false" ht="22.5" hidden="true" customHeight="true" outlineLevel="0" collapsed="false">
      <c r="A308" s="53"/>
      <c r="B308" s="53"/>
      <c r="C308" s="113" t="n">
        <v>105</v>
      </c>
      <c r="D308" s="113" t="n">
        <v>24009</v>
      </c>
      <c r="E308" s="113" t="s">
        <v>249</v>
      </c>
      <c r="F308" s="113" t="s">
        <v>244</v>
      </c>
      <c r="G308" s="113" t="s">
        <v>244</v>
      </c>
      <c r="H308" s="113" t="s">
        <v>244</v>
      </c>
      <c r="I308" s="113" t="s">
        <v>245</v>
      </c>
      <c r="J308" s="114" t="n">
        <v>3</v>
      </c>
      <c r="K308" s="113" t="str">
        <f aca="false">IFERROR(VLOOKUP($J308,$J$10:$K$13,2,0),"")</f>
        <v>NON DISTRIBUTOR</v>
      </c>
      <c r="L308" s="113" t="s">
        <v>26</v>
      </c>
      <c r="M308" s="114" t="n">
        <v>9</v>
      </c>
      <c r="N308" s="113" t="str">
        <f aca="false">IFERROR(VLOOKUP($M308,$M$3:$Q$14,2,0),"")</f>
        <v>In Pcs</v>
      </c>
      <c r="O308" s="113" t="str">
        <f aca="false">IFERROR(VLOOKUP($M308,$M$3:$Q$14,3,0),"")</f>
        <v>Pcs</v>
      </c>
      <c r="P308" s="114" t="n">
        <f aca="false">IFERROR(VLOOKUP($M308,$M$3:$Q$14,4,0),"")</f>
        <v>4</v>
      </c>
      <c r="Q308" s="113" t="str">
        <f aca="false">IFERROR(VLOOKUP($M308,$M$3:$Q$14,5,0),"")</f>
        <v>small</v>
      </c>
      <c r="R308" s="113" t="n">
        <v>576</v>
      </c>
      <c r="S308" s="115" t="n">
        <f aca="false">S307/12</f>
        <v>791.666666666667</v>
      </c>
      <c r="T308" s="116" t="n">
        <f aca="false">S308/1.11</f>
        <v>713.213213213213</v>
      </c>
      <c r="U308" s="117" t="n">
        <v>775</v>
      </c>
      <c r="V308" s="117" t="n">
        <v>698</v>
      </c>
      <c r="W308" s="1" t="e">
        <f aca="false">VLOOKUP($G308,#REF!,2,0)</f>
        <v>#VALUE!</v>
      </c>
    </row>
    <row r="309" customFormat="false" ht="22.5" hidden="true" customHeight="true" outlineLevel="0" collapsed="false">
      <c r="A309" s="53"/>
      <c r="B309" s="53"/>
      <c r="C309" s="113" t="n">
        <v>106</v>
      </c>
      <c r="D309" s="113" t="n">
        <v>24002</v>
      </c>
      <c r="E309" s="113" t="s">
        <v>250</v>
      </c>
      <c r="F309" s="113" t="s">
        <v>244</v>
      </c>
      <c r="G309" s="113" t="s">
        <v>244</v>
      </c>
      <c r="H309" s="113" t="s">
        <v>244</v>
      </c>
      <c r="I309" s="113" t="s">
        <v>245</v>
      </c>
      <c r="J309" s="114" t="n">
        <v>3</v>
      </c>
      <c r="K309" s="113" t="str">
        <f aca="false">IFERROR(VLOOKUP($J309,$J$10:$K$13,2,0),"")</f>
        <v>NON DISTRIBUTOR</v>
      </c>
      <c r="L309" s="113" t="s">
        <v>26</v>
      </c>
      <c r="M309" s="114" t="n">
        <v>1</v>
      </c>
      <c r="N309" s="113" t="str">
        <f aca="false">IFERROR(VLOOKUP($M309,$M$3:$Q$14,2,0),"")</f>
        <v>In Carton</v>
      </c>
      <c r="O309" s="113" t="str">
        <f aca="false">IFERROR(VLOOKUP($M309,$M$3:$Q$14,3,0),"")</f>
        <v>Carton</v>
      </c>
      <c r="P309" s="114" t="n">
        <f aca="false">IFERROR(VLOOKUP($M309,$M$3:$Q$14,4,0),"")</f>
        <v>1</v>
      </c>
      <c r="Q309" s="113" t="str">
        <f aca="false">IFERROR(VLOOKUP($M309,$M$3:$Q$14,5,0),"")</f>
        <v>large</v>
      </c>
      <c r="R309" s="113" t="n">
        <v>1</v>
      </c>
      <c r="S309" s="115" t="n">
        <f aca="false">19000*12</f>
        <v>228000</v>
      </c>
      <c r="T309" s="116" t="n">
        <f aca="false">S309/1.11</f>
        <v>205405.405405405</v>
      </c>
      <c r="U309" s="102" t="n">
        <f aca="false">V309+(V309*11%)</f>
        <v>211680.33</v>
      </c>
      <c r="V309" s="117" t="n">
        <v>190703</v>
      </c>
      <c r="W309" s="1" t="e">
        <f aca="false">VLOOKUP($G309,#REF!,2,0)</f>
        <v>#VALUE!</v>
      </c>
    </row>
    <row r="310" customFormat="false" ht="22.5" hidden="true" customHeight="true" outlineLevel="0" collapsed="false">
      <c r="A310" s="53"/>
      <c r="B310" s="53"/>
      <c r="C310" s="113" t="n">
        <v>106</v>
      </c>
      <c r="D310" s="113" t="n">
        <v>24002</v>
      </c>
      <c r="E310" s="113" t="s">
        <v>250</v>
      </c>
      <c r="F310" s="113" t="s">
        <v>244</v>
      </c>
      <c r="G310" s="113" t="s">
        <v>244</v>
      </c>
      <c r="H310" s="113" t="s">
        <v>244</v>
      </c>
      <c r="I310" s="113" t="s">
        <v>245</v>
      </c>
      <c r="J310" s="114" t="n">
        <v>3</v>
      </c>
      <c r="K310" s="113" t="str">
        <f aca="false">IFERROR(VLOOKUP($J310,$J$10:$K$13,2,0),"")</f>
        <v>NON DISTRIBUTOR</v>
      </c>
      <c r="L310" s="113" t="s">
        <v>26</v>
      </c>
      <c r="M310" s="114" t="n">
        <v>3</v>
      </c>
      <c r="N310" s="113" t="str">
        <f aca="false">IFERROR(VLOOKUP($M310,$M$3:$Q$14,2,0),"")</f>
        <v>In Pack</v>
      </c>
      <c r="O310" s="113" t="str">
        <f aca="false">IFERROR(VLOOKUP($M310,$M$3:$Q$14,3,0),"")</f>
        <v>Pack</v>
      </c>
      <c r="P310" s="114" t="n">
        <f aca="false">IFERROR(VLOOKUP($M310,$M$3:$Q$14,4,0),"")</f>
        <v>2</v>
      </c>
      <c r="Q310" s="113" t="n">
        <f aca="false">IFERROR(VLOOKUP($M310,$M$3:$Q$14,5,0),"")</f>
        <v>0</v>
      </c>
      <c r="R310" s="113" t="n">
        <v>12</v>
      </c>
      <c r="S310" s="115" t="n">
        <f aca="false">S309/12</f>
        <v>19000</v>
      </c>
      <c r="T310" s="116" t="n">
        <f aca="false">S310/1.11</f>
        <v>17117.1171171171</v>
      </c>
      <c r="U310" s="117" t="n">
        <v>17640</v>
      </c>
      <c r="V310" s="117" t="n">
        <v>15891</v>
      </c>
      <c r="W310" s="1" t="e">
        <f aca="false">VLOOKUP($G310,#REF!,2,0)</f>
        <v>#VALUE!</v>
      </c>
    </row>
    <row r="311" customFormat="false" ht="22.5" hidden="true" customHeight="true" outlineLevel="0" collapsed="false">
      <c r="A311" s="53"/>
      <c r="B311" s="53"/>
      <c r="C311" s="113" t="n">
        <v>106</v>
      </c>
      <c r="D311" s="113" t="n">
        <v>24002</v>
      </c>
      <c r="E311" s="113" t="s">
        <v>250</v>
      </c>
      <c r="F311" s="113" t="s">
        <v>244</v>
      </c>
      <c r="G311" s="113" t="s">
        <v>244</v>
      </c>
      <c r="H311" s="113" t="s">
        <v>244</v>
      </c>
      <c r="I311" s="113" t="s">
        <v>245</v>
      </c>
      <c r="J311" s="114" t="n">
        <v>3</v>
      </c>
      <c r="K311" s="113" t="str">
        <f aca="false">IFERROR(VLOOKUP($J311,$J$10:$K$13,2,0),"")</f>
        <v>NON DISTRIBUTOR</v>
      </c>
      <c r="L311" s="113" t="s">
        <v>26</v>
      </c>
      <c r="M311" s="114" t="n">
        <v>9</v>
      </c>
      <c r="N311" s="113" t="str">
        <f aca="false">IFERROR(VLOOKUP($M311,$M$3:$Q$14,2,0),"")</f>
        <v>In Pcs</v>
      </c>
      <c r="O311" s="113" t="str">
        <f aca="false">IFERROR(VLOOKUP($M311,$M$3:$Q$14,3,0),"")</f>
        <v>Pcs</v>
      </c>
      <c r="P311" s="114" t="n">
        <f aca="false">IFERROR(VLOOKUP($M311,$M$3:$Q$14,4,0),"")</f>
        <v>4</v>
      </c>
      <c r="Q311" s="113" t="str">
        <f aca="false">IFERROR(VLOOKUP($M311,$M$3:$Q$14,5,0),"")</f>
        <v>small</v>
      </c>
      <c r="R311" s="113" t="n">
        <v>120</v>
      </c>
      <c r="S311" s="115" t="n">
        <f aca="false">S310/10</f>
        <v>1900</v>
      </c>
      <c r="T311" s="116" t="n">
        <f aca="false">S311/1.11</f>
        <v>1711.71171171171</v>
      </c>
      <c r="U311" s="117" t="n">
        <v>1764</v>
      </c>
      <c r="V311" s="117" t="n">
        <v>1589</v>
      </c>
      <c r="W311" s="1" t="e">
        <f aca="false">VLOOKUP($G311,#REF!,2,0)</f>
        <v>#VALUE!</v>
      </c>
    </row>
    <row r="312" customFormat="false" ht="22.5" hidden="true" customHeight="true" outlineLevel="0" collapsed="false">
      <c r="A312" s="53"/>
      <c r="B312" s="53"/>
      <c r="C312" s="113" t="n">
        <v>107</v>
      </c>
      <c r="D312" s="113" t="n">
        <v>24011</v>
      </c>
      <c r="E312" s="113" t="s">
        <v>251</v>
      </c>
      <c r="F312" s="113" t="s">
        <v>244</v>
      </c>
      <c r="G312" s="113" t="s">
        <v>244</v>
      </c>
      <c r="H312" s="113" t="s">
        <v>244</v>
      </c>
      <c r="I312" s="113" t="s">
        <v>245</v>
      </c>
      <c r="J312" s="114" t="n">
        <v>3</v>
      </c>
      <c r="K312" s="113" t="str">
        <f aca="false">IFERROR(VLOOKUP($J312,$J$10:$K$13,2,0),"")</f>
        <v>NON DISTRIBUTOR</v>
      </c>
      <c r="L312" s="113" t="s">
        <v>26</v>
      </c>
      <c r="M312" s="114" t="n">
        <v>1</v>
      </c>
      <c r="N312" s="113" t="str">
        <f aca="false">IFERROR(VLOOKUP($M312,$M$3:$Q$14,2,0),"")</f>
        <v>In Carton</v>
      </c>
      <c r="O312" s="113" t="str">
        <f aca="false">IFERROR(VLOOKUP($M312,$M$3:$Q$14,3,0),"")</f>
        <v>Carton</v>
      </c>
      <c r="P312" s="114" t="n">
        <f aca="false">IFERROR(VLOOKUP($M312,$M$3:$Q$14,4,0),"")</f>
        <v>1</v>
      </c>
      <c r="Q312" s="113" t="str">
        <f aca="false">IFERROR(VLOOKUP($M312,$M$3:$Q$14,5,0),"")</f>
        <v>large</v>
      </c>
      <c r="R312" s="113" t="n">
        <v>1</v>
      </c>
      <c r="S312" s="115" t="n">
        <f aca="false">19800*12</f>
        <v>237600</v>
      </c>
      <c r="T312" s="116" t="n">
        <f aca="false">S312/1.11</f>
        <v>214054.054054054</v>
      </c>
      <c r="U312" s="102" t="n">
        <f aca="false">V312+(V312*11%)</f>
        <v>229324.89</v>
      </c>
      <c r="V312" s="117" t="n">
        <v>206599</v>
      </c>
      <c r="W312" s="1" t="e">
        <f aca="false">VLOOKUP($G312,#REF!,2,0)</f>
        <v>#VALUE!</v>
      </c>
    </row>
    <row r="313" customFormat="false" ht="22.5" hidden="true" customHeight="true" outlineLevel="0" collapsed="false">
      <c r="A313" s="53"/>
      <c r="B313" s="53"/>
      <c r="C313" s="113" t="n">
        <v>107</v>
      </c>
      <c r="D313" s="113" t="n">
        <v>24011</v>
      </c>
      <c r="E313" s="113" t="s">
        <v>251</v>
      </c>
      <c r="F313" s="113" t="s">
        <v>244</v>
      </c>
      <c r="G313" s="113" t="s">
        <v>244</v>
      </c>
      <c r="H313" s="113" t="s">
        <v>244</v>
      </c>
      <c r="I313" s="113" t="s">
        <v>245</v>
      </c>
      <c r="J313" s="114" t="n">
        <v>3</v>
      </c>
      <c r="K313" s="113" t="str">
        <f aca="false">IFERROR(VLOOKUP($J313,$J$10:$K$13,2,0),"")</f>
        <v>NON DISTRIBUTOR</v>
      </c>
      <c r="L313" s="113" t="s">
        <v>26</v>
      </c>
      <c r="M313" s="114" t="n">
        <v>3</v>
      </c>
      <c r="N313" s="113" t="str">
        <f aca="false">IFERROR(VLOOKUP($M313,$M$3:$Q$14,2,0),"")</f>
        <v>In Pack</v>
      </c>
      <c r="O313" s="113" t="str">
        <f aca="false">IFERROR(VLOOKUP($M313,$M$3:$Q$14,3,0),"")</f>
        <v>Pack</v>
      </c>
      <c r="P313" s="114" t="n">
        <f aca="false">IFERROR(VLOOKUP($M313,$M$3:$Q$14,4,0),"")</f>
        <v>2</v>
      </c>
      <c r="Q313" s="113" t="n">
        <f aca="false">IFERROR(VLOOKUP($M313,$M$3:$Q$14,5,0),"")</f>
        <v>0</v>
      </c>
      <c r="R313" s="113" t="n">
        <v>12</v>
      </c>
      <c r="S313" s="115" t="n">
        <f aca="false">S312/12</f>
        <v>19800</v>
      </c>
      <c r="T313" s="116" t="n">
        <f aca="false">S313/1.11</f>
        <v>17837.8378378378</v>
      </c>
      <c r="U313" s="117" t="n">
        <v>19110</v>
      </c>
      <c r="V313" s="117" t="n">
        <v>17216</v>
      </c>
      <c r="W313" s="1" t="e">
        <f aca="false">VLOOKUP($G313,#REF!,2,0)</f>
        <v>#VALUE!</v>
      </c>
    </row>
    <row r="314" customFormat="false" ht="22.5" hidden="true" customHeight="true" outlineLevel="0" collapsed="false">
      <c r="A314" s="53"/>
      <c r="B314" s="53"/>
      <c r="C314" s="113" t="n">
        <v>107</v>
      </c>
      <c r="D314" s="113" t="n">
        <v>24011</v>
      </c>
      <c r="E314" s="113" t="s">
        <v>251</v>
      </c>
      <c r="F314" s="113" t="s">
        <v>244</v>
      </c>
      <c r="G314" s="113" t="s">
        <v>244</v>
      </c>
      <c r="H314" s="113" t="s">
        <v>244</v>
      </c>
      <c r="I314" s="113" t="s">
        <v>245</v>
      </c>
      <c r="J314" s="114" t="n">
        <v>3</v>
      </c>
      <c r="K314" s="113" t="str">
        <f aca="false">IFERROR(VLOOKUP($J314,$J$10:$K$13,2,0),"")</f>
        <v>NON DISTRIBUTOR</v>
      </c>
      <c r="L314" s="113" t="s">
        <v>26</v>
      </c>
      <c r="M314" s="114" t="n">
        <v>9</v>
      </c>
      <c r="N314" s="113" t="str">
        <f aca="false">IFERROR(VLOOKUP($M314,$M$3:$Q$14,2,0),"")</f>
        <v>In Pcs</v>
      </c>
      <c r="O314" s="113" t="str">
        <f aca="false">IFERROR(VLOOKUP($M314,$M$3:$Q$14,3,0),"")</f>
        <v>Pcs</v>
      </c>
      <c r="P314" s="114" t="n">
        <f aca="false">IFERROR(VLOOKUP($M314,$M$3:$Q$14,4,0),"")</f>
        <v>4</v>
      </c>
      <c r="Q314" s="113" t="str">
        <f aca="false">IFERROR(VLOOKUP($M314,$M$3:$Q$14,5,0),"")</f>
        <v>small</v>
      </c>
      <c r="R314" s="113" t="n">
        <v>120</v>
      </c>
      <c r="S314" s="115" t="n">
        <f aca="false">S313/10</f>
        <v>1980</v>
      </c>
      <c r="T314" s="116" t="n">
        <f aca="false">S314/1.11</f>
        <v>1783.78378378378</v>
      </c>
      <c r="U314" s="117" t="n">
        <v>1911</v>
      </c>
      <c r="V314" s="117" t="n">
        <v>1721</v>
      </c>
      <c r="W314" s="1" t="e">
        <f aca="false">VLOOKUP($G314,#REF!,2,0)</f>
        <v>#VALUE!</v>
      </c>
    </row>
    <row r="315" customFormat="false" ht="22.5" hidden="true" customHeight="true" outlineLevel="0" collapsed="false">
      <c r="A315" s="53"/>
      <c r="B315" s="53"/>
      <c r="C315" s="113" t="n">
        <v>108</v>
      </c>
      <c r="D315" s="113" t="n">
        <v>24001</v>
      </c>
      <c r="E315" s="113" t="s">
        <v>252</v>
      </c>
      <c r="F315" s="113" t="s">
        <v>244</v>
      </c>
      <c r="G315" s="113" t="s">
        <v>244</v>
      </c>
      <c r="H315" s="113" t="s">
        <v>244</v>
      </c>
      <c r="I315" s="113" t="s">
        <v>245</v>
      </c>
      <c r="J315" s="114" t="n">
        <v>3</v>
      </c>
      <c r="K315" s="113" t="str">
        <f aca="false">IFERROR(VLOOKUP($J315,$J$10:$K$13,2,0),"")</f>
        <v>NON DISTRIBUTOR</v>
      </c>
      <c r="L315" s="113" t="s">
        <v>26</v>
      </c>
      <c r="M315" s="114" t="n">
        <v>1</v>
      </c>
      <c r="N315" s="113" t="str">
        <f aca="false">IFERROR(VLOOKUP($M315,$M$3:$Q$14,2,0),"")</f>
        <v>In Carton</v>
      </c>
      <c r="O315" s="113" t="str">
        <f aca="false">IFERROR(VLOOKUP($M315,$M$3:$Q$14,3,0),"")</f>
        <v>Carton</v>
      </c>
      <c r="P315" s="114" t="n">
        <f aca="false">IFERROR(VLOOKUP($M315,$M$3:$Q$14,4,0),"")</f>
        <v>1</v>
      </c>
      <c r="Q315" s="113" t="str">
        <f aca="false">IFERROR(VLOOKUP($M315,$M$3:$Q$14,5,0),"")</f>
        <v>large</v>
      </c>
      <c r="R315" s="113" t="n">
        <v>1</v>
      </c>
      <c r="S315" s="115" t="n">
        <f aca="false">19000*12</f>
        <v>228000</v>
      </c>
      <c r="T315" s="116" t="n">
        <f aca="false">S315/1.11</f>
        <v>205405.405405405</v>
      </c>
      <c r="U315" s="102" t="n">
        <f aca="false">V315+(V315*11%)</f>
        <v>211680.33</v>
      </c>
      <c r="V315" s="117" t="n">
        <v>190703</v>
      </c>
      <c r="W315" s="1" t="e">
        <f aca="false">VLOOKUP($G315,#REF!,2,0)</f>
        <v>#VALUE!</v>
      </c>
    </row>
    <row r="316" customFormat="false" ht="22.5" hidden="true" customHeight="true" outlineLevel="0" collapsed="false">
      <c r="A316" s="53"/>
      <c r="B316" s="53"/>
      <c r="C316" s="113" t="n">
        <v>108</v>
      </c>
      <c r="D316" s="113" t="n">
        <v>24001</v>
      </c>
      <c r="E316" s="113" t="s">
        <v>252</v>
      </c>
      <c r="F316" s="113" t="s">
        <v>244</v>
      </c>
      <c r="G316" s="113" t="s">
        <v>244</v>
      </c>
      <c r="H316" s="113" t="s">
        <v>244</v>
      </c>
      <c r="I316" s="113" t="s">
        <v>245</v>
      </c>
      <c r="J316" s="114" t="n">
        <v>3</v>
      </c>
      <c r="K316" s="113" t="str">
        <f aca="false">IFERROR(VLOOKUP($J316,$J$10:$K$13,2,0),"")</f>
        <v>NON DISTRIBUTOR</v>
      </c>
      <c r="L316" s="113" t="s">
        <v>26</v>
      </c>
      <c r="M316" s="114" t="n">
        <v>3</v>
      </c>
      <c r="N316" s="113" t="str">
        <f aca="false">IFERROR(VLOOKUP($M316,$M$3:$Q$14,2,0),"")</f>
        <v>In Pack</v>
      </c>
      <c r="O316" s="113" t="str">
        <f aca="false">IFERROR(VLOOKUP($M316,$M$3:$Q$14,3,0),"")</f>
        <v>Pack</v>
      </c>
      <c r="P316" s="114" t="n">
        <f aca="false">IFERROR(VLOOKUP($M316,$M$3:$Q$14,4,0),"")</f>
        <v>2</v>
      </c>
      <c r="Q316" s="113" t="n">
        <f aca="false">IFERROR(VLOOKUP($M316,$M$3:$Q$14,5,0),"")</f>
        <v>0</v>
      </c>
      <c r="R316" s="113" t="n">
        <v>12</v>
      </c>
      <c r="S316" s="115" t="n">
        <f aca="false">S315/12</f>
        <v>19000</v>
      </c>
      <c r="T316" s="116" t="n">
        <f aca="false">S316/1.11</f>
        <v>17117.1171171171</v>
      </c>
      <c r="U316" s="117" t="n">
        <v>17640</v>
      </c>
      <c r="V316" s="117" t="n">
        <v>15891</v>
      </c>
      <c r="W316" s="1" t="e">
        <f aca="false">VLOOKUP($G316,#REF!,2,0)</f>
        <v>#VALUE!</v>
      </c>
    </row>
    <row r="317" customFormat="false" ht="22.5" hidden="true" customHeight="true" outlineLevel="0" collapsed="false">
      <c r="A317" s="53"/>
      <c r="B317" s="53"/>
      <c r="C317" s="113" t="n">
        <v>108</v>
      </c>
      <c r="D317" s="113" t="n">
        <v>24001</v>
      </c>
      <c r="E317" s="113" t="s">
        <v>252</v>
      </c>
      <c r="F317" s="113" t="s">
        <v>244</v>
      </c>
      <c r="G317" s="113" t="s">
        <v>244</v>
      </c>
      <c r="H317" s="113" t="s">
        <v>244</v>
      </c>
      <c r="I317" s="113" t="s">
        <v>245</v>
      </c>
      <c r="J317" s="114" t="n">
        <v>3</v>
      </c>
      <c r="K317" s="113" t="str">
        <f aca="false">IFERROR(VLOOKUP($J317,$J$10:$K$13,2,0),"")</f>
        <v>NON DISTRIBUTOR</v>
      </c>
      <c r="L317" s="113" t="s">
        <v>26</v>
      </c>
      <c r="M317" s="114" t="n">
        <v>9</v>
      </c>
      <c r="N317" s="113" t="str">
        <f aca="false">IFERROR(VLOOKUP($M317,$M$3:$Q$14,2,0),"")</f>
        <v>In Pcs</v>
      </c>
      <c r="O317" s="113" t="str">
        <f aca="false">IFERROR(VLOOKUP($M317,$M$3:$Q$14,3,0),"")</f>
        <v>Pcs</v>
      </c>
      <c r="P317" s="114" t="n">
        <f aca="false">IFERROR(VLOOKUP($M317,$M$3:$Q$14,4,0),"")</f>
        <v>4</v>
      </c>
      <c r="Q317" s="113" t="str">
        <f aca="false">IFERROR(VLOOKUP($M317,$M$3:$Q$14,5,0),"")</f>
        <v>small</v>
      </c>
      <c r="R317" s="113" t="n">
        <v>120</v>
      </c>
      <c r="S317" s="115" t="n">
        <f aca="false">S316/10</f>
        <v>1900</v>
      </c>
      <c r="T317" s="116" t="n">
        <f aca="false">S317/1.11</f>
        <v>1711.71171171171</v>
      </c>
      <c r="U317" s="117" t="n">
        <v>1764</v>
      </c>
      <c r="V317" s="117" t="n">
        <v>1589</v>
      </c>
      <c r="W317" s="1" t="e">
        <f aca="false">VLOOKUP($G317,#REF!,2,0)</f>
        <v>#VALUE!</v>
      </c>
    </row>
    <row r="318" customFormat="false" ht="22.5" hidden="true" customHeight="true" outlineLevel="0" collapsed="false">
      <c r="A318" s="53"/>
      <c r="B318" s="53"/>
      <c r="C318" s="113" t="n">
        <v>109</v>
      </c>
      <c r="D318" s="113" t="n">
        <v>24005</v>
      </c>
      <c r="E318" s="113" t="s">
        <v>253</v>
      </c>
      <c r="F318" s="113" t="s">
        <v>244</v>
      </c>
      <c r="G318" s="113" t="s">
        <v>244</v>
      </c>
      <c r="H318" s="113" t="s">
        <v>244</v>
      </c>
      <c r="I318" s="113" t="s">
        <v>245</v>
      </c>
      <c r="J318" s="114" t="n">
        <v>3</v>
      </c>
      <c r="K318" s="113" t="str">
        <f aca="false">IFERROR(VLOOKUP($J318,$J$10:$K$13,2,0),"")</f>
        <v>NON DISTRIBUTOR</v>
      </c>
      <c r="L318" s="113" t="s">
        <v>26</v>
      </c>
      <c r="M318" s="114" t="n">
        <v>1</v>
      </c>
      <c r="N318" s="113" t="str">
        <f aca="false">IFERROR(VLOOKUP($M318,$M$3:$Q$14,2,0),"")</f>
        <v>In Carton</v>
      </c>
      <c r="O318" s="113" t="str">
        <f aca="false">IFERROR(VLOOKUP($M318,$M$3:$Q$14,3,0),"")</f>
        <v>Carton</v>
      </c>
      <c r="P318" s="114" t="n">
        <f aca="false">IFERROR(VLOOKUP($M318,$M$3:$Q$14,4,0),"")</f>
        <v>1</v>
      </c>
      <c r="Q318" s="113" t="str">
        <f aca="false">IFERROR(VLOOKUP($M318,$M$3:$Q$14,5,0),"")</f>
        <v>large</v>
      </c>
      <c r="R318" s="113" t="n">
        <v>1</v>
      </c>
      <c r="S318" s="115" t="n">
        <f aca="false">19000*12</f>
        <v>228000</v>
      </c>
      <c r="T318" s="116" t="n">
        <f aca="false">S318/1.11</f>
        <v>205405.405405405</v>
      </c>
      <c r="U318" s="102" t="n">
        <f aca="false">V318+(V318*11%)</f>
        <v>211680.33</v>
      </c>
      <c r="V318" s="117" t="n">
        <v>190703</v>
      </c>
      <c r="W318" s="1" t="e">
        <f aca="false">VLOOKUP($G318,#REF!,2,0)</f>
        <v>#VALUE!</v>
      </c>
    </row>
    <row r="319" customFormat="false" ht="22.5" hidden="true" customHeight="true" outlineLevel="0" collapsed="false">
      <c r="A319" s="53"/>
      <c r="B319" s="53"/>
      <c r="C319" s="113" t="n">
        <v>109</v>
      </c>
      <c r="D319" s="113" t="n">
        <v>24005</v>
      </c>
      <c r="E319" s="113" t="s">
        <v>253</v>
      </c>
      <c r="F319" s="113" t="s">
        <v>244</v>
      </c>
      <c r="G319" s="113" t="s">
        <v>244</v>
      </c>
      <c r="H319" s="113" t="s">
        <v>244</v>
      </c>
      <c r="I319" s="113" t="s">
        <v>245</v>
      </c>
      <c r="J319" s="114" t="n">
        <v>3</v>
      </c>
      <c r="K319" s="113" t="str">
        <f aca="false">IFERROR(VLOOKUP($J319,$J$10:$K$13,2,0),"")</f>
        <v>NON DISTRIBUTOR</v>
      </c>
      <c r="L319" s="113" t="s">
        <v>26</v>
      </c>
      <c r="M319" s="114" t="n">
        <v>3</v>
      </c>
      <c r="N319" s="113" t="str">
        <f aca="false">IFERROR(VLOOKUP($M319,$M$3:$Q$14,2,0),"")</f>
        <v>In Pack</v>
      </c>
      <c r="O319" s="113" t="str">
        <f aca="false">IFERROR(VLOOKUP($M319,$M$3:$Q$14,3,0),"")</f>
        <v>Pack</v>
      </c>
      <c r="P319" s="114" t="n">
        <f aca="false">IFERROR(VLOOKUP($M319,$M$3:$Q$14,4,0),"")</f>
        <v>2</v>
      </c>
      <c r="Q319" s="113" t="n">
        <f aca="false">IFERROR(VLOOKUP($M319,$M$3:$Q$14,5,0),"")</f>
        <v>0</v>
      </c>
      <c r="R319" s="113" t="n">
        <v>12</v>
      </c>
      <c r="S319" s="115" t="n">
        <f aca="false">S318/12</f>
        <v>19000</v>
      </c>
      <c r="T319" s="116" t="n">
        <f aca="false">S319/1.11</f>
        <v>17117.1171171171</v>
      </c>
      <c r="U319" s="117" t="n">
        <v>17640</v>
      </c>
      <c r="V319" s="117" t="n">
        <v>15891</v>
      </c>
      <c r="W319" s="1" t="e">
        <f aca="false">VLOOKUP($G319,#REF!,2,0)</f>
        <v>#VALUE!</v>
      </c>
    </row>
    <row r="320" customFormat="false" ht="22.5" hidden="true" customHeight="true" outlineLevel="0" collapsed="false">
      <c r="A320" s="53"/>
      <c r="B320" s="53"/>
      <c r="C320" s="113" t="n">
        <v>109</v>
      </c>
      <c r="D320" s="113" t="n">
        <v>24005</v>
      </c>
      <c r="E320" s="113" t="s">
        <v>253</v>
      </c>
      <c r="F320" s="113" t="s">
        <v>244</v>
      </c>
      <c r="G320" s="113" t="s">
        <v>244</v>
      </c>
      <c r="H320" s="113" t="s">
        <v>244</v>
      </c>
      <c r="I320" s="113" t="s">
        <v>245</v>
      </c>
      <c r="J320" s="114" t="n">
        <v>3</v>
      </c>
      <c r="K320" s="113" t="str">
        <f aca="false">IFERROR(VLOOKUP($J320,$J$10:$K$13,2,0),"")</f>
        <v>NON DISTRIBUTOR</v>
      </c>
      <c r="L320" s="113" t="s">
        <v>26</v>
      </c>
      <c r="M320" s="114" t="n">
        <v>9</v>
      </c>
      <c r="N320" s="113" t="str">
        <f aca="false">IFERROR(VLOOKUP($M320,$M$3:$Q$14,2,0),"")</f>
        <v>In Pcs</v>
      </c>
      <c r="O320" s="113" t="str">
        <f aca="false">IFERROR(VLOOKUP($M320,$M$3:$Q$14,3,0),"")</f>
        <v>Pcs</v>
      </c>
      <c r="P320" s="114" t="n">
        <f aca="false">IFERROR(VLOOKUP($M320,$M$3:$Q$14,4,0),"")</f>
        <v>4</v>
      </c>
      <c r="Q320" s="113" t="str">
        <f aca="false">IFERROR(VLOOKUP($M320,$M$3:$Q$14,5,0),"")</f>
        <v>small</v>
      </c>
      <c r="R320" s="113" t="n">
        <v>120</v>
      </c>
      <c r="S320" s="115" t="n">
        <f aca="false">S319/10</f>
        <v>1900</v>
      </c>
      <c r="T320" s="116" t="n">
        <f aca="false">S320/1.11</f>
        <v>1711.71171171171</v>
      </c>
      <c r="U320" s="117" t="n">
        <v>1764</v>
      </c>
      <c r="V320" s="117" t="n">
        <v>1589</v>
      </c>
      <c r="W320" s="1" t="e">
        <f aca="false">VLOOKUP($G320,#REF!,2,0)</f>
        <v>#VALUE!</v>
      </c>
    </row>
    <row r="321" customFormat="false" ht="22.5" hidden="true" customHeight="true" outlineLevel="0" collapsed="false">
      <c r="A321" s="53"/>
      <c r="B321" s="53"/>
      <c r="C321" s="118" t="n">
        <v>110</v>
      </c>
      <c r="D321" s="118"/>
      <c r="E321" s="118" t="s">
        <v>254</v>
      </c>
      <c r="F321" s="118" t="s">
        <v>255</v>
      </c>
      <c r="G321" s="118" t="s">
        <v>255</v>
      </c>
      <c r="H321" s="118" t="s">
        <v>255</v>
      </c>
      <c r="I321" s="118" t="s">
        <v>256</v>
      </c>
      <c r="J321" s="119" t="n">
        <v>3</v>
      </c>
      <c r="K321" s="118" t="str">
        <f aca="false">IFERROR(VLOOKUP($J321,$J$10:$K$13,2,0),"")</f>
        <v>NON DISTRIBUTOR</v>
      </c>
      <c r="L321" s="118" t="s">
        <v>26</v>
      </c>
      <c r="M321" s="119" t="n">
        <v>1</v>
      </c>
      <c r="N321" s="118" t="str">
        <f aca="false">IFERROR(VLOOKUP($M321,$M$3:$Q$14,2,0),"")</f>
        <v>In Carton</v>
      </c>
      <c r="O321" s="118" t="str">
        <f aca="false">IFERROR(VLOOKUP($M321,$M$3:$Q$14,3,0),"")</f>
        <v>Carton</v>
      </c>
      <c r="P321" s="119" t="n">
        <f aca="false">IFERROR(VLOOKUP($M321,$M$3:$Q$14,4,0),"")</f>
        <v>1</v>
      </c>
      <c r="Q321" s="118" t="str">
        <f aca="false">IFERROR(VLOOKUP($M321,$M$3:$Q$14,5,0),"")</f>
        <v>large</v>
      </c>
      <c r="R321" s="118" t="n">
        <v>1</v>
      </c>
      <c r="S321" s="120" t="n">
        <f aca="false">8700*8</f>
        <v>69600</v>
      </c>
      <c r="T321" s="121" t="n">
        <f aca="false">S321/1.11</f>
        <v>62702.7027027027</v>
      </c>
      <c r="U321" s="102" t="n">
        <f aca="false">V321+(V321*11%)</f>
        <v>62098.95</v>
      </c>
      <c r="V321" s="122" t="n">
        <v>55945</v>
      </c>
      <c r="W321" s="1" t="e">
        <f aca="false">VLOOKUP($G321,#REF!,2,0)</f>
        <v>#VALUE!</v>
      </c>
    </row>
    <row r="322" customFormat="false" ht="22.5" hidden="true" customHeight="true" outlineLevel="0" collapsed="false">
      <c r="A322" s="53"/>
      <c r="B322" s="53"/>
      <c r="C322" s="118" t="n">
        <v>110</v>
      </c>
      <c r="D322" s="118"/>
      <c r="E322" s="118" t="s">
        <v>254</v>
      </c>
      <c r="F322" s="118" t="s">
        <v>255</v>
      </c>
      <c r="G322" s="118" t="s">
        <v>255</v>
      </c>
      <c r="H322" s="118" t="s">
        <v>255</v>
      </c>
      <c r="I322" s="118" t="s">
        <v>256</v>
      </c>
      <c r="J322" s="119" t="n">
        <v>3</v>
      </c>
      <c r="K322" s="118" t="str">
        <f aca="false">IFERROR(VLOOKUP($J322,$J$10:$K$13,2,0),"")</f>
        <v>NON DISTRIBUTOR</v>
      </c>
      <c r="L322" s="118" t="s">
        <v>26</v>
      </c>
      <c r="M322" s="119" t="n">
        <v>8</v>
      </c>
      <c r="N322" s="118" t="str">
        <f aca="false">IFERROR(VLOOKUP($M322,$M$3:$Q$14,2,0),"")</f>
        <v>In Renceng</v>
      </c>
      <c r="O322" s="118" t="str">
        <f aca="false">IFERROR(VLOOKUP($M322,$M$3:$Q$14,3,0),"")</f>
        <v>Renceng</v>
      </c>
      <c r="P322" s="119" t="n">
        <f aca="false">IFERROR(VLOOKUP($M322,$M$3:$Q$14,4,0),"")</f>
        <v>3</v>
      </c>
      <c r="Q322" s="118" t="n">
        <f aca="false">IFERROR(VLOOKUP($M322,$M$3:$Q$14,5,0),"")</f>
        <v>0</v>
      </c>
      <c r="R322" s="118" t="n">
        <v>8</v>
      </c>
      <c r="S322" s="120" t="n">
        <f aca="false">S321/8</f>
        <v>8700</v>
      </c>
      <c r="T322" s="121" t="n">
        <f aca="false">S322/1.11</f>
        <v>7837.83783783784</v>
      </c>
      <c r="U322" s="102" t="n">
        <f aca="false">V322+(V322*11%)</f>
        <v>7762.23</v>
      </c>
      <c r="V322" s="122" t="n">
        <v>6993</v>
      </c>
      <c r="W322" s="1" t="e">
        <f aca="false">VLOOKUP($G322,#REF!,2,0)</f>
        <v>#VALUE!</v>
      </c>
    </row>
    <row r="323" customFormat="false" ht="22.5" hidden="true" customHeight="true" outlineLevel="0" collapsed="false">
      <c r="A323" s="53"/>
      <c r="B323" s="53"/>
      <c r="C323" s="118" t="n">
        <v>110</v>
      </c>
      <c r="D323" s="118"/>
      <c r="E323" s="118" t="s">
        <v>254</v>
      </c>
      <c r="F323" s="118" t="s">
        <v>255</v>
      </c>
      <c r="G323" s="118" t="s">
        <v>255</v>
      </c>
      <c r="H323" s="118" t="s">
        <v>255</v>
      </c>
      <c r="I323" s="118" t="s">
        <v>256</v>
      </c>
      <c r="J323" s="119" t="n">
        <v>3</v>
      </c>
      <c r="K323" s="118" t="str">
        <f aca="false">IFERROR(VLOOKUP($J323,$J$10:$K$13,2,0),"")</f>
        <v>NON DISTRIBUTOR</v>
      </c>
      <c r="L323" s="118" t="s">
        <v>26</v>
      </c>
      <c r="M323" s="119" t="n">
        <v>9</v>
      </c>
      <c r="N323" s="118" t="str">
        <f aca="false">IFERROR(VLOOKUP($M323,$M$3:$Q$14,2,0),"")</f>
        <v>In Pcs</v>
      </c>
      <c r="O323" s="118" t="str">
        <f aca="false">IFERROR(VLOOKUP($M323,$M$3:$Q$14,3,0),"")</f>
        <v>Pcs</v>
      </c>
      <c r="P323" s="119" t="n">
        <f aca="false">IFERROR(VLOOKUP($M323,$M$3:$Q$14,4,0),"")</f>
        <v>4</v>
      </c>
      <c r="Q323" s="118" t="str">
        <f aca="false">IFERROR(VLOOKUP($M323,$M$3:$Q$14,5,0),"")</f>
        <v>small</v>
      </c>
      <c r="R323" s="118" t="n">
        <v>80</v>
      </c>
      <c r="S323" s="120" t="n">
        <f aca="false">S322/10</f>
        <v>870</v>
      </c>
      <c r="T323" s="121" t="n">
        <f aca="false">S323/1.11</f>
        <v>783.783783783784</v>
      </c>
      <c r="U323" s="102" t="n">
        <f aca="false">V323+(V323*11%)</f>
        <v>775.89</v>
      </c>
      <c r="V323" s="122" t="n">
        <v>699</v>
      </c>
      <c r="W323" s="1" t="e">
        <f aca="false">VLOOKUP($G323,#REF!,2,0)</f>
        <v>#VALUE!</v>
      </c>
    </row>
    <row r="324" customFormat="false" ht="22.5" hidden="true" customHeight="true" outlineLevel="0" collapsed="false">
      <c r="A324" s="53"/>
      <c r="B324" s="53"/>
      <c r="C324" s="118" t="n">
        <v>111</v>
      </c>
      <c r="D324" s="118"/>
      <c r="E324" s="118" t="s">
        <v>257</v>
      </c>
      <c r="F324" s="118" t="s">
        <v>255</v>
      </c>
      <c r="G324" s="118" t="s">
        <v>255</v>
      </c>
      <c r="H324" s="118" t="s">
        <v>255</v>
      </c>
      <c r="I324" s="118" t="s">
        <v>256</v>
      </c>
      <c r="J324" s="119" t="n">
        <v>3</v>
      </c>
      <c r="K324" s="118" t="str">
        <f aca="false">IFERROR(VLOOKUP($J324,$J$10:$K$13,2,0),"")</f>
        <v>NON DISTRIBUTOR</v>
      </c>
      <c r="L324" s="118" t="s">
        <v>26</v>
      </c>
      <c r="M324" s="119" t="n">
        <v>1</v>
      </c>
      <c r="N324" s="118" t="str">
        <f aca="false">IFERROR(VLOOKUP($M324,$M$3:$Q$14,2,0),"")</f>
        <v>In Carton</v>
      </c>
      <c r="O324" s="118" t="str">
        <f aca="false">IFERROR(VLOOKUP($M324,$M$3:$Q$14,3,0),"")</f>
        <v>Carton</v>
      </c>
      <c r="P324" s="119" t="n">
        <f aca="false">IFERROR(VLOOKUP($M324,$M$3:$Q$14,4,0),"")</f>
        <v>1</v>
      </c>
      <c r="Q324" s="118" t="str">
        <f aca="false">IFERROR(VLOOKUP($M324,$M$3:$Q$14,5,0),"")</f>
        <v>large</v>
      </c>
      <c r="R324" s="118" t="n">
        <v>1</v>
      </c>
      <c r="S324" s="120" t="n">
        <f aca="false">8650*8</f>
        <v>69200</v>
      </c>
      <c r="T324" s="121" t="n">
        <f aca="false">S324/1.11</f>
        <v>62342.3423423423</v>
      </c>
      <c r="U324" s="102" t="n">
        <f aca="false">V324+(V324*11%)</f>
        <v>62559.6</v>
      </c>
      <c r="V324" s="122" t="n">
        <v>56360</v>
      </c>
      <c r="W324" s="1" t="e">
        <f aca="false">VLOOKUP($G324,#REF!,2,0)</f>
        <v>#VALUE!</v>
      </c>
    </row>
    <row r="325" customFormat="false" ht="22.5" hidden="true" customHeight="true" outlineLevel="0" collapsed="false">
      <c r="A325" s="53"/>
      <c r="B325" s="53"/>
      <c r="C325" s="118" t="n">
        <v>111</v>
      </c>
      <c r="D325" s="118"/>
      <c r="E325" s="118" t="s">
        <v>257</v>
      </c>
      <c r="F325" s="118" t="s">
        <v>255</v>
      </c>
      <c r="G325" s="118" t="s">
        <v>255</v>
      </c>
      <c r="H325" s="118" t="s">
        <v>255</v>
      </c>
      <c r="I325" s="118" t="s">
        <v>256</v>
      </c>
      <c r="J325" s="119" t="n">
        <v>3</v>
      </c>
      <c r="K325" s="118" t="str">
        <f aca="false">IFERROR(VLOOKUP($J325,$J$10:$K$13,2,0),"")</f>
        <v>NON DISTRIBUTOR</v>
      </c>
      <c r="L325" s="118" t="s">
        <v>26</v>
      </c>
      <c r="M325" s="119" t="n">
        <v>8</v>
      </c>
      <c r="N325" s="118" t="str">
        <f aca="false">IFERROR(VLOOKUP($M325,$M$3:$Q$14,2,0),"")</f>
        <v>In Renceng</v>
      </c>
      <c r="O325" s="118" t="str">
        <f aca="false">IFERROR(VLOOKUP($M325,$M$3:$Q$14,3,0),"")</f>
        <v>Renceng</v>
      </c>
      <c r="P325" s="119" t="n">
        <f aca="false">IFERROR(VLOOKUP($M325,$M$3:$Q$14,4,0),"")</f>
        <v>3</v>
      </c>
      <c r="Q325" s="118" t="n">
        <f aca="false">IFERROR(VLOOKUP($M325,$M$3:$Q$14,5,0),"")</f>
        <v>0</v>
      </c>
      <c r="R325" s="118" t="n">
        <v>8</v>
      </c>
      <c r="S325" s="120" t="n">
        <f aca="false">S324/8</f>
        <v>8650</v>
      </c>
      <c r="T325" s="121" t="n">
        <f aca="false">S325/1.11</f>
        <v>7792.79279279279</v>
      </c>
      <c r="U325" s="102" t="n">
        <f aca="false">V325+(V325*11%)</f>
        <v>7819.95</v>
      </c>
      <c r="V325" s="122" t="n">
        <v>7045</v>
      </c>
      <c r="W325" s="1" t="e">
        <f aca="false">VLOOKUP($G325,#REF!,2,0)</f>
        <v>#VALUE!</v>
      </c>
    </row>
    <row r="326" customFormat="false" ht="22.5" hidden="true" customHeight="true" outlineLevel="0" collapsed="false">
      <c r="A326" s="53"/>
      <c r="B326" s="53"/>
      <c r="C326" s="118" t="n">
        <v>111</v>
      </c>
      <c r="D326" s="118"/>
      <c r="E326" s="118" t="s">
        <v>257</v>
      </c>
      <c r="F326" s="118" t="s">
        <v>255</v>
      </c>
      <c r="G326" s="118" t="s">
        <v>255</v>
      </c>
      <c r="H326" s="118" t="s">
        <v>255</v>
      </c>
      <c r="I326" s="118" t="s">
        <v>256</v>
      </c>
      <c r="J326" s="119" t="n">
        <v>3</v>
      </c>
      <c r="K326" s="118" t="str">
        <f aca="false">IFERROR(VLOOKUP($J326,$J$10:$K$13,2,0),"")</f>
        <v>NON DISTRIBUTOR</v>
      </c>
      <c r="L326" s="118" t="s">
        <v>26</v>
      </c>
      <c r="M326" s="119" t="n">
        <v>9</v>
      </c>
      <c r="N326" s="118" t="str">
        <f aca="false">IFERROR(VLOOKUP($M326,$M$3:$Q$14,2,0),"")</f>
        <v>In Pcs</v>
      </c>
      <c r="O326" s="118" t="str">
        <f aca="false">IFERROR(VLOOKUP($M326,$M$3:$Q$14,3,0),"")</f>
        <v>Pcs</v>
      </c>
      <c r="P326" s="119" t="n">
        <f aca="false">IFERROR(VLOOKUP($M326,$M$3:$Q$14,4,0),"")</f>
        <v>4</v>
      </c>
      <c r="Q326" s="118" t="str">
        <f aca="false">IFERROR(VLOOKUP($M326,$M$3:$Q$14,5,0),"")</f>
        <v>small</v>
      </c>
      <c r="R326" s="118" t="n">
        <v>80</v>
      </c>
      <c r="S326" s="120" t="n">
        <f aca="false">S325/80</f>
        <v>108.125</v>
      </c>
      <c r="T326" s="121" t="n">
        <f aca="false">S326/1.11</f>
        <v>97.4099099099099</v>
      </c>
      <c r="U326" s="102" t="n">
        <f aca="false">V326+(V326*11%)</f>
        <v>782.55</v>
      </c>
      <c r="V326" s="122" t="n">
        <v>705</v>
      </c>
      <c r="W326" s="1" t="e">
        <f aca="false">VLOOKUP($G326,#REF!,2,0)</f>
        <v>#VALUE!</v>
      </c>
    </row>
    <row r="327" customFormat="false" ht="22.5" hidden="true" customHeight="true" outlineLevel="0" collapsed="false">
      <c r="A327" s="53"/>
      <c r="B327" s="53"/>
      <c r="C327" s="118" t="n">
        <v>112</v>
      </c>
      <c r="D327" s="118"/>
      <c r="E327" s="118" t="s">
        <v>258</v>
      </c>
      <c r="F327" s="118" t="s">
        <v>255</v>
      </c>
      <c r="G327" s="118" t="s">
        <v>255</v>
      </c>
      <c r="H327" s="118" t="s">
        <v>255</v>
      </c>
      <c r="I327" s="118" t="s">
        <v>256</v>
      </c>
      <c r="J327" s="119" t="n">
        <v>3</v>
      </c>
      <c r="K327" s="118" t="str">
        <f aca="false">IFERROR(VLOOKUP($J327,$J$10:$K$13,2,0),"")</f>
        <v>NON DISTRIBUTOR</v>
      </c>
      <c r="L327" s="118" t="s">
        <v>26</v>
      </c>
      <c r="M327" s="119" t="n">
        <v>1</v>
      </c>
      <c r="N327" s="118" t="str">
        <f aca="false">IFERROR(VLOOKUP($M327,$M$3:$Q$14,2,0),"")</f>
        <v>In Carton</v>
      </c>
      <c r="O327" s="118" t="str">
        <f aca="false">IFERROR(VLOOKUP($M327,$M$3:$Q$14,3,0),"")</f>
        <v>Carton</v>
      </c>
      <c r="P327" s="119" t="n">
        <f aca="false">IFERROR(VLOOKUP($M327,$M$3:$Q$14,4,0),"")</f>
        <v>1</v>
      </c>
      <c r="Q327" s="118" t="str">
        <f aca="false">IFERROR(VLOOKUP($M327,$M$3:$Q$14,5,0),"")</f>
        <v>large</v>
      </c>
      <c r="R327" s="118" t="n">
        <v>1</v>
      </c>
      <c r="S327" s="120" t="n">
        <f aca="false">9000*4</f>
        <v>36000</v>
      </c>
      <c r="T327" s="121" t="n">
        <f aca="false">S327/1.11</f>
        <v>32432.4324324324</v>
      </c>
      <c r="U327" s="102" t="n">
        <f aca="false">V327+(V327*11%)</f>
        <v>33119.07</v>
      </c>
      <c r="V327" s="122" t="n">
        <v>29837</v>
      </c>
      <c r="W327" s="1" t="e">
        <f aca="false">VLOOKUP($G327,#REF!,2,0)</f>
        <v>#VALUE!</v>
      </c>
    </row>
    <row r="328" customFormat="false" ht="22.5" hidden="true" customHeight="true" outlineLevel="0" collapsed="false">
      <c r="A328" s="53"/>
      <c r="B328" s="53"/>
      <c r="C328" s="118" t="n">
        <v>112</v>
      </c>
      <c r="D328" s="118"/>
      <c r="E328" s="118" t="s">
        <v>258</v>
      </c>
      <c r="F328" s="118" t="s">
        <v>255</v>
      </c>
      <c r="G328" s="118" t="s">
        <v>255</v>
      </c>
      <c r="H328" s="118" t="s">
        <v>255</v>
      </c>
      <c r="I328" s="118" t="s">
        <v>256</v>
      </c>
      <c r="J328" s="119" t="n">
        <v>3</v>
      </c>
      <c r="K328" s="118" t="str">
        <f aca="false">IFERROR(VLOOKUP($J328,$J$10:$K$13,2,0),"")</f>
        <v>NON DISTRIBUTOR</v>
      </c>
      <c r="L328" s="118" t="s">
        <v>26</v>
      </c>
      <c r="M328" s="119" t="n">
        <v>3</v>
      </c>
      <c r="N328" s="118" t="str">
        <f aca="false">IFERROR(VLOOKUP($M328,$M$3:$Q$14,2,0),"")</f>
        <v>In Pack</v>
      </c>
      <c r="O328" s="118" t="str">
        <f aca="false">IFERROR(VLOOKUP($M328,$M$3:$Q$14,3,0),"")</f>
        <v>Pack</v>
      </c>
      <c r="P328" s="119" t="n">
        <f aca="false">IFERROR(VLOOKUP($M328,$M$3:$Q$14,4,0),"")</f>
        <v>2</v>
      </c>
      <c r="Q328" s="118" t="n">
        <f aca="false">IFERROR(VLOOKUP($M328,$M$3:$Q$14,5,0),"")</f>
        <v>0</v>
      </c>
      <c r="R328" s="118" t="n">
        <v>4</v>
      </c>
      <c r="S328" s="120" t="n">
        <f aca="false">S327/4</f>
        <v>9000</v>
      </c>
      <c r="T328" s="121" t="n">
        <f aca="false">S328/1.11</f>
        <v>8108.10810810811</v>
      </c>
      <c r="U328" s="102" t="n">
        <f aca="false">V328+(V328*11%)</f>
        <v>8279.49</v>
      </c>
      <c r="V328" s="122" t="n">
        <v>7459</v>
      </c>
      <c r="W328" s="1" t="e">
        <f aca="false">VLOOKUP($G328,#REF!,2,0)</f>
        <v>#VALUE!</v>
      </c>
    </row>
    <row r="329" customFormat="false" ht="22.5" hidden="true" customHeight="true" outlineLevel="0" collapsed="false">
      <c r="A329" s="53"/>
      <c r="B329" s="53"/>
      <c r="C329" s="118" t="n">
        <v>112</v>
      </c>
      <c r="D329" s="118"/>
      <c r="E329" s="118" t="s">
        <v>258</v>
      </c>
      <c r="F329" s="118" t="s">
        <v>255</v>
      </c>
      <c r="G329" s="118" t="s">
        <v>255</v>
      </c>
      <c r="H329" s="118" t="s">
        <v>255</v>
      </c>
      <c r="I329" s="118" t="s">
        <v>256</v>
      </c>
      <c r="J329" s="119" t="n">
        <v>3</v>
      </c>
      <c r="K329" s="118" t="str">
        <f aca="false">IFERROR(VLOOKUP($J329,$J$10:$K$13,2,0),"")</f>
        <v>NON DISTRIBUTOR</v>
      </c>
      <c r="L329" s="118" t="s">
        <v>26</v>
      </c>
      <c r="M329" s="119" t="n">
        <v>9</v>
      </c>
      <c r="N329" s="118" t="str">
        <f aca="false">IFERROR(VLOOKUP($M329,$M$3:$Q$14,2,0),"")</f>
        <v>In Pcs</v>
      </c>
      <c r="O329" s="118" t="str">
        <f aca="false">IFERROR(VLOOKUP($M329,$M$3:$Q$14,3,0),"")</f>
        <v>Pcs</v>
      </c>
      <c r="P329" s="119" t="n">
        <f aca="false">IFERROR(VLOOKUP($M329,$M$3:$Q$14,4,0),"")</f>
        <v>4</v>
      </c>
      <c r="Q329" s="118" t="str">
        <f aca="false">IFERROR(VLOOKUP($M329,$M$3:$Q$14,5,0),"")</f>
        <v>small</v>
      </c>
      <c r="R329" s="118" t="n">
        <v>80</v>
      </c>
      <c r="S329" s="120" t="n">
        <f aca="false">S328/20</f>
        <v>450</v>
      </c>
      <c r="T329" s="121" t="n">
        <f aca="false">S329/1.11</f>
        <v>405.405405405405</v>
      </c>
      <c r="U329" s="102" t="n">
        <f aca="false">V329+(V329*11%)</f>
        <v>412.92</v>
      </c>
      <c r="V329" s="122" t="n">
        <v>372</v>
      </c>
      <c r="W329" s="1" t="e">
        <f aca="false">VLOOKUP($G329,#REF!,2,0)</f>
        <v>#VALUE!</v>
      </c>
    </row>
    <row r="330" customFormat="false" ht="22.5" hidden="true" customHeight="true" outlineLevel="0" collapsed="false">
      <c r="A330" s="53"/>
      <c r="B330" s="53"/>
      <c r="C330" s="118" t="n">
        <v>113</v>
      </c>
      <c r="D330" s="118"/>
      <c r="E330" s="118" t="s">
        <v>259</v>
      </c>
      <c r="F330" s="118" t="s">
        <v>255</v>
      </c>
      <c r="G330" s="118" t="s">
        <v>255</v>
      </c>
      <c r="H330" s="118" t="s">
        <v>255</v>
      </c>
      <c r="I330" s="118" t="s">
        <v>256</v>
      </c>
      <c r="J330" s="119" t="n">
        <v>3</v>
      </c>
      <c r="K330" s="118" t="str">
        <f aca="false">IFERROR(VLOOKUP($J330,$J$10:$K$13,2,0),"")</f>
        <v>NON DISTRIBUTOR</v>
      </c>
      <c r="L330" s="118" t="s">
        <v>26</v>
      </c>
      <c r="M330" s="119" t="n">
        <v>1</v>
      </c>
      <c r="N330" s="118" t="str">
        <f aca="false">IFERROR(VLOOKUP($M330,$M$3:$Q$14,2,0),"")</f>
        <v>In Carton</v>
      </c>
      <c r="O330" s="118" t="str">
        <f aca="false">IFERROR(VLOOKUP($M330,$M$3:$Q$14,3,0),"")</f>
        <v>Carton</v>
      </c>
      <c r="P330" s="119" t="n">
        <f aca="false">IFERROR(VLOOKUP($M330,$M$3:$Q$14,4,0),"")</f>
        <v>1</v>
      </c>
      <c r="Q330" s="118" t="str">
        <f aca="false">IFERROR(VLOOKUP($M330,$M$3:$Q$14,5,0),"")</f>
        <v>large</v>
      </c>
      <c r="R330" s="118" t="n">
        <v>1</v>
      </c>
      <c r="S330" s="120" t="n">
        <f aca="false">8700*8</f>
        <v>69600</v>
      </c>
      <c r="T330" s="121" t="n">
        <f aca="false">S330/1.11</f>
        <v>62702.7027027027</v>
      </c>
      <c r="U330" s="102" t="n">
        <f aca="false">V330+(V330*11%)</f>
        <v>62774.94</v>
      </c>
      <c r="V330" s="122" t="n">
        <v>56554</v>
      </c>
      <c r="W330" s="1" t="e">
        <f aca="false">VLOOKUP($G330,#REF!,2,0)</f>
        <v>#VALUE!</v>
      </c>
    </row>
    <row r="331" customFormat="false" ht="22.5" hidden="true" customHeight="true" outlineLevel="0" collapsed="false">
      <c r="A331" s="53"/>
      <c r="B331" s="53"/>
      <c r="C331" s="118" t="n">
        <v>113</v>
      </c>
      <c r="D331" s="118"/>
      <c r="E331" s="118" t="s">
        <v>259</v>
      </c>
      <c r="F331" s="118" t="s">
        <v>255</v>
      </c>
      <c r="G331" s="118" t="s">
        <v>255</v>
      </c>
      <c r="H331" s="118" t="s">
        <v>255</v>
      </c>
      <c r="I331" s="118" t="s">
        <v>256</v>
      </c>
      <c r="J331" s="119" t="n">
        <v>3</v>
      </c>
      <c r="K331" s="118" t="str">
        <f aca="false">IFERROR(VLOOKUP($J331,$J$10:$K$13,2,0),"")</f>
        <v>NON DISTRIBUTOR</v>
      </c>
      <c r="L331" s="118" t="s">
        <v>26</v>
      </c>
      <c r="M331" s="119" t="n">
        <v>8</v>
      </c>
      <c r="N331" s="118" t="str">
        <f aca="false">IFERROR(VLOOKUP($M331,$M$3:$Q$14,2,0),"")</f>
        <v>In Renceng</v>
      </c>
      <c r="O331" s="118" t="str">
        <f aca="false">IFERROR(VLOOKUP($M331,$M$3:$Q$14,3,0),"")</f>
        <v>Renceng</v>
      </c>
      <c r="P331" s="119" t="n">
        <f aca="false">IFERROR(VLOOKUP($M331,$M$3:$Q$14,4,0),"")</f>
        <v>3</v>
      </c>
      <c r="Q331" s="118" t="n">
        <f aca="false">IFERROR(VLOOKUP($M331,$M$3:$Q$14,5,0),"")</f>
        <v>0</v>
      </c>
      <c r="R331" s="118" t="n">
        <v>8</v>
      </c>
      <c r="S331" s="120" t="n">
        <f aca="false">S330/8</f>
        <v>8700</v>
      </c>
      <c r="T331" s="121" t="n">
        <f aca="false">S331/1.11</f>
        <v>7837.83783783784</v>
      </c>
      <c r="U331" s="102" t="n">
        <f aca="false">V331+(V331*11%)</f>
        <v>7846.59</v>
      </c>
      <c r="V331" s="122" t="n">
        <v>7069</v>
      </c>
      <c r="W331" s="1" t="e">
        <f aca="false">VLOOKUP($G331,#REF!,2,0)</f>
        <v>#VALUE!</v>
      </c>
    </row>
    <row r="332" customFormat="false" ht="22.5" hidden="true" customHeight="true" outlineLevel="0" collapsed="false">
      <c r="A332" s="53"/>
      <c r="B332" s="53"/>
      <c r="C332" s="118" t="n">
        <v>113</v>
      </c>
      <c r="D332" s="118"/>
      <c r="E332" s="118" t="s">
        <v>259</v>
      </c>
      <c r="F332" s="118" t="s">
        <v>255</v>
      </c>
      <c r="G332" s="118" t="s">
        <v>255</v>
      </c>
      <c r="H332" s="118" t="s">
        <v>255</v>
      </c>
      <c r="I332" s="118" t="s">
        <v>256</v>
      </c>
      <c r="J332" s="119" t="n">
        <v>3</v>
      </c>
      <c r="K332" s="118" t="str">
        <f aca="false">IFERROR(VLOOKUP($J332,$J$10:$K$13,2,0),"")</f>
        <v>NON DISTRIBUTOR</v>
      </c>
      <c r="L332" s="118" t="s">
        <v>26</v>
      </c>
      <c r="M332" s="119" t="n">
        <v>9</v>
      </c>
      <c r="N332" s="118" t="str">
        <f aca="false">IFERROR(VLOOKUP($M332,$M$3:$Q$14,2,0),"")</f>
        <v>In Pcs</v>
      </c>
      <c r="O332" s="118" t="str">
        <f aca="false">IFERROR(VLOOKUP($M332,$M$3:$Q$14,3,0),"")</f>
        <v>Pcs</v>
      </c>
      <c r="P332" s="119" t="n">
        <f aca="false">IFERROR(VLOOKUP($M332,$M$3:$Q$14,4,0),"")</f>
        <v>4</v>
      </c>
      <c r="Q332" s="118" t="str">
        <f aca="false">IFERROR(VLOOKUP($M332,$M$3:$Q$14,5,0),"")</f>
        <v>small</v>
      </c>
      <c r="R332" s="118" t="n">
        <v>80</v>
      </c>
      <c r="S332" s="120" t="n">
        <f aca="false">S331/10</f>
        <v>870</v>
      </c>
      <c r="T332" s="121" t="n">
        <f aca="false">S332/1.11</f>
        <v>783.783783783784</v>
      </c>
      <c r="U332" s="102" t="n">
        <f aca="false">V332+(V332*11%)</f>
        <v>783.66</v>
      </c>
      <c r="V332" s="122" t="n">
        <v>706</v>
      </c>
      <c r="W332" s="1" t="e">
        <f aca="false">VLOOKUP($G332,#REF!,2,0)</f>
        <v>#VALUE!</v>
      </c>
    </row>
    <row r="333" customFormat="false" ht="22.5" hidden="true" customHeight="true" outlineLevel="0" collapsed="false">
      <c r="A333" s="53"/>
      <c r="B333" s="53"/>
      <c r="C333" s="118" t="n">
        <v>114</v>
      </c>
      <c r="D333" s="118"/>
      <c r="E333" s="118" t="s">
        <v>260</v>
      </c>
      <c r="F333" s="118" t="s">
        <v>255</v>
      </c>
      <c r="G333" s="118" t="s">
        <v>255</v>
      </c>
      <c r="H333" s="118" t="s">
        <v>255</v>
      </c>
      <c r="I333" s="118" t="s">
        <v>256</v>
      </c>
      <c r="J333" s="119" t="n">
        <v>3</v>
      </c>
      <c r="K333" s="118" t="str">
        <f aca="false">IFERROR(VLOOKUP($J333,$J$10:$K$13,2,0),"")</f>
        <v>NON DISTRIBUTOR</v>
      </c>
      <c r="L333" s="118" t="s">
        <v>26</v>
      </c>
      <c r="M333" s="119" t="n">
        <v>1</v>
      </c>
      <c r="N333" s="118" t="str">
        <f aca="false">IFERROR(VLOOKUP($M333,$M$3:$Q$14,2,0),"")</f>
        <v>In Carton</v>
      </c>
      <c r="O333" s="118" t="str">
        <f aca="false">IFERROR(VLOOKUP($M333,$M$3:$Q$14,3,0),"")</f>
        <v>Carton</v>
      </c>
      <c r="P333" s="119" t="n">
        <f aca="false">IFERROR(VLOOKUP($M333,$M$3:$Q$14,4,0),"")</f>
        <v>1</v>
      </c>
      <c r="Q333" s="118" t="str">
        <f aca="false">IFERROR(VLOOKUP($M333,$M$3:$Q$14,5,0),"")</f>
        <v>large</v>
      </c>
      <c r="R333" s="118" t="n">
        <v>1</v>
      </c>
      <c r="S333" s="120" t="n">
        <f aca="false">17375*4</f>
        <v>69500</v>
      </c>
      <c r="T333" s="121" t="n">
        <f aca="false">S333/1.11</f>
        <v>62612.6126126126</v>
      </c>
      <c r="U333" s="102" t="n">
        <f aca="false">V333+(V333*11%)</f>
        <v>65329.05</v>
      </c>
      <c r="V333" s="122" t="n">
        <v>58855</v>
      </c>
      <c r="W333" s="1" t="e">
        <f aca="false">VLOOKUP($G333,#REF!,2,0)</f>
        <v>#VALUE!</v>
      </c>
    </row>
    <row r="334" customFormat="false" ht="22.5" hidden="true" customHeight="true" outlineLevel="0" collapsed="false">
      <c r="A334" s="53"/>
      <c r="B334" s="53"/>
      <c r="C334" s="118" t="n">
        <v>114</v>
      </c>
      <c r="D334" s="118"/>
      <c r="E334" s="118" t="s">
        <v>260</v>
      </c>
      <c r="F334" s="118" t="s">
        <v>255</v>
      </c>
      <c r="G334" s="118" t="s">
        <v>255</v>
      </c>
      <c r="H334" s="118" t="s">
        <v>255</v>
      </c>
      <c r="I334" s="118" t="s">
        <v>256</v>
      </c>
      <c r="J334" s="119" t="n">
        <v>3</v>
      </c>
      <c r="K334" s="118" t="str">
        <f aca="false">IFERROR(VLOOKUP($J334,$J$10:$K$13,2,0),"")</f>
        <v>NON DISTRIBUTOR</v>
      </c>
      <c r="L334" s="118" t="s">
        <v>26</v>
      </c>
      <c r="M334" s="119" t="n">
        <v>8</v>
      </c>
      <c r="N334" s="118" t="str">
        <f aca="false">IFERROR(VLOOKUP($M334,$M$3:$Q$14,2,0),"")</f>
        <v>In Renceng</v>
      </c>
      <c r="O334" s="118" t="str">
        <f aca="false">IFERROR(VLOOKUP($M334,$M$3:$Q$14,3,0),"")</f>
        <v>Renceng</v>
      </c>
      <c r="P334" s="119" t="n">
        <f aca="false">IFERROR(VLOOKUP($M334,$M$3:$Q$14,4,0),"")</f>
        <v>3</v>
      </c>
      <c r="Q334" s="118" t="n">
        <f aca="false">IFERROR(VLOOKUP($M334,$M$3:$Q$14,5,0),"")</f>
        <v>0</v>
      </c>
      <c r="R334" s="118" t="n">
        <v>4</v>
      </c>
      <c r="S334" s="120" t="n">
        <f aca="false">S333/4</f>
        <v>17375</v>
      </c>
      <c r="T334" s="121" t="n">
        <f aca="false">S334/1.11</f>
        <v>15653.1531531532</v>
      </c>
      <c r="U334" s="102" t="n">
        <f aca="false">V334+(V334*11%)</f>
        <v>16331.43</v>
      </c>
      <c r="V334" s="122" t="n">
        <v>14713</v>
      </c>
      <c r="W334" s="1" t="e">
        <f aca="false">VLOOKUP($G334,#REF!,2,0)</f>
        <v>#VALUE!</v>
      </c>
    </row>
    <row r="335" customFormat="false" ht="22.5" hidden="true" customHeight="true" outlineLevel="0" collapsed="false">
      <c r="A335" s="53"/>
      <c r="B335" s="53"/>
      <c r="C335" s="118" t="n">
        <v>114</v>
      </c>
      <c r="D335" s="118"/>
      <c r="E335" s="118" t="s">
        <v>260</v>
      </c>
      <c r="F335" s="118" t="s">
        <v>255</v>
      </c>
      <c r="G335" s="118" t="s">
        <v>255</v>
      </c>
      <c r="H335" s="118" t="s">
        <v>255</v>
      </c>
      <c r="I335" s="118" t="s">
        <v>256</v>
      </c>
      <c r="J335" s="119" t="n">
        <v>3</v>
      </c>
      <c r="K335" s="118" t="str">
        <f aca="false">IFERROR(VLOOKUP($J335,$J$10:$K$13,2,0),"")</f>
        <v>NON DISTRIBUTOR</v>
      </c>
      <c r="L335" s="118" t="s">
        <v>26</v>
      </c>
      <c r="M335" s="119" t="n">
        <v>9</v>
      </c>
      <c r="N335" s="118" t="str">
        <f aca="false">IFERROR(VLOOKUP($M335,$M$3:$Q$14,2,0),"")</f>
        <v>In Pcs</v>
      </c>
      <c r="O335" s="118" t="str">
        <f aca="false">IFERROR(VLOOKUP($M335,$M$3:$Q$14,3,0),"")</f>
        <v>Pcs</v>
      </c>
      <c r="P335" s="119" t="n">
        <f aca="false">IFERROR(VLOOKUP($M335,$M$3:$Q$14,4,0),"")</f>
        <v>4</v>
      </c>
      <c r="Q335" s="118" t="str">
        <f aca="false">IFERROR(VLOOKUP($M335,$M$3:$Q$14,5,0),"")</f>
        <v>small</v>
      </c>
      <c r="R335" s="118" t="n">
        <v>40</v>
      </c>
      <c r="S335" s="120" t="n">
        <f aca="false">S334/10</f>
        <v>1737.5</v>
      </c>
      <c r="T335" s="121" t="n">
        <f aca="false">S335/1.11</f>
        <v>1565.31531531532</v>
      </c>
      <c r="U335" s="102" t="n">
        <f aca="false">V335+(V335*11%)</f>
        <v>1632.81</v>
      </c>
      <c r="V335" s="122" t="n">
        <v>1471</v>
      </c>
      <c r="W335" s="1" t="e">
        <f aca="false">VLOOKUP($G335,#REF!,2,0)</f>
        <v>#VALUE!</v>
      </c>
    </row>
    <row r="336" customFormat="false" ht="22.5" hidden="true" customHeight="true" outlineLevel="0" collapsed="false">
      <c r="A336" s="53"/>
      <c r="B336" s="53"/>
      <c r="C336" s="118" t="n">
        <v>115</v>
      </c>
      <c r="D336" s="118"/>
      <c r="E336" s="118" t="s">
        <v>261</v>
      </c>
      <c r="F336" s="118" t="s">
        <v>255</v>
      </c>
      <c r="G336" s="118" t="s">
        <v>255</v>
      </c>
      <c r="H336" s="118" t="s">
        <v>255</v>
      </c>
      <c r="I336" s="118" t="s">
        <v>256</v>
      </c>
      <c r="J336" s="119" t="n">
        <v>3</v>
      </c>
      <c r="K336" s="118" t="str">
        <f aca="false">IFERROR(VLOOKUP($J336,$J$10:$K$13,2,0),"")</f>
        <v>NON DISTRIBUTOR</v>
      </c>
      <c r="L336" s="118" t="s">
        <v>26</v>
      </c>
      <c r="M336" s="119" t="n">
        <v>1</v>
      </c>
      <c r="N336" s="118" t="str">
        <f aca="false">IFERROR(VLOOKUP($M336,$M$3:$Q$14,2,0),"")</f>
        <v>In Carton</v>
      </c>
      <c r="O336" s="118" t="str">
        <f aca="false">IFERROR(VLOOKUP($M336,$M$3:$Q$14,3,0),"")</f>
        <v>Carton</v>
      </c>
      <c r="P336" s="119" t="n">
        <f aca="false">IFERROR(VLOOKUP($M336,$M$3:$Q$14,4,0),"")</f>
        <v>1</v>
      </c>
      <c r="Q336" s="118" t="str">
        <f aca="false">IFERROR(VLOOKUP($M336,$M$3:$Q$14,5,0),"")</f>
        <v>large</v>
      </c>
      <c r="R336" s="118" t="n">
        <v>1</v>
      </c>
      <c r="S336" s="120" t="n">
        <f aca="false">17300*4</f>
        <v>69200</v>
      </c>
      <c r="T336" s="121" t="n">
        <f aca="false">S336/1.11</f>
        <v>62342.3423423423</v>
      </c>
      <c r="U336" s="102" t="n">
        <f aca="false">V336+(V336*11%)</f>
        <v>65329.05</v>
      </c>
      <c r="V336" s="122" t="n">
        <v>58855</v>
      </c>
      <c r="W336" s="1" t="e">
        <f aca="false">VLOOKUP($G336,#REF!,2,0)</f>
        <v>#VALUE!</v>
      </c>
    </row>
    <row r="337" customFormat="false" ht="22.5" hidden="true" customHeight="true" outlineLevel="0" collapsed="false">
      <c r="A337" s="53"/>
      <c r="B337" s="53"/>
      <c r="C337" s="118" t="n">
        <v>115</v>
      </c>
      <c r="D337" s="118"/>
      <c r="E337" s="118" t="s">
        <v>261</v>
      </c>
      <c r="F337" s="118" t="s">
        <v>255</v>
      </c>
      <c r="G337" s="118" t="s">
        <v>255</v>
      </c>
      <c r="H337" s="118" t="s">
        <v>255</v>
      </c>
      <c r="I337" s="118" t="s">
        <v>256</v>
      </c>
      <c r="J337" s="119" t="n">
        <v>3</v>
      </c>
      <c r="K337" s="118" t="str">
        <f aca="false">IFERROR(VLOOKUP($J337,$J$10:$K$13,2,0),"")</f>
        <v>NON DISTRIBUTOR</v>
      </c>
      <c r="L337" s="118" t="s">
        <v>26</v>
      </c>
      <c r="M337" s="119" t="n">
        <v>8</v>
      </c>
      <c r="N337" s="118" t="str">
        <f aca="false">IFERROR(VLOOKUP($M337,$M$3:$Q$14,2,0),"")</f>
        <v>In Renceng</v>
      </c>
      <c r="O337" s="118" t="str">
        <f aca="false">IFERROR(VLOOKUP($M337,$M$3:$Q$14,3,0),"")</f>
        <v>Renceng</v>
      </c>
      <c r="P337" s="119" t="n">
        <f aca="false">IFERROR(VLOOKUP($M337,$M$3:$Q$14,4,0),"")</f>
        <v>3</v>
      </c>
      <c r="Q337" s="118" t="n">
        <f aca="false">IFERROR(VLOOKUP($M337,$M$3:$Q$14,5,0),"")</f>
        <v>0</v>
      </c>
      <c r="R337" s="118" t="n">
        <v>4</v>
      </c>
      <c r="S337" s="120" t="n">
        <f aca="false">S336/4</f>
        <v>17300</v>
      </c>
      <c r="T337" s="121" t="n">
        <f aca="false">S337/1.11</f>
        <v>15585.5855855856</v>
      </c>
      <c r="U337" s="102" t="n">
        <f aca="false">V337+(V337*11%)</f>
        <v>16331.43</v>
      </c>
      <c r="V337" s="122" t="n">
        <v>14713</v>
      </c>
      <c r="W337" s="1" t="e">
        <f aca="false">VLOOKUP($G337,#REF!,2,0)</f>
        <v>#VALUE!</v>
      </c>
    </row>
    <row r="338" customFormat="false" ht="22.5" hidden="true" customHeight="true" outlineLevel="0" collapsed="false">
      <c r="A338" s="53"/>
      <c r="B338" s="53"/>
      <c r="C338" s="118" t="n">
        <v>115</v>
      </c>
      <c r="D338" s="118"/>
      <c r="E338" s="118" t="s">
        <v>261</v>
      </c>
      <c r="F338" s="118" t="s">
        <v>255</v>
      </c>
      <c r="G338" s="118" t="s">
        <v>255</v>
      </c>
      <c r="H338" s="118" t="s">
        <v>255</v>
      </c>
      <c r="I338" s="118" t="s">
        <v>256</v>
      </c>
      <c r="J338" s="119" t="n">
        <v>3</v>
      </c>
      <c r="K338" s="118" t="str">
        <f aca="false">IFERROR(VLOOKUP($J338,$J$10:$K$13,2,0),"")</f>
        <v>NON DISTRIBUTOR</v>
      </c>
      <c r="L338" s="118" t="s">
        <v>26</v>
      </c>
      <c r="M338" s="119" t="n">
        <v>9</v>
      </c>
      <c r="N338" s="118" t="str">
        <f aca="false">IFERROR(VLOOKUP($M338,$M$3:$Q$14,2,0),"")</f>
        <v>In Pcs</v>
      </c>
      <c r="O338" s="118" t="str">
        <f aca="false">IFERROR(VLOOKUP($M338,$M$3:$Q$14,3,0),"")</f>
        <v>Pcs</v>
      </c>
      <c r="P338" s="119" t="n">
        <f aca="false">IFERROR(VLOOKUP($M338,$M$3:$Q$14,4,0),"")</f>
        <v>4</v>
      </c>
      <c r="Q338" s="118" t="str">
        <f aca="false">IFERROR(VLOOKUP($M338,$M$3:$Q$14,5,0),"")</f>
        <v>small</v>
      </c>
      <c r="R338" s="118" t="n">
        <v>40</v>
      </c>
      <c r="S338" s="120" t="n">
        <f aca="false">S337/10</f>
        <v>1730</v>
      </c>
      <c r="T338" s="121" t="n">
        <f aca="false">S338/1.11</f>
        <v>1558.55855855856</v>
      </c>
      <c r="U338" s="102" t="n">
        <f aca="false">V338+(V338*11%)</f>
        <v>1632.81</v>
      </c>
      <c r="V338" s="122" t="n">
        <v>1471</v>
      </c>
      <c r="W338" s="1" t="e">
        <f aca="false">VLOOKUP($G338,#REF!,2,0)</f>
        <v>#VALUE!</v>
      </c>
    </row>
    <row r="339" customFormat="false" ht="22.5" hidden="true" customHeight="true" outlineLevel="0" collapsed="false">
      <c r="A339" s="53"/>
      <c r="B339" s="53"/>
      <c r="C339" s="118" t="n">
        <v>116</v>
      </c>
      <c r="D339" s="118"/>
      <c r="E339" s="118" t="s">
        <v>262</v>
      </c>
      <c r="F339" s="118" t="s">
        <v>255</v>
      </c>
      <c r="G339" s="118" t="s">
        <v>255</v>
      </c>
      <c r="H339" s="118" t="s">
        <v>255</v>
      </c>
      <c r="I339" s="118" t="s">
        <v>256</v>
      </c>
      <c r="J339" s="119" t="n">
        <v>3</v>
      </c>
      <c r="K339" s="118" t="str">
        <f aca="false">IFERROR(VLOOKUP($J339,$J$10:$K$13,2,0),"")</f>
        <v>NON DISTRIBUTOR</v>
      </c>
      <c r="L339" s="118" t="s">
        <v>26</v>
      </c>
      <c r="M339" s="119" t="n">
        <v>1</v>
      </c>
      <c r="N339" s="118" t="str">
        <f aca="false">IFERROR(VLOOKUP($M339,$M$3:$Q$14,2,0),"")</f>
        <v>In Carton</v>
      </c>
      <c r="O339" s="118" t="str">
        <f aca="false">IFERROR(VLOOKUP($M339,$M$3:$Q$14,3,0),"")</f>
        <v>Carton</v>
      </c>
      <c r="P339" s="119" t="n">
        <f aca="false">IFERROR(VLOOKUP($M339,$M$3:$Q$14,4,0),"")</f>
        <v>1</v>
      </c>
      <c r="Q339" s="118" t="str">
        <f aca="false">IFERROR(VLOOKUP($M339,$M$3:$Q$14,5,0),"")</f>
        <v>large</v>
      </c>
      <c r="R339" s="118" t="n">
        <v>1</v>
      </c>
      <c r="S339" s="120" t="n">
        <f aca="false">17300*4</f>
        <v>69200</v>
      </c>
      <c r="T339" s="121" t="n">
        <f aca="false">S339/1.11</f>
        <v>62342.3423423423</v>
      </c>
      <c r="U339" s="102" t="n">
        <f aca="false">V339+(V339*11%)</f>
        <v>65329.05</v>
      </c>
      <c r="V339" s="122" t="n">
        <v>58855</v>
      </c>
      <c r="W339" s="1" t="e">
        <f aca="false">VLOOKUP($G339,#REF!,2,0)</f>
        <v>#VALUE!</v>
      </c>
    </row>
    <row r="340" customFormat="false" ht="22.5" hidden="true" customHeight="true" outlineLevel="0" collapsed="false">
      <c r="A340" s="53"/>
      <c r="B340" s="53"/>
      <c r="C340" s="118" t="n">
        <v>116</v>
      </c>
      <c r="D340" s="118"/>
      <c r="E340" s="118" t="s">
        <v>262</v>
      </c>
      <c r="F340" s="118" t="s">
        <v>255</v>
      </c>
      <c r="G340" s="118" t="s">
        <v>255</v>
      </c>
      <c r="H340" s="118" t="s">
        <v>255</v>
      </c>
      <c r="I340" s="118" t="s">
        <v>256</v>
      </c>
      <c r="J340" s="119" t="n">
        <v>3</v>
      </c>
      <c r="K340" s="118" t="str">
        <f aca="false">IFERROR(VLOOKUP($J340,$J$10:$K$13,2,0),"")</f>
        <v>NON DISTRIBUTOR</v>
      </c>
      <c r="L340" s="118" t="s">
        <v>26</v>
      </c>
      <c r="M340" s="119" t="n">
        <v>8</v>
      </c>
      <c r="N340" s="118" t="str">
        <f aca="false">IFERROR(VLOOKUP($M340,$M$3:$Q$14,2,0),"")</f>
        <v>In Renceng</v>
      </c>
      <c r="O340" s="118" t="str">
        <f aca="false">IFERROR(VLOOKUP($M340,$M$3:$Q$14,3,0),"")</f>
        <v>Renceng</v>
      </c>
      <c r="P340" s="119" t="n">
        <f aca="false">IFERROR(VLOOKUP($M340,$M$3:$Q$14,4,0),"")</f>
        <v>3</v>
      </c>
      <c r="Q340" s="118" t="n">
        <f aca="false">IFERROR(VLOOKUP($M340,$M$3:$Q$14,5,0),"")</f>
        <v>0</v>
      </c>
      <c r="R340" s="118" t="n">
        <v>4</v>
      </c>
      <c r="S340" s="120" t="n">
        <f aca="false">S339/4</f>
        <v>17300</v>
      </c>
      <c r="T340" s="121" t="n">
        <f aca="false">S340/1.11</f>
        <v>15585.5855855856</v>
      </c>
      <c r="U340" s="102" t="n">
        <f aca="false">V340+(V340*11%)</f>
        <v>16331.43</v>
      </c>
      <c r="V340" s="122" t="n">
        <v>14713</v>
      </c>
      <c r="W340" s="1" t="e">
        <f aca="false">VLOOKUP($G340,#REF!,2,0)</f>
        <v>#VALUE!</v>
      </c>
    </row>
    <row r="341" customFormat="false" ht="22.5" hidden="true" customHeight="true" outlineLevel="0" collapsed="false">
      <c r="A341" s="53"/>
      <c r="B341" s="53"/>
      <c r="C341" s="118" t="n">
        <v>116</v>
      </c>
      <c r="D341" s="118"/>
      <c r="E341" s="118" t="s">
        <v>262</v>
      </c>
      <c r="F341" s="118" t="s">
        <v>255</v>
      </c>
      <c r="G341" s="118" t="s">
        <v>255</v>
      </c>
      <c r="H341" s="118" t="s">
        <v>255</v>
      </c>
      <c r="I341" s="118" t="s">
        <v>256</v>
      </c>
      <c r="J341" s="119" t="n">
        <v>3</v>
      </c>
      <c r="K341" s="118" t="str">
        <f aca="false">IFERROR(VLOOKUP($J341,$J$10:$K$13,2,0),"")</f>
        <v>NON DISTRIBUTOR</v>
      </c>
      <c r="L341" s="118" t="s">
        <v>26</v>
      </c>
      <c r="M341" s="119" t="n">
        <v>9</v>
      </c>
      <c r="N341" s="118" t="str">
        <f aca="false">IFERROR(VLOOKUP($M341,$M$3:$Q$14,2,0),"")</f>
        <v>In Pcs</v>
      </c>
      <c r="O341" s="118" t="str">
        <f aca="false">IFERROR(VLOOKUP($M341,$M$3:$Q$14,3,0),"")</f>
        <v>Pcs</v>
      </c>
      <c r="P341" s="119" t="n">
        <f aca="false">IFERROR(VLOOKUP($M341,$M$3:$Q$14,4,0),"")</f>
        <v>4</v>
      </c>
      <c r="Q341" s="118" t="str">
        <f aca="false">IFERROR(VLOOKUP($M341,$M$3:$Q$14,5,0),"")</f>
        <v>small</v>
      </c>
      <c r="R341" s="118" t="n">
        <v>40</v>
      </c>
      <c r="S341" s="120" t="n">
        <f aca="false">S340/10</f>
        <v>1730</v>
      </c>
      <c r="T341" s="121" t="n">
        <f aca="false">S341/1.11</f>
        <v>1558.55855855856</v>
      </c>
      <c r="U341" s="102" t="n">
        <f aca="false">V341+(V341*11%)</f>
        <v>1632.81</v>
      </c>
      <c r="V341" s="122" t="n">
        <v>1471</v>
      </c>
      <c r="W341" s="1" t="e">
        <f aca="false">VLOOKUP($G341,#REF!,2,0)</f>
        <v>#VALUE!</v>
      </c>
    </row>
    <row r="342" customFormat="false" ht="22.5" hidden="true" customHeight="true" outlineLevel="0" collapsed="false">
      <c r="A342" s="53"/>
      <c r="B342" s="53"/>
      <c r="C342" s="118" t="n">
        <v>117</v>
      </c>
      <c r="D342" s="118"/>
      <c r="E342" s="118" t="s">
        <v>263</v>
      </c>
      <c r="F342" s="118" t="s">
        <v>255</v>
      </c>
      <c r="G342" s="118" t="s">
        <v>255</v>
      </c>
      <c r="H342" s="118" t="s">
        <v>255</v>
      </c>
      <c r="I342" s="118" t="s">
        <v>256</v>
      </c>
      <c r="J342" s="119" t="n">
        <v>3</v>
      </c>
      <c r="K342" s="118" t="str">
        <f aca="false">IFERROR(VLOOKUP($J342,$J$10:$K$13,2,0),"")</f>
        <v>NON DISTRIBUTOR</v>
      </c>
      <c r="L342" s="118" t="s">
        <v>26</v>
      </c>
      <c r="M342" s="119" t="n">
        <v>1</v>
      </c>
      <c r="N342" s="118" t="str">
        <f aca="false">IFERROR(VLOOKUP($M342,$M$3:$Q$14,2,0),"")</f>
        <v>In Carton</v>
      </c>
      <c r="O342" s="118" t="str">
        <f aca="false">IFERROR(VLOOKUP($M342,$M$3:$Q$14,3,0),"")</f>
        <v>Carton</v>
      </c>
      <c r="P342" s="119" t="n">
        <f aca="false">IFERROR(VLOOKUP($M342,$M$3:$Q$14,4,0),"")</f>
        <v>1</v>
      </c>
      <c r="Q342" s="118" t="str">
        <f aca="false">IFERROR(VLOOKUP($M342,$M$3:$Q$14,5,0),"")</f>
        <v>large</v>
      </c>
      <c r="R342" s="118" t="n">
        <v>1</v>
      </c>
      <c r="S342" s="120" t="n">
        <f aca="false">17300*4</f>
        <v>69200</v>
      </c>
      <c r="T342" s="121" t="n">
        <f aca="false">S342/1.11</f>
        <v>62342.3423423423</v>
      </c>
      <c r="U342" s="102" t="n">
        <f aca="false">V342+(V342*11%)</f>
        <v>65329.05</v>
      </c>
      <c r="V342" s="122" t="n">
        <v>58855</v>
      </c>
      <c r="W342" s="1" t="e">
        <f aca="false">VLOOKUP($G342,#REF!,2,0)</f>
        <v>#VALUE!</v>
      </c>
    </row>
    <row r="343" customFormat="false" ht="22.5" hidden="true" customHeight="true" outlineLevel="0" collapsed="false">
      <c r="A343" s="53"/>
      <c r="B343" s="53"/>
      <c r="C343" s="118" t="n">
        <v>117</v>
      </c>
      <c r="D343" s="118"/>
      <c r="E343" s="118" t="s">
        <v>263</v>
      </c>
      <c r="F343" s="118" t="s">
        <v>255</v>
      </c>
      <c r="G343" s="118" t="s">
        <v>255</v>
      </c>
      <c r="H343" s="118" t="s">
        <v>255</v>
      </c>
      <c r="I343" s="118" t="s">
        <v>256</v>
      </c>
      <c r="J343" s="119" t="n">
        <v>3</v>
      </c>
      <c r="K343" s="118" t="str">
        <f aca="false">IFERROR(VLOOKUP($J343,$J$10:$K$13,2,0),"")</f>
        <v>NON DISTRIBUTOR</v>
      </c>
      <c r="L343" s="118" t="s">
        <v>26</v>
      </c>
      <c r="M343" s="119" t="n">
        <v>8</v>
      </c>
      <c r="N343" s="118" t="str">
        <f aca="false">IFERROR(VLOOKUP($M343,$M$3:$Q$14,2,0),"")</f>
        <v>In Renceng</v>
      </c>
      <c r="O343" s="118" t="str">
        <f aca="false">IFERROR(VLOOKUP($M343,$M$3:$Q$14,3,0),"")</f>
        <v>Renceng</v>
      </c>
      <c r="P343" s="119" t="n">
        <f aca="false">IFERROR(VLOOKUP($M343,$M$3:$Q$14,4,0),"")</f>
        <v>3</v>
      </c>
      <c r="Q343" s="118" t="n">
        <f aca="false">IFERROR(VLOOKUP($M343,$M$3:$Q$14,5,0),"")</f>
        <v>0</v>
      </c>
      <c r="R343" s="118" t="n">
        <v>4</v>
      </c>
      <c r="S343" s="120" t="n">
        <f aca="false">S342/4</f>
        <v>17300</v>
      </c>
      <c r="T343" s="121" t="n">
        <f aca="false">S343/1.11</f>
        <v>15585.5855855856</v>
      </c>
      <c r="U343" s="102" t="n">
        <f aca="false">V343+(V343*11%)</f>
        <v>16331.43</v>
      </c>
      <c r="V343" s="122" t="n">
        <v>14713</v>
      </c>
      <c r="W343" s="1" t="e">
        <f aca="false">VLOOKUP($G343,#REF!,2,0)</f>
        <v>#VALUE!</v>
      </c>
    </row>
    <row r="344" customFormat="false" ht="22.5" hidden="true" customHeight="true" outlineLevel="0" collapsed="false">
      <c r="A344" s="53"/>
      <c r="B344" s="53"/>
      <c r="C344" s="118" t="n">
        <v>117</v>
      </c>
      <c r="D344" s="118"/>
      <c r="E344" s="118" t="s">
        <v>263</v>
      </c>
      <c r="F344" s="118" t="s">
        <v>255</v>
      </c>
      <c r="G344" s="118" t="s">
        <v>255</v>
      </c>
      <c r="H344" s="118" t="s">
        <v>255</v>
      </c>
      <c r="I344" s="118" t="s">
        <v>256</v>
      </c>
      <c r="J344" s="119" t="n">
        <v>3</v>
      </c>
      <c r="K344" s="118" t="str">
        <f aca="false">IFERROR(VLOOKUP($J344,$J$10:$K$13,2,0),"")</f>
        <v>NON DISTRIBUTOR</v>
      </c>
      <c r="L344" s="118" t="s">
        <v>26</v>
      </c>
      <c r="M344" s="119" t="n">
        <v>9</v>
      </c>
      <c r="N344" s="118" t="str">
        <f aca="false">IFERROR(VLOOKUP($M344,$M$3:$Q$14,2,0),"")</f>
        <v>In Pcs</v>
      </c>
      <c r="O344" s="118" t="str">
        <f aca="false">IFERROR(VLOOKUP($M344,$M$3:$Q$14,3,0),"")</f>
        <v>Pcs</v>
      </c>
      <c r="P344" s="119" t="n">
        <f aca="false">IFERROR(VLOOKUP($M344,$M$3:$Q$14,4,0),"")</f>
        <v>4</v>
      </c>
      <c r="Q344" s="118" t="str">
        <f aca="false">IFERROR(VLOOKUP($M344,$M$3:$Q$14,5,0),"")</f>
        <v>small</v>
      </c>
      <c r="R344" s="118" t="n">
        <v>40</v>
      </c>
      <c r="S344" s="120" t="n">
        <f aca="false">S343/10</f>
        <v>1730</v>
      </c>
      <c r="T344" s="121" t="n">
        <f aca="false">S344/1.11</f>
        <v>1558.55855855856</v>
      </c>
      <c r="U344" s="102" t="n">
        <f aca="false">V344+(V344*11%)</f>
        <v>1632.81</v>
      </c>
      <c r="V344" s="122" t="n">
        <v>1471</v>
      </c>
      <c r="W344" s="1" t="e">
        <f aca="false">VLOOKUP($G344,#REF!,2,0)</f>
        <v>#VALUE!</v>
      </c>
    </row>
    <row r="345" customFormat="false" ht="22.5" hidden="true" customHeight="true" outlineLevel="0" collapsed="false">
      <c r="A345" s="53"/>
      <c r="B345" s="53"/>
      <c r="C345" s="123" t="n">
        <v>118</v>
      </c>
      <c r="D345" s="123"/>
      <c r="E345" s="123" t="s">
        <v>264</v>
      </c>
      <c r="F345" s="123" t="s">
        <v>265</v>
      </c>
      <c r="G345" s="123" t="s">
        <v>265</v>
      </c>
      <c r="H345" s="123" t="s">
        <v>266</v>
      </c>
      <c r="I345" s="123" t="s">
        <v>266</v>
      </c>
      <c r="J345" s="124" t="n">
        <v>1</v>
      </c>
      <c r="K345" s="123" t="str">
        <f aca="false">IFERROR(VLOOKUP($J345,$J$10:$K$13,2,0),"")</f>
        <v>DISTRIBUTOR</v>
      </c>
      <c r="L345" s="123" t="s">
        <v>26</v>
      </c>
      <c r="M345" s="124" t="n">
        <v>1</v>
      </c>
      <c r="N345" s="123" t="str">
        <f aca="false">IFERROR(VLOOKUP($M345,$M$3:$Q$14,2,0),"")</f>
        <v>In Carton</v>
      </c>
      <c r="O345" s="123" t="str">
        <f aca="false">IFERROR(VLOOKUP($M345,$M$3:$Q$14,3,0),"")</f>
        <v>Carton</v>
      </c>
      <c r="P345" s="124" t="n">
        <f aca="false">IFERROR(VLOOKUP($M345,$M$3:$Q$14,4,0),"")</f>
        <v>1</v>
      </c>
      <c r="Q345" s="123" t="str">
        <f aca="false">IFERROR(VLOOKUP($M345,$M$3:$Q$14,5,0),"")</f>
        <v>large</v>
      </c>
      <c r="R345" s="123" t="n">
        <v>1</v>
      </c>
      <c r="S345" s="125" t="n">
        <f aca="false">16500*4</f>
        <v>66000</v>
      </c>
      <c r="T345" s="126" t="n">
        <f aca="false">S345/1.11</f>
        <v>59459.4594594595</v>
      </c>
      <c r="U345" s="127" t="n">
        <v>56000</v>
      </c>
      <c r="V345" s="127" t="n">
        <f aca="false">U345-(U345*11%)</f>
        <v>49840</v>
      </c>
      <c r="W345" s="1" t="e">
        <f aca="false">VLOOKUP($G345,#REF!,2,0)</f>
        <v>#VALUE!</v>
      </c>
    </row>
    <row r="346" customFormat="false" ht="22.5" hidden="true" customHeight="true" outlineLevel="0" collapsed="false">
      <c r="A346" s="53"/>
      <c r="B346" s="53"/>
      <c r="C346" s="123" t="n">
        <v>118</v>
      </c>
      <c r="D346" s="123"/>
      <c r="E346" s="123" t="s">
        <v>264</v>
      </c>
      <c r="F346" s="123" t="s">
        <v>265</v>
      </c>
      <c r="G346" s="123" t="s">
        <v>265</v>
      </c>
      <c r="H346" s="123" t="s">
        <v>266</v>
      </c>
      <c r="I346" s="123" t="s">
        <v>266</v>
      </c>
      <c r="J346" s="124" t="n">
        <v>1</v>
      </c>
      <c r="K346" s="123" t="str">
        <f aca="false">IFERROR(VLOOKUP($J346,$J$10:$K$13,2,0),"")</f>
        <v>DISTRIBUTOR</v>
      </c>
      <c r="L346" s="123" t="s">
        <v>26</v>
      </c>
      <c r="M346" s="124" t="n">
        <v>8</v>
      </c>
      <c r="N346" s="123" t="str">
        <f aca="false">IFERROR(VLOOKUP($M346,$M$3:$Q$14,2,0),"")</f>
        <v>In Renceng</v>
      </c>
      <c r="O346" s="123" t="str">
        <f aca="false">IFERROR(VLOOKUP($M346,$M$3:$Q$14,3,0),"")</f>
        <v>Renceng</v>
      </c>
      <c r="P346" s="124" t="n">
        <f aca="false">IFERROR(VLOOKUP($M346,$M$3:$Q$14,4,0),"")</f>
        <v>3</v>
      </c>
      <c r="Q346" s="123" t="n">
        <f aca="false">IFERROR(VLOOKUP($M346,$M$3:$Q$14,5,0),"")</f>
        <v>0</v>
      </c>
      <c r="R346" s="123" t="n">
        <v>4</v>
      </c>
      <c r="S346" s="125" t="n">
        <f aca="false">S345/4</f>
        <v>16500</v>
      </c>
      <c r="T346" s="126" t="n">
        <f aca="false">S346/1.11</f>
        <v>14864.8648648649</v>
      </c>
      <c r="U346" s="127" t="n">
        <v>14000</v>
      </c>
      <c r="V346" s="127" t="n">
        <v>12460</v>
      </c>
      <c r="W346" s="1" t="e">
        <f aca="false">VLOOKUP($G346,#REF!,2,0)</f>
        <v>#VALUE!</v>
      </c>
    </row>
    <row r="347" customFormat="false" ht="22.5" hidden="true" customHeight="true" outlineLevel="0" collapsed="false">
      <c r="A347" s="53"/>
      <c r="B347" s="53"/>
      <c r="C347" s="123" t="n">
        <v>118</v>
      </c>
      <c r="D347" s="123"/>
      <c r="E347" s="123" t="s">
        <v>264</v>
      </c>
      <c r="F347" s="123" t="s">
        <v>265</v>
      </c>
      <c r="G347" s="123" t="s">
        <v>265</v>
      </c>
      <c r="H347" s="123" t="s">
        <v>266</v>
      </c>
      <c r="I347" s="123" t="s">
        <v>266</v>
      </c>
      <c r="J347" s="124" t="n">
        <v>1</v>
      </c>
      <c r="K347" s="123" t="str">
        <f aca="false">IFERROR(VLOOKUP($J347,$J$10:$K$13,2,0),"")</f>
        <v>DISTRIBUTOR</v>
      </c>
      <c r="L347" s="123" t="s">
        <v>26</v>
      </c>
      <c r="M347" s="124" t="n">
        <v>9</v>
      </c>
      <c r="N347" s="123" t="str">
        <f aca="false">IFERROR(VLOOKUP($M347,$M$3:$Q$14,2,0),"")</f>
        <v>In Pcs</v>
      </c>
      <c r="O347" s="123" t="str">
        <f aca="false">IFERROR(VLOOKUP($M347,$M$3:$Q$14,3,0),"")</f>
        <v>Pcs</v>
      </c>
      <c r="P347" s="124" t="n">
        <f aca="false">IFERROR(VLOOKUP($M347,$M$3:$Q$14,4,0),"")</f>
        <v>4</v>
      </c>
      <c r="Q347" s="123" t="str">
        <f aca="false">IFERROR(VLOOKUP($M347,$M$3:$Q$14,5,0),"")</f>
        <v>small</v>
      </c>
      <c r="R347" s="123" t="n">
        <v>40</v>
      </c>
      <c r="S347" s="125" t="n">
        <f aca="false">S346/10</f>
        <v>1650</v>
      </c>
      <c r="T347" s="126" t="n">
        <f aca="false">S347/1.11</f>
        <v>1486.48648648649</v>
      </c>
      <c r="U347" s="127" t="n">
        <v>1400</v>
      </c>
      <c r="V347" s="127" t="n">
        <v>1246</v>
      </c>
      <c r="W347" s="1" t="e">
        <f aca="false">VLOOKUP($G347,#REF!,2,0)</f>
        <v>#VALUE!</v>
      </c>
    </row>
    <row r="348" customFormat="false" ht="22.5" hidden="true" customHeight="true" outlineLevel="0" collapsed="false">
      <c r="A348" s="53"/>
      <c r="B348" s="53"/>
      <c r="C348" s="123" t="n">
        <v>119</v>
      </c>
      <c r="D348" s="123"/>
      <c r="E348" s="123" t="s">
        <v>267</v>
      </c>
      <c r="F348" s="123" t="s">
        <v>265</v>
      </c>
      <c r="G348" s="123" t="s">
        <v>265</v>
      </c>
      <c r="H348" s="123" t="s">
        <v>266</v>
      </c>
      <c r="I348" s="123" t="s">
        <v>266</v>
      </c>
      <c r="J348" s="124" t="n">
        <v>1</v>
      </c>
      <c r="K348" s="123" t="str">
        <f aca="false">IFERROR(VLOOKUP($J348,$J$10:$K$13,2,0),"")</f>
        <v>DISTRIBUTOR</v>
      </c>
      <c r="L348" s="123" t="s">
        <v>26</v>
      </c>
      <c r="M348" s="124" t="n">
        <v>1</v>
      </c>
      <c r="N348" s="123" t="str">
        <f aca="false">IFERROR(VLOOKUP($M348,$M$3:$Q$14,2,0),"")</f>
        <v>In Carton</v>
      </c>
      <c r="O348" s="123" t="str">
        <f aca="false">IFERROR(VLOOKUP($M348,$M$3:$Q$14,3,0),"")</f>
        <v>Carton</v>
      </c>
      <c r="P348" s="124" t="n">
        <f aca="false">IFERROR(VLOOKUP($M348,$M$3:$Q$14,4,0),"")</f>
        <v>1</v>
      </c>
      <c r="Q348" s="123" t="str">
        <f aca="false">IFERROR(VLOOKUP($M348,$M$3:$Q$14,5,0),"")</f>
        <v>large</v>
      </c>
      <c r="R348" s="123" t="n">
        <v>1</v>
      </c>
      <c r="S348" s="125" t="n">
        <f aca="false">16500*4</f>
        <v>66000</v>
      </c>
      <c r="T348" s="126" t="n">
        <f aca="false">S348/1.11</f>
        <v>59459.4594594595</v>
      </c>
      <c r="U348" s="127" t="n">
        <v>56000</v>
      </c>
      <c r="V348" s="127" t="n">
        <v>49840</v>
      </c>
      <c r="W348" s="1" t="e">
        <f aca="false">VLOOKUP($G348,#REF!,2,0)</f>
        <v>#VALUE!</v>
      </c>
    </row>
    <row r="349" customFormat="false" ht="22.5" hidden="true" customHeight="true" outlineLevel="0" collapsed="false">
      <c r="A349" s="53"/>
      <c r="B349" s="53"/>
      <c r="C349" s="123" t="n">
        <v>119</v>
      </c>
      <c r="D349" s="123"/>
      <c r="E349" s="123" t="s">
        <v>267</v>
      </c>
      <c r="F349" s="123" t="s">
        <v>265</v>
      </c>
      <c r="G349" s="123" t="s">
        <v>265</v>
      </c>
      <c r="H349" s="123" t="s">
        <v>266</v>
      </c>
      <c r="I349" s="123" t="s">
        <v>266</v>
      </c>
      <c r="J349" s="124" t="n">
        <v>1</v>
      </c>
      <c r="K349" s="123" t="str">
        <f aca="false">IFERROR(VLOOKUP($J349,$J$10:$K$13,2,0),"")</f>
        <v>DISTRIBUTOR</v>
      </c>
      <c r="L349" s="123" t="s">
        <v>26</v>
      </c>
      <c r="M349" s="124" t="n">
        <v>8</v>
      </c>
      <c r="N349" s="123" t="str">
        <f aca="false">IFERROR(VLOOKUP($M349,$M$3:$Q$14,2,0),"")</f>
        <v>In Renceng</v>
      </c>
      <c r="O349" s="123" t="str">
        <f aca="false">IFERROR(VLOOKUP($M349,$M$3:$Q$14,3,0),"")</f>
        <v>Renceng</v>
      </c>
      <c r="P349" s="124" t="n">
        <f aca="false">IFERROR(VLOOKUP($M349,$M$3:$Q$14,4,0),"")</f>
        <v>3</v>
      </c>
      <c r="Q349" s="123" t="n">
        <f aca="false">IFERROR(VLOOKUP($M349,$M$3:$Q$14,5,0),"")</f>
        <v>0</v>
      </c>
      <c r="R349" s="123" t="n">
        <v>4</v>
      </c>
      <c r="S349" s="125" t="n">
        <f aca="false">S348/4</f>
        <v>16500</v>
      </c>
      <c r="T349" s="126" t="n">
        <f aca="false">S349/1.11</f>
        <v>14864.8648648649</v>
      </c>
      <c r="U349" s="127" t="n">
        <v>14000</v>
      </c>
      <c r="V349" s="127" t="n">
        <v>12460</v>
      </c>
      <c r="W349" s="1" t="e">
        <f aca="false">VLOOKUP($G349,#REF!,2,0)</f>
        <v>#VALUE!</v>
      </c>
    </row>
    <row r="350" customFormat="false" ht="22.5" hidden="true" customHeight="true" outlineLevel="0" collapsed="false">
      <c r="A350" s="53"/>
      <c r="B350" s="53"/>
      <c r="C350" s="123" t="n">
        <v>119</v>
      </c>
      <c r="D350" s="123"/>
      <c r="E350" s="123" t="s">
        <v>267</v>
      </c>
      <c r="F350" s="123" t="s">
        <v>265</v>
      </c>
      <c r="G350" s="123" t="s">
        <v>265</v>
      </c>
      <c r="H350" s="123" t="s">
        <v>266</v>
      </c>
      <c r="I350" s="123" t="s">
        <v>266</v>
      </c>
      <c r="J350" s="124" t="n">
        <v>1</v>
      </c>
      <c r="K350" s="123" t="str">
        <f aca="false">IFERROR(VLOOKUP($J350,$J$10:$K$13,2,0),"")</f>
        <v>DISTRIBUTOR</v>
      </c>
      <c r="L350" s="123" t="s">
        <v>26</v>
      </c>
      <c r="M350" s="124" t="n">
        <v>9</v>
      </c>
      <c r="N350" s="123" t="str">
        <f aca="false">IFERROR(VLOOKUP($M350,$M$3:$Q$14,2,0),"")</f>
        <v>In Pcs</v>
      </c>
      <c r="O350" s="123" t="str">
        <f aca="false">IFERROR(VLOOKUP($M350,$M$3:$Q$14,3,0),"")</f>
        <v>Pcs</v>
      </c>
      <c r="P350" s="124" t="n">
        <f aca="false">IFERROR(VLOOKUP($M350,$M$3:$Q$14,4,0),"")</f>
        <v>4</v>
      </c>
      <c r="Q350" s="123" t="str">
        <f aca="false">IFERROR(VLOOKUP($M350,$M$3:$Q$14,5,0),"")</f>
        <v>small</v>
      </c>
      <c r="R350" s="123" t="n">
        <v>40</v>
      </c>
      <c r="S350" s="125" t="n">
        <f aca="false">S349/10</f>
        <v>1650</v>
      </c>
      <c r="T350" s="126" t="n">
        <f aca="false">S350/1.11</f>
        <v>1486.48648648649</v>
      </c>
      <c r="U350" s="127" t="n">
        <v>1400</v>
      </c>
      <c r="V350" s="127" t="n">
        <v>1246</v>
      </c>
      <c r="W350" s="1" t="e">
        <f aca="false">VLOOKUP($G350,#REF!,2,0)</f>
        <v>#VALUE!</v>
      </c>
    </row>
    <row r="351" customFormat="false" ht="22.5" hidden="true" customHeight="true" outlineLevel="0" collapsed="false">
      <c r="A351" s="53"/>
      <c r="B351" s="53"/>
      <c r="C351" s="123" t="n">
        <v>120</v>
      </c>
      <c r="D351" s="123"/>
      <c r="E351" s="123" t="s">
        <v>268</v>
      </c>
      <c r="F351" s="123" t="s">
        <v>265</v>
      </c>
      <c r="G351" s="123" t="s">
        <v>265</v>
      </c>
      <c r="H351" s="123" t="s">
        <v>266</v>
      </c>
      <c r="I351" s="123" t="s">
        <v>266</v>
      </c>
      <c r="J351" s="124" t="n">
        <v>1</v>
      </c>
      <c r="K351" s="123" t="str">
        <f aca="false">IFERROR(VLOOKUP($J351,$J$10:$K$13,2,0),"")</f>
        <v>DISTRIBUTOR</v>
      </c>
      <c r="L351" s="123" t="s">
        <v>22</v>
      </c>
      <c r="M351" s="124" t="n">
        <v>1</v>
      </c>
      <c r="N351" s="123" t="str">
        <f aca="false">IFERROR(VLOOKUP($M351,$M$3:$Q$14,2,0),"")</f>
        <v>In Carton</v>
      </c>
      <c r="O351" s="123" t="str">
        <f aca="false">IFERROR(VLOOKUP($M351,$M$3:$Q$14,3,0),"")</f>
        <v>Carton</v>
      </c>
      <c r="P351" s="124" t="n">
        <f aca="false">IFERROR(VLOOKUP($M351,$M$3:$Q$14,4,0),"")</f>
        <v>1</v>
      </c>
      <c r="Q351" s="123" t="str">
        <f aca="false">IFERROR(VLOOKUP($M351,$M$3:$Q$14,5,0),"")</f>
        <v>large</v>
      </c>
      <c r="R351" s="123" t="n">
        <v>1</v>
      </c>
      <c r="S351" s="125" t="n">
        <f aca="false">6066*24</f>
        <v>145584</v>
      </c>
      <c r="T351" s="126" t="n">
        <f aca="false">S351/1.11</f>
        <v>131156.756756757</v>
      </c>
      <c r="U351" s="127" t="n">
        <v>130000</v>
      </c>
      <c r="V351" s="127" t="n">
        <f aca="false">U351-(U351*11%)</f>
        <v>115700</v>
      </c>
      <c r="W351" s="1" t="e">
        <f aca="false">VLOOKUP($G351,#REF!,2,0)</f>
        <v>#VALUE!</v>
      </c>
    </row>
    <row r="352" customFormat="false" ht="22.5" hidden="true" customHeight="true" outlineLevel="0" collapsed="false">
      <c r="A352" s="53"/>
      <c r="B352" s="53"/>
      <c r="C352" s="123" t="n">
        <v>120</v>
      </c>
      <c r="D352" s="123"/>
      <c r="E352" s="123" t="s">
        <v>268</v>
      </c>
      <c r="F352" s="123" t="s">
        <v>265</v>
      </c>
      <c r="G352" s="123" t="s">
        <v>265</v>
      </c>
      <c r="H352" s="123" t="s">
        <v>266</v>
      </c>
      <c r="I352" s="123" t="s">
        <v>266</v>
      </c>
      <c r="J352" s="124" t="n">
        <v>1</v>
      </c>
      <c r="K352" s="123" t="str">
        <f aca="false">IFERROR(VLOOKUP($J352,$J$10:$K$13,2,0),"")</f>
        <v>DISTRIBUTOR</v>
      </c>
      <c r="L352" s="123" t="s">
        <v>22</v>
      </c>
      <c r="M352" s="124" t="n">
        <v>9</v>
      </c>
      <c r="N352" s="123" t="str">
        <f aca="false">IFERROR(VLOOKUP($M352,$M$3:$Q$14,2,0),"")</f>
        <v>In Pcs</v>
      </c>
      <c r="O352" s="123" t="str">
        <f aca="false">IFERROR(VLOOKUP($M352,$M$3:$Q$14,3,0),"")</f>
        <v>Pcs</v>
      </c>
      <c r="P352" s="124" t="n">
        <f aca="false">IFERROR(VLOOKUP($M352,$M$3:$Q$14,4,0),"")</f>
        <v>4</v>
      </c>
      <c r="Q352" s="123" t="str">
        <f aca="false">IFERROR(VLOOKUP($M352,$M$3:$Q$14,5,0),"")</f>
        <v>small</v>
      </c>
      <c r="R352" s="123" t="n">
        <v>24</v>
      </c>
      <c r="S352" s="125" t="n">
        <f aca="false">S351/24</f>
        <v>6066</v>
      </c>
      <c r="T352" s="126" t="n">
        <f aca="false">S352/1.11</f>
        <v>5464.86486486486</v>
      </c>
      <c r="U352" s="127" t="n">
        <v>5416</v>
      </c>
      <c r="V352" s="127" t="n">
        <v>4820</v>
      </c>
      <c r="W352" s="1" t="e">
        <f aca="false">VLOOKUP($G352,#REF!,2,0)</f>
        <v>#VALUE!</v>
      </c>
    </row>
    <row r="353" customFormat="false" ht="22.5" hidden="true" customHeight="true" outlineLevel="0" collapsed="false">
      <c r="A353" s="53"/>
      <c r="B353" s="53"/>
      <c r="C353" s="128" t="n">
        <v>121</v>
      </c>
      <c r="D353" s="128"/>
      <c r="E353" s="128" t="s">
        <v>269</v>
      </c>
      <c r="F353" s="128" t="s">
        <v>270</v>
      </c>
      <c r="G353" s="128" t="s">
        <v>269</v>
      </c>
      <c r="H353" s="128" t="s">
        <v>271</v>
      </c>
      <c r="I353" s="128" t="s">
        <v>272</v>
      </c>
      <c r="J353" s="129" t="n">
        <v>1</v>
      </c>
      <c r="K353" s="128" t="str">
        <f aca="false">IFERROR(VLOOKUP($J353,$J$10:$K$13,2,0),"")</f>
        <v>DISTRIBUTOR</v>
      </c>
      <c r="L353" s="128" t="s">
        <v>26</v>
      </c>
      <c r="M353" s="129" t="n">
        <v>1</v>
      </c>
      <c r="N353" s="128" t="str">
        <f aca="false">IFERROR(VLOOKUP($M353,$M$3:$Q$14,2,0),"")</f>
        <v>In Carton</v>
      </c>
      <c r="O353" s="128" t="str">
        <f aca="false">IFERROR(VLOOKUP($M353,$M$3:$Q$14,3,0),"")</f>
        <v>Carton</v>
      </c>
      <c r="P353" s="129" t="n">
        <f aca="false">IFERROR(VLOOKUP($M353,$M$3:$Q$14,4,0),"")</f>
        <v>1</v>
      </c>
      <c r="Q353" s="128" t="str">
        <f aca="false">IFERROR(VLOOKUP($M353,$M$3:$Q$14,5,0),"")</f>
        <v>large</v>
      </c>
      <c r="R353" s="128" t="n">
        <v>1</v>
      </c>
      <c r="S353" s="130" t="n">
        <f aca="false">8000*12</f>
        <v>96000</v>
      </c>
      <c r="T353" s="131" t="n">
        <f aca="false">S353/1.11</f>
        <v>86486.4864864865</v>
      </c>
      <c r="U353" s="132" t="n">
        <v>86400</v>
      </c>
      <c r="V353" s="127" t="n">
        <f aca="false">U353-(U353*11%)</f>
        <v>76896</v>
      </c>
      <c r="W353" s="1" t="e">
        <f aca="false">VLOOKUP($G353,#REF!,2,0)</f>
        <v>#VALUE!</v>
      </c>
    </row>
    <row r="354" customFormat="false" ht="22.5" hidden="true" customHeight="true" outlineLevel="0" collapsed="false">
      <c r="A354" s="53"/>
      <c r="B354" s="53"/>
      <c r="C354" s="128" t="n">
        <v>121</v>
      </c>
      <c r="D354" s="128"/>
      <c r="E354" s="128" t="s">
        <v>269</v>
      </c>
      <c r="F354" s="128" t="s">
        <v>270</v>
      </c>
      <c r="G354" s="128" t="s">
        <v>269</v>
      </c>
      <c r="H354" s="128" t="s">
        <v>271</v>
      </c>
      <c r="I354" s="128" t="s">
        <v>272</v>
      </c>
      <c r="J354" s="129" t="n">
        <v>1</v>
      </c>
      <c r="K354" s="128" t="str">
        <f aca="false">IFERROR(VLOOKUP($J354,$J$10:$K$13,2,0),"")</f>
        <v>DISTRIBUTOR</v>
      </c>
      <c r="L354" s="128" t="s">
        <v>26</v>
      </c>
      <c r="M354" s="129" t="n">
        <v>8</v>
      </c>
      <c r="N354" s="128" t="str">
        <f aca="false">IFERROR(VLOOKUP($M354,$M$3:$Q$14,2,0),"")</f>
        <v>In Renceng</v>
      </c>
      <c r="O354" s="128" t="str">
        <f aca="false">IFERROR(VLOOKUP($M354,$M$3:$Q$14,3,0),"")</f>
        <v>Renceng</v>
      </c>
      <c r="P354" s="129" t="n">
        <f aca="false">IFERROR(VLOOKUP($M354,$M$3:$Q$14,4,0),"")</f>
        <v>3</v>
      </c>
      <c r="Q354" s="128" t="n">
        <f aca="false">IFERROR(VLOOKUP($M354,$M$3:$Q$14,5,0),"")</f>
        <v>0</v>
      </c>
      <c r="R354" s="128" t="n">
        <v>12</v>
      </c>
      <c r="S354" s="130" t="n">
        <f aca="false">S353/12</f>
        <v>8000</v>
      </c>
      <c r="T354" s="131" t="n">
        <f aca="false">S354/1.11</f>
        <v>7207.20720720721</v>
      </c>
      <c r="U354" s="132" t="n">
        <v>7200</v>
      </c>
      <c r="V354" s="132" t="n">
        <v>6408</v>
      </c>
      <c r="W354" s="1" t="e">
        <f aca="false">VLOOKUP($G354,#REF!,2,0)</f>
        <v>#VALUE!</v>
      </c>
    </row>
    <row r="355" customFormat="false" ht="22.5" hidden="true" customHeight="true" outlineLevel="0" collapsed="false">
      <c r="A355" s="53"/>
      <c r="B355" s="53"/>
      <c r="C355" s="128" t="n">
        <v>121</v>
      </c>
      <c r="D355" s="128"/>
      <c r="E355" s="128" t="s">
        <v>269</v>
      </c>
      <c r="F355" s="128" t="s">
        <v>270</v>
      </c>
      <c r="G355" s="128" t="s">
        <v>269</v>
      </c>
      <c r="H355" s="128" t="s">
        <v>271</v>
      </c>
      <c r="I355" s="128" t="s">
        <v>272</v>
      </c>
      <c r="J355" s="129" t="n">
        <v>1</v>
      </c>
      <c r="K355" s="128" t="str">
        <f aca="false">IFERROR(VLOOKUP($J355,$J$10:$K$13,2,0),"")</f>
        <v>DISTRIBUTOR</v>
      </c>
      <c r="L355" s="128" t="s">
        <v>26</v>
      </c>
      <c r="M355" s="129" t="n">
        <v>9</v>
      </c>
      <c r="N355" s="128" t="str">
        <f aca="false">IFERROR(VLOOKUP($M355,$M$3:$Q$14,2,0),"")</f>
        <v>In Pcs</v>
      </c>
      <c r="O355" s="128" t="str">
        <f aca="false">IFERROR(VLOOKUP($M355,$M$3:$Q$14,3,0),"")</f>
        <v>Pcs</v>
      </c>
      <c r="P355" s="129" t="n">
        <f aca="false">IFERROR(VLOOKUP($M355,$M$3:$Q$14,4,0),"")</f>
        <v>4</v>
      </c>
      <c r="Q355" s="128" t="str">
        <f aca="false">IFERROR(VLOOKUP($M355,$M$3:$Q$14,5,0),"")</f>
        <v>small</v>
      </c>
      <c r="R355" s="128" t="n">
        <v>120</v>
      </c>
      <c r="S355" s="130" t="n">
        <f aca="false">S354/10</f>
        <v>800</v>
      </c>
      <c r="T355" s="131" t="n">
        <f aca="false">S355/1.11</f>
        <v>720.720720720721</v>
      </c>
      <c r="U355" s="132" t="n">
        <v>720</v>
      </c>
      <c r="V355" s="132" t="n">
        <v>640</v>
      </c>
      <c r="W355" s="1" t="e">
        <f aca="false">VLOOKUP($G355,#REF!,2,0)</f>
        <v>#VALUE!</v>
      </c>
    </row>
    <row r="356" customFormat="false" ht="22.5" hidden="true" customHeight="true" outlineLevel="0" collapsed="false">
      <c r="A356" s="53"/>
      <c r="B356" s="53"/>
      <c r="C356" s="133" t="n">
        <v>122</v>
      </c>
      <c r="D356" s="134" t="s">
        <v>273</v>
      </c>
      <c r="E356" s="135" t="s">
        <v>274</v>
      </c>
      <c r="F356" s="136" t="s">
        <v>275</v>
      </c>
      <c r="G356" s="136" t="s">
        <v>275</v>
      </c>
      <c r="H356" s="136" t="s">
        <v>276</v>
      </c>
      <c r="I356" s="136" t="s">
        <v>276</v>
      </c>
      <c r="J356" s="137" t="n">
        <v>1</v>
      </c>
      <c r="K356" s="136" t="str">
        <f aca="false">IFERROR(VLOOKUP($J356,$J$10:$K$13,2,0),"")</f>
        <v>DISTRIBUTOR</v>
      </c>
      <c r="L356" s="136" t="s">
        <v>26</v>
      </c>
      <c r="M356" s="137" t="n">
        <v>1</v>
      </c>
      <c r="N356" s="136" t="str">
        <f aca="false">IFERROR(VLOOKUP($M356,$M$3:$Q$14,2,0),"")</f>
        <v>In Carton</v>
      </c>
      <c r="O356" s="136" t="str">
        <f aca="false">IFERROR(VLOOKUP($M356,$M$3:$Q$14,3,0),"")</f>
        <v>Carton</v>
      </c>
      <c r="P356" s="137" t="n">
        <f aca="false">IFERROR(VLOOKUP($M356,$M$3:$Q$14,4,0),"")</f>
        <v>1</v>
      </c>
      <c r="Q356" s="136" t="str">
        <f aca="false">IFERROR(VLOOKUP($M356,$M$3:$Q$14,5,0),"")</f>
        <v>large</v>
      </c>
      <c r="R356" s="136" t="n">
        <v>1</v>
      </c>
      <c r="S356" s="138" t="n">
        <f aca="false">7691*12</f>
        <v>92292</v>
      </c>
      <c r="T356" s="139" t="n">
        <f aca="false">S356/1.11</f>
        <v>83145.9459459459</v>
      </c>
      <c r="U356" s="140" t="n">
        <v>83070</v>
      </c>
      <c r="V356" s="127" t="n">
        <f aca="false">U356-(U356*11%)</f>
        <v>73932.3</v>
      </c>
      <c r="W356" s="1" t="e">
        <f aca="false">VLOOKUP($G356,#REF!,2,0)</f>
        <v>#VALUE!</v>
      </c>
    </row>
    <row r="357" customFormat="false" ht="22.5" hidden="true" customHeight="true" outlineLevel="0" collapsed="false">
      <c r="A357" s="53"/>
      <c r="B357" s="53"/>
      <c r="C357" s="133" t="n">
        <v>122</v>
      </c>
      <c r="D357" s="134" t="s">
        <v>273</v>
      </c>
      <c r="E357" s="135" t="s">
        <v>274</v>
      </c>
      <c r="F357" s="136" t="s">
        <v>275</v>
      </c>
      <c r="G357" s="136" t="s">
        <v>275</v>
      </c>
      <c r="H357" s="136" t="s">
        <v>276</v>
      </c>
      <c r="I357" s="136" t="s">
        <v>276</v>
      </c>
      <c r="J357" s="137" t="n">
        <v>1</v>
      </c>
      <c r="K357" s="136" t="str">
        <f aca="false">IFERROR(VLOOKUP($J357,$J$10:$K$13,2,0),"")</f>
        <v>DISTRIBUTOR</v>
      </c>
      <c r="L357" s="136" t="s">
        <v>26</v>
      </c>
      <c r="M357" s="137" t="n">
        <v>3</v>
      </c>
      <c r="N357" s="136" t="str">
        <f aca="false">IFERROR(VLOOKUP($M357,$M$3:$Q$14,2,0),"")</f>
        <v>In Pack</v>
      </c>
      <c r="O357" s="136" t="str">
        <f aca="false">IFERROR(VLOOKUP($M357,$M$3:$Q$14,3,0),"")</f>
        <v>Pack</v>
      </c>
      <c r="P357" s="137" t="n">
        <f aca="false">IFERROR(VLOOKUP($M357,$M$3:$Q$14,4,0),"")</f>
        <v>2</v>
      </c>
      <c r="Q357" s="136" t="n">
        <f aca="false">IFERROR(VLOOKUP($M357,$M$3:$Q$14,5,0),"")</f>
        <v>0</v>
      </c>
      <c r="R357" s="136" t="n">
        <v>12</v>
      </c>
      <c r="S357" s="138" t="n">
        <f aca="false">S356/12</f>
        <v>7691</v>
      </c>
      <c r="T357" s="139" t="n">
        <f aca="false">S357/1.11</f>
        <v>6928.82882882883</v>
      </c>
      <c r="U357" s="140" t="n">
        <v>6922</v>
      </c>
      <c r="V357" s="127" t="n">
        <f aca="false">U357-(U357*11%)</f>
        <v>6160.58</v>
      </c>
      <c r="W357" s="1" t="e">
        <f aca="false">VLOOKUP($G357,#REF!,2,0)</f>
        <v>#VALUE!</v>
      </c>
    </row>
    <row r="358" customFormat="false" ht="22.5" hidden="true" customHeight="true" outlineLevel="0" collapsed="false">
      <c r="A358" s="53"/>
      <c r="B358" s="53"/>
      <c r="C358" s="133" t="n">
        <v>123</v>
      </c>
      <c r="D358" s="134" t="s">
        <v>277</v>
      </c>
      <c r="E358" s="135" t="s">
        <v>278</v>
      </c>
      <c r="F358" s="136" t="s">
        <v>275</v>
      </c>
      <c r="G358" s="136" t="s">
        <v>275</v>
      </c>
      <c r="H358" s="136" t="s">
        <v>276</v>
      </c>
      <c r="I358" s="136" t="s">
        <v>276</v>
      </c>
      <c r="J358" s="137" t="n">
        <v>1</v>
      </c>
      <c r="K358" s="136" t="str">
        <f aca="false">IFERROR(VLOOKUP($J358,$J$10:$K$13,2,0),"")</f>
        <v>DISTRIBUTOR</v>
      </c>
      <c r="L358" s="136" t="s">
        <v>26</v>
      </c>
      <c r="M358" s="137" t="n">
        <v>1</v>
      </c>
      <c r="N358" s="136" t="str">
        <f aca="false">IFERROR(VLOOKUP($M358,$M$3:$Q$14,2,0),"")</f>
        <v>In Carton</v>
      </c>
      <c r="O358" s="136" t="str">
        <f aca="false">IFERROR(VLOOKUP($M358,$M$3:$Q$14,3,0),"")</f>
        <v>Carton</v>
      </c>
      <c r="P358" s="137" t="n">
        <f aca="false">IFERROR(VLOOKUP($M358,$M$3:$Q$14,4,0),"")</f>
        <v>1</v>
      </c>
      <c r="Q358" s="136" t="str">
        <f aca="false">IFERROR(VLOOKUP($M358,$M$3:$Q$14,5,0),"")</f>
        <v>large</v>
      </c>
      <c r="R358" s="136" t="n">
        <v>1</v>
      </c>
      <c r="S358" s="138" t="n">
        <f aca="false">7691*12</f>
        <v>92292</v>
      </c>
      <c r="T358" s="139" t="n">
        <f aca="false">S358/1.11</f>
        <v>83145.9459459459</v>
      </c>
      <c r="U358" s="140" t="n">
        <v>83070</v>
      </c>
      <c r="V358" s="127" t="n">
        <f aca="false">U358-(U358*11%)</f>
        <v>73932.3</v>
      </c>
      <c r="W358" s="1" t="e">
        <f aca="false">VLOOKUP($G358,#REF!,2,0)</f>
        <v>#VALUE!</v>
      </c>
    </row>
    <row r="359" customFormat="false" ht="22.5" hidden="true" customHeight="true" outlineLevel="0" collapsed="false">
      <c r="A359" s="53"/>
      <c r="B359" s="53"/>
      <c r="C359" s="133" t="n">
        <v>123</v>
      </c>
      <c r="D359" s="134" t="s">
        <v>277</v>
      </c>
      <c r="E359" s="135" t="s">
        <v>278</v>
      </c>
      <c r="F359" s="136" t="s">
        <v>275</v>
      </c>
      <c r="G359" s="136" t="s">
        <v>275</v>
      </c>
      <c r="H359" s="136" t="s">
        <v>276</v>
      </c>
      <c r="I359" s="136" t="s">
        <v>276</v>
      </c>
      <c r="J359" s="137" t="n">
        <v>1</v>
      </c>
      <c r="K359" s="136" t="str">
        <f aca="false">IFERROR(VLOOKUP($J359,$J$10:$K$13,2,0),"")</f>
        <v>DISTRIBUTOR</v>
      </c>
      <c r="L359" s="136" t="s">
        <v>26</v>
      </c>
      <c r="M359" s="137" t="n">
        <v>3</v>
      </c>
      <c r="N359" s="136" t="str">
        <f aca="false">IFERROR(VLOOKUP($M359,$M$3:$Q$14,2,0),"")</f>
        <v>In Pack</v>
      </c>
      <c r="O359" s="136" t="str">
        <f aca="false">IFERROR(VLOOKUP($M359,$M$3:$Q$14,3,0),"")</f>
        <v>Pack</v>
      </c>
      <c r="P359" s="137" t="n">
        <f aca="false">IFERROR(VLOOKUP($M359,$M$3:$Q$14,4,0),"")</f>
        <v>2</v>
      </c>
      <c r="Q359" s="136" t="n">
        <f aca="false">IFERROR(VLOOKUP($M359,$M$3:$Q$14,5,0),"")</f>
        <v>0</v>
      </c>
      <c r="R359" s="136" t="n">
        <v>12</v>
      </c>
      <c r="S359" s="138" t="n">
        <f aca="false">S358/12</f>
        <v>7691</v>
      </c>
      <c r="T359" s="139" t="n">
        <f aca="false">S359/1.11</f>
        <v>6928.82882882883</v>
      </c>
      <c r="U359" s="140" t="n">
        <v>6922</v>
      </c>
      <c r="V359" s="127" t="n">
        <f aca="false">U359-(U359*11%)</f>
        <v>6160.58</v>
      </c>
      <c r="W359" s="1" t="e">
        <f aca="false">VLOOKUP($G359,#REF!,2,0)</f>
        <v>#VALUE!</v>
      </c>
    </row>
    <row r="360" customFormat="false" ht="22.5" hidden="true" customHeight="true" outlineLevel="0" collapsed="false">
      <c r="A360" s="53"/>
      <c r="B360" s="53"/>
      <c r="C360" s="133" t="n">
        <v>124</v>
      </c>
      <c r="D360" s="134" t="s">
        <v>279</v>
      </c>
      <c r="E360" s="135" t="s">
        <v>280</v>
      </c>
      <c r="F360" s="136" t="s">
        <v>275</v>
      </c>
      <c r="G360" s="136" t="s">
        <v>275</v>
      </c>
      <c r="H360" s="136" t="s">
        <v>276</v>
      </c>
      <c r="I360" s="136" t="s">
        <v>276</v>
      </c>
      <c r="J360" s="137" t="n">
        <v>1</v>
      </c>
      <c r="K360" s="136" t="str">
        <f aca="false">IFERROR(VLOOKUP($J360,$J$10:$K$13,2,0),"")</f>
        <v>DISTRIBUTOR</v>
      </c>
      <c r="L360" s="136" t="s">
        <v>26</v>
      </c>
      <c r="M360" s="137" t="n">
        <v>1</v>
      </c>
      <c r="N360" s="136" t="str">
        <f aca="false">IFERROR(VLOOKUP($M360,$M$3:$Q$14,2,0),"")</f>
        <v>In Carton</v>
      </c>
      <c r="O360" s="136" t="str">
        <f aca="false">IFERROR(VLOOKUP($M360,$M$3:$Q$14,3,0),"")</f>
        <v>Carton</v>
      </c>
      <c r="P360" s="137" t="n">
        <f aca="false">IFERROR(VLOOKUP($M360,$M$3:$Q$14,4,0),"")</f>
        <v>1</v>
      </c>
      <c r="Q360" s="136" t="str">
        <f aca="false">IFERROR(VLOOKUP($M360,$M$3:$Q$14,5,0),"")</f>
        <v>large</v>
      </c>
      <c r="R360" s="136" t="n">
        <v>1</v>
      </c>
      <c r="S360" s="138" t="n">
        <f aca="false">4545*20</f>
        <v>90900</v>
      </c>
      <c r="T360" s="139" t="n">
        <f aca="false">S360/1.11</f>
        <v>81891.8918918919</v>
      </c>
      <c r="U360" s="140" t="n">
        <v>81810</v>
      </c>
      <c r="V360" s="127" t="n">
        <f aca="false">U360-(U360*11%)</f>
        <v>72810.9</v>
      </c>
      <c r="W360" s="1" t="e">
        <f aca="false">VLOOKUP($G360,#REF!,2,0)</f>
        <v>#VALUE!</v>
      </c>
    </row>
    <row r="361" customFormat="false" ht="22.5" hidden="true" customHeight="true" outlineLevel="0" collapsed="false">
      <c r="A361" s="53"/>
      <c r="B361" s="53"/>
      <c r="C361" s="133" t="n">
        <v>124</v>
      </c>
      <c r="D361" s="134" t="s">
        <v>279</v>
      </c>
      <c r="E361" s="135" t="s">
        <v>280</v>
      </c>
      <c r="F361" s="136" t="s">
        <v>275</v>
      </c>
      <c r="G361" s="136" t="s">
        <v>275</v>
      </c>
      <c r="H361" s="136" t="s">
        <v>276</v>
      </c>
      <c r="I361" s="136" t="s">
        <v>276</v>
      </c>
      <c r="J361" s="137" t="n">
        <v>1</v>
      </c>
      <c r="K361" s="136" t="str">
        <f aca="false">IFERROR(VLOOKUP($J361,$J$10:$K$13,2,0),"")</f>
        <v>DISTRIBUTOR</v>
      </c>
      <c r="L361" s="136" t="s">
        <v>26</v>
      </c>
      <c r="M361" s="137" t="n">
        <v>3</v>
      </c>
      <c r="N361" s="136" t="str">
        <f aca="false">IFERROR(VLOOKUP($M361,$M$3:$Q$14,2,0),"")</f>
        <v>In Pack</v>
      </c>
      <c r="O361" s="136" t="str">
        <f aca="false">IFERROR(VLOOKUP($M361,$M$3:$Q$14,3,0),"")</f>
        <v>Pack</v>
      </c>
      <c r="P361" s="137" t="n">
        <f aca="false">IFERROR(VLOOKUP($M361,$M$3:$Q$14,4,0),"")</f>
        <v>2</v>
      </c>
      <c r="Q361" s="136" t="n">
        <f aca="false">IFERROR(VLOOKUP($M361,$M$3:$Q$14,5,0),"")</f>
        <v>0</v>
      </c>
      <c r="R361" s="136" t="n">
        <v>20</v>
      </c>
      <c r="S361" s="138" t="n">
        <f aca="false">S360/20</f>
        <v>4545</v>
      </c>
      <c r="T361" s="139" t="n">
        <f aca="false">S361/1.11</f>
        <v>4094.59459459459</v>
      </c>
      <c r="U361" s="140" t="n">
        <v>4090</v>
      </c>
      <c r="V361" s="127" t="n">
        <f aca="false">U361-(U361*11%)</f>
        <v>3640.1</v>
      </c>
      <c r="W361" s="1" t="e">
        <f aca="false">VLOOKUP($G361,#REF!,2,0)</f>
        <v>#VALUE!</v>
      </c>
    </row>
    <row r="362" customFormat="false" ht="22.5" hidden="true" customHeight="true" outlineLevel="0" collapsed="false">
      <c r="A362" s="53"/>
      <c r="B362" s="53"/>
      <c r="C362" s="133" t="n">
        <v>125</v>
      </c>
      <c r="D362" s="134" t="s">
        <v>281</v>
      </c>
      <c r="E362" s="135" t="s">
        <v>282</v>
      </c>
      <c r="F362" s="136" t="s">
        <v>275</v>
      </c>
      <c r="G362" s="136" t="s">
        <v>275</v>
      </c>
      <c r="H362" s="136" t="s">
        <v>276</v>
      </c>
      <c r="I362" s="136" t="s">
        <v>276</v>
      </c>
      <c r="J362" s="137" t="n">
        <v>1</v>
      </c>
      <c r="K362" s="136" t="str">
        <f aca="false">IFERROR(VLOOKUP($J362,$J$10:$K$13,2,0),"")</f>
        <v>DISTRIBUTOR</v>
      </c>
      <c r="L362" s="136" t="s">
        <v>26</v>
      </c>
      <c r="M362" s="137" t="n">
        <v>1</v>
      </c>
      <c r="N362" s="136" t="str">
        <f aca="false">IFERROR(VLOOKUP($M362,$M$3:$Q$14,2,0),"")</f>
        <v>In Carton</v>
      </c>
      <c r="O362" s="136" t="str">
        <f aca="false">IFERROR(VLOOKUP($M362,$M$3:$Q$14,3,0),"")</f>
        <v>Carton</v>
      </c>
      <c r="P362" s="137" t="n">
        <f aca="false">IFERROR(VLOOKUP($M362,$M$3:$Q$14,4,0),"")</f>
        <v>1</v>
      </c>
      <c r="Q362" s="136" t="str">
        <f aca="false">IFERROR(VLOOKUP($M362,$M$3:$Q$14,5,0),"")</f>
        <v>large</v>
      </c>
      <c r="R362" s="136" t="n">
        <v>1</v>
      </c>
      <c r="S362" s="138" t="n">
        <f aca="false">4545*20</f>
        <v>90900</v>
      </c>
      <c r="T362" s="139" t="n">
        <f aca="false">S362/1.11</f>
        <v>81891.8918918919</v>
      </c>
      <c r="U362" s="140" t="n">
        <v>81810</v>
      </c>
      <c r="V362" s="127" t="n">
        <f aca="false">U362-(U362*11%)</f>
        <v>72810.9</v>
      </c>
      <c r="W362" s="1" t="e">
        <f aca="false">VLOOKUP($G362,#REF!,2,0)</f>
        <v>#VALUE!</v>
      </c>
    </row>
    <row r="363" customFormat="false" ht="22.5" hidden="true" customHeight="true" outlineLevel="0" collapsed="false">
      <c r="A363" s="53"/>
      <c r="B363" s="53"/>
      <c r="C363" s="133" t="n">
        <v>125</v>
      </c>
      <c r="D363" s="134" t="s">
        <v>281</v>
      </c>
      <c r="E363" s="135" t="s">
        <v>282</v>
      </c>
      <c r="F363" s="136" t="s">
        <v>275</v>
      </c>
      <c r="G363" s="136" t="s">
        <v>275</v>
      </c>
      <c r="H363" s="136" t="s">
        <v>276</v>
      </c>
      <c r="I363" s="136" t="s">
        <v>276</v>
      </c>
      <c r="J363" s="137" t="n">
        <v>1</v>
      </c>
      <c r="K363" s="136" t="str">
        <f aca="false">IFERROR(VLOOKUP($J363,$J$10:$K$13,2,0),"")</f>
        <v>DISTRIBUTOR</v>
      </c>
      <c r="L363" s="136" t="s">
        <v>26</v>
      </c>
      <c r="M363" s="137" t="n">
        <v>3</v>
      </c>
      <c r="N363" s="136" t="str">
        <f aca="false">IFERROR(VLOOKUP($M363,$M$3:$Q$14,2,0),"")</f>
        <v>In Pack</v>
      </c>
      <c r="O363" s="136" t="str">
        <f aca="false">IFERROR(VLOOKUP($M363,$M$3:$Q$14,3,0),"")</f>
        <v>Pack</v>
      </c>
      <c r="P363" s="137" t="n">
        <f aca="false">IFERROR(VLOOKUP($M363,$M$3:$Q$14,4,0),"")</f>
        <v>2</v>
      </c>
      <c r="Q363" s="136" t="n">
        <f aca="false">IFERROR(VLOOKUP($M363,$M$3:$Q$14,5,0),"")</f>
        <v>0</v>
      </c>
      <c r="R363" s="136" t="n">
        <v>20</v>
      </c>
      <c r="S363" s="138" t="n">
        <f aca="false">S362/20</f>
        <v>4545</v>
      </c>
      <c r="T363" s="139" t="n">
        <f aca="false">S363/1.11</f>
        <v>4094.59459459459</v>
      </c>
      <c r="U363" s="140" t="n">
        <v>4090</v>
      </c>
      <c r="V363" s="127" t="n">
        <f aca="false">U363-(U363*11%)</f>
        <v>3640.1</v>
      </c>
      <c r="W363" s="1" t="e">
        <f aca="false">VLOOKUP($G363,#REF!,2,0)</f>
        <v>#VALUE!</v>
      </c>
    </row>
    <row r="364" customFormat="false" ht="22.5" hidden="true" customHeight="true" outlineLevel="0" collapsed="false">
      <c r="A364" s="53"/>
      <c r="B364" s="53"/>
      <c r="C364" s="133" t="n">
        <v>126</v>
      </c>
      <c r="D364" s="141" t="s">
        <v>283</v>
      </c>
      <c r="E364" s="141" t="s">
        <v>284</v>
      </c>
      <c r="F364" s="136" t="s">
        <v>275</v>
      </c>
      <c r="G364" s="136" t="s">
        <v>275</v>
      </c>
      <c r="H364" s="136" t="s">
        <v>276</v>
      </c>
      <c r="I364" s="136" t="s">
        <v>276</v>
      </c>
      <c r="J364" s="137" t="n">
        <v>1</v>
      </c>
      <c r="K364" s="136" t="str">
        <f aca="false">IFERROR(VLOOKUP($J364,$J$10:$K$13,2,0),"")</f>
        <v>DISTRIBUTOR</v>
      </c>
      <c r="L364" s="136" t="s">
        <v>26</v>
      </c>
      <c r="M364" s="137" t="n">
        <v>1</v>
      </c>
      <c r="N364" s="136" t="str">
        <f aca="false">IFERROR(VLOOKUP($M364,$M$3:$Q$14,2,0),"")</f>
        <v>In Carton</v>
      </c>
      <c r="O364" s="136" t="str">
        <f aca="false">IFERROR(VLOOKUP($M364,$M$3:$Q$14,3,0),"")</f>
        <v>Carton</v>
      </c>
      <c r="P364" s="137" t="n">
        <f aca="false">IFERROR(VLOOKUP($M364,$M$3:$Q$14,4,0),"")</f>
        <v>1</v>
      </c>
      <c r="Q364" s="136" t="str">
        <f aca="false">IFERROR(VLOOKUP($M364,$M$3:$Q$14,5,0),"")</f>
        <v>large</v>
      </c>
      <c r="R364" s="136" t="n">
        <v>1</v>
      </c>
      <c r="S364" s="138" t="n">
        <f aca="false">5041*12</f>
        <v>60492</v>
      </c>
      <c r="T364" s="139" t="n">
        <f aca="false">S364/1.11</f>
        <v>54497.2972972973</v>
      </c>
      <c r="U364" s="140" t="n">
        <v>53820</v>
      </c>
      <c r="V364" s="127" t="n">
        <f aca="false">U364-(U364*11%)</f>
        <v>47899.8</v>
      </c>
      <c r="W364" s="1" t="e">
        <f aca="false">VLOOKUP($G364,#REF!,2,0)</f>
        <v>#VALUE!</v>
      </c>
    </row>
    <row r="365" customFormat="false" ht="22.5" hidden="true" customHeight="true" outlineLevel="0" collapsed="false">
      <c r="A365" s="53"/>
      <c r="B365" s="53"/>
      <c r="C365" s="133" t="n">
        <v>126</v>
      </c>
      <c r="D365" s="141" t="s">
        <v>283</v>
      </c>
      <c r="E365" s="141" t="s">
        <v>284</v>
      </c>
      <c r="F365" s="136" t="s">
        <v>275</v>
      </c>
      <c r="G365" s="136" t="s">
        <v>275</v>
      </c>
      <c r="H365" s="136" t="s">
        <v>276</v>
      </c>
      <c r="I365" s="136" t="s">
        <v>276</v>
      </c>
      <c r="J365" s="137" t="n">
        <v>1</v>
      </c>
      <c r="K365" s="136" t="str">
        <f aca="false">IFERROR(VLOOKUP($J365,$J$10:$K$13,2,0),"")</f>
        <v>DISTRIBUTOR</v>
      </c>
      <c r="L365" s="136" t="s">
        <v>26</v>
      </c>
      <c r="M365" s="137" t="n">
        <v>3</v>
      </c>
      <c r="N365" s="136" t="str">
        <f aca="false">IFERROR(VLOOKUP($M365,$M$3:$Q$14,2,0),"")</f>
        <v>In Pack</v>
      </c>
      <c r="O365" s="136" t="str">
        <f aca="false">IFERROR(VLOOKUP($M365,$M$3:$Q$14,3,0),"")</f>
        <v>Pack</v>
      </c>
      <c r="P365" s="137" t="n">
        <f aca="false">IFERROR(VLOOKUP($M365,$M$3:$Q$14,4,0),"")</f>
        <v>2</v>
      </c>
      <c r="Q365" s="136" t="n">
        <f aca="false">IFERROR(VLOOKUP($M365,$M$3:$Q$14,5,0),"")</f>
        <v>0</v>
      </c>
      <c r="R365" s="136" t="n">
        <v>12</v>
      </c>
      <c r="S365" s="138" t="n">
        <f aca="false">S364/12</f>
        <v>5041</v>
      </c>
      <c r="T365" s="139" t="n">
        <f aca="false">S365/1.11</f>
        <v>4541.44144144144</v>
      </c>
      <c r="U365" s="140" t="n">
        <v>4485</v>
      </c>
      <c r="V365" s="127" t="n">
        <f aca="false">U365-(U365*11%)</f>
        <v>3991.65</v>
      </c>
      <c r="W365" s="1" t="e">
        <f aca="false">VLOOKUP($G365,#REF!,2,0)</f>
        <v>#VALUE!</v>
      </c>
    </row>
    <row r="366" customFormat="false" ht="22.5" hidden="true" customHeight="true" outlineLevel="0" collapsed="false">
      <c r="A366" s="53"/>
      <c r="B366" s="53"/>
      <c r="C366" s="133" t="n">
        <v>127</v>
      </c>
      <c r="D366" s="141" t="s">
        <v>285</v>
      </c>
      <c r="E366" s="141" t="s">
        <v>286</v>
      </c>
      <c r="F366" s="136" t="s">
        <v>275</v>
      </c>
      <c r="G366" s="136" t="s">
        <v>275</v>
      </c>
      <c r="H366" s="136" t="s">
        <v>276</v>
      </c>
      <c r="I366" s="136" t="s">
        <v>276</v>
      </c>
      <c r="J366" s="137" t="n">
        <v>1</v>
      </c>
      <c r="K366" s="136" t="str">
        <f aca="false">IFERROR(VLOOKUP($J366,$J$10:$K$13,2,0),"")</f>
        <v>DISTRIBUTOR</v>
      </c>
      <c r="L366" s="136" t="s">
        <v>26</v>
      </c>
      <c r="M366" s="137" t="n">
        <v>1</v>
      </c>
      <c r="N366" s="136" t="str">
        <f aca="false">IFERROR(VLOOKUP($M366,$M$3:$Q$14,2,0),"")</f>
        <v>In Carton</v>
      </c>
      <c r="O366" s="136" t="str">
        <f aca="false">IFERROR(VLOOKUP($M366,$M$3:$Q$14,3,0),"")</f>
        <v>Carton</v>
      </c>
      <c r="P366" s="137" t="n">
        <f aca="false">IFERROR(VLOOKUP($M366,$M$3:$Q$14,4,0),"")</f>
        <v>1</v>
      </c>
      <c r="Q366" s="136" t="str">
        <f aca="false">IFERROR(VLOOKUP($M366,$M$3:$Q$14,5,0),"")</f>
        <v>large</v>
      </c>
      <c r="R366" s="136" t="n">
        <v>1</v>
      </c>
      <c r="S366" s="138" t="n">
        <f aca="false">5583*12</f>
        <v>66996</v>
      </c>
      <c r="T366" s="139" t="n">
        <f aca="false">S366/1.11</f>
        <v>60356.7567567568</v>
      </c>
      <c r="U366" s="140" t="n">
        <v>59800</v>
      </c>
      <c r="V366" s="127" t="n">
        <f aca="false">U366-(U366*11%)</f>
        <v>53222</v>
      </c>
      <c r="W366" s="1" t="e">
        <f aca="false">VLOOKUP($G366,#REF!,2,0)</f>
        <v>#VALUE!</v>
      </c>
    </row>
    <row r="367" customFormat="false" ht="22.5" hidden="true" customHeight="true" outlineLevel="0" collapsed="false">
      <c r="A367" s="53"/>
      <c r="B367" s="53"/>
      <c r="C367" s="133" t="n">
        <v>127</v>
      </c>
      <c r="D367" s="141" t="s">
        <v>285</v>
      </c>
      <c r="E367" s="141" t="s">
        <v>286</v>
      </c>
      <c r="F367" s="136" t="s">
        <v>275</v>
      </c>
      <c r="G367" s="136" t="s">
        <v>275</v>
      </c>
      <c r="H367" s="136" t="s">
        <v>276</v>
      </c>
      <c r="I367" s="136" t="s">
        <v>276</v>
      </c>
      <c r="J367" s="137" t="n">
        <v>1</v>
      </c>
      <c r="K367" s="136" t="str">
        <f aca="false">IFERROR(VLOOKUP($J367,$J$10:$K$13,2,0),"")</f>
        <v>DISTRIBUTOR</v>
      </c>
      <c r="L367" s="136" t="s">
        <v>26</v>
      </c>
      <c r="M367" s="137" t="n">
        <v>3</v>
      </c>
      <c r="N367" s="136" t="str">
        <f aca="false">IFERROR(VLOOKUP($M367,$M$3:$Q$14,2,0),"")</f>
        <v>In Pack</v>
      </c>
      <c r="O367" s="136" t="str">
        <f aca="false">IFERROR(VLOOKUP($M367,$M$3:$Q$14,3,0),"")</f>
        <v>Pack</v>
      </c>
      <c r="P367" s="137" t="n">
        <f aca="false">IFERROR(VLOOKUP($M367,$M$3:$Q$14,4,0),"")</f>
        <v>2</v>
      </c>
      <c r="Q367" s="136" t="n">
        <f aca="false">IFERROR(VLOOKUP($M367,$M$3:$Q$14,5,0),"")</f>
        <v>0</v>
      </c>
      <c r="R367" s="136" t="n">
        <v>12</v>
      </c>
      <c r="S367" s="138" t="n">
        <f aca="false">S366/12</f>
        <v>5583</v>
      </c>
      <c r="T367" s="139" t="n">
        <f aca="false">S367/1.11</f>
        <v>5029.72972972973</v>
      </c>
      <c r="U367" s="140" t="n">
        <v>4983</v>
      </c>
      <c r="V367" s="127" t="n">
        <f aca="false">U367-(U367*11%)</f>
        <v>4434.87</v>
      </c>
      <c r="W367" s="1" t="e">
        <f aca="false">VLOOKUP($G367,#REF!,2,0)</f>
        <v>#VALUE!</v>
      </c>
    </row>
    <row r="368" customFormat="false" ht="22.5" hidden="true" customHeight="true" outlineLevel="0" collapsed="false">
      <c r="A368" s="53"/>
      <c r="B368" s="53"/>
      <c r="C368" s="133" t="n">
        <v>128</v>
      </c>
      <c r="D368" s="141" t="s">
        <v>287</v>
      </c>
      <c r="E368" s="141" t="s">
        <v>288</v>
      </c>
      <c r="F368" s="136" t="s">
        <v>275</v>
      </c>
      <c r="G368" s="136" t="s">
        <v>275</v>
      </c>
      <c r="H368" s="136" t="s">
        <v>276</v>
      </c>
      <c r="I368" s="136" t="s">
        <v>276</v>
      </c>
      <c r="J368" s="137" t="n">
        <v>1</v>
      </c>
      <c r="K368" s="136" t="str">
        <f aca="false">IFERROR(VLOOKUP($J368,$J$10:$K$13,2,0),"")</f>
        <v>DISTRIBUTOR</v>
      </c>
      <c r="L368" s="136" t="s">
        <v>26</v>
      </c>
      <c r="M368" s="137" t="n">
        <v>1</v>
      </c>
      <c r="N368" s="136" t="str">
        <f aca="false">IFERROR(VLOOKUP($M368,$M$3:$Q$14,2,0),"")</f>
        <v>In Carton</v>
      </c>
      <c r="O368" s="136" t="str">
        <f aca="false">IFERROR(VLOOKUP($M368,$M$3:$Q$14,3,0),"")</f>
        <v>Carton</v>
      </c>
      <c r="P368" s="137" t="n">
        <f aca="false">IFERROR(VLOOKUP($M368,$M$3:$Q$14,4,0),"")</f>
        <v>1</v>
      </c>
      <c r="Q368" s="136" t="str">
        <f aca="false">IFERROR(VLOOKUP($M368,$M$3:$Q$14,5,0),"")</f>
        <v>large</v>
      </c>
      <c r="R368" s="136" t="n">
        <v>1</v>
      </c>
      <c r="S368" s="138" t="n">
        <f aca="false">2833*24</f>
        <v>67992</v>
      </c>
      <c r="T368" s="139" t="n">
        <f aca="false">S368/1.11</f>
        <v>61254.054054054</v>
      </c>
      <c r="U368" s="140" t="n">
        <v>60720</v>
      </c>
      <c r="V368" s="127" t="n">
        <f aca="false">U368-(U368*11%)</f>
        <v>54040.8</v>
      </c>
      <c r="W368" s="1" t="e">
        <f aca="false">VLOOKUP($G368,#REF!,2,0)</f>
        <v>#VALUE!</v>
      </c>
    </row>
    <row r="369" customFormat="false" ht="22.5" hidden="true" customHeight="true" outlineLevel="0" collapsed="false">
      <c r="A369" s="53"/>
      <c r="B369" s="53"/>
      <c r="C369" s="133" t="n">
        <v>128</v>
      </c>
      <c r="D369" s="141" t="s">
        <v>287</v>
      </c>
      <c r="E369" s="141" t="s">
        <v>288</v>
      </c>
      <c r="F369" s="136" t="s">
        <v>275</v>
      </c>
      <c r="G369" s="136" t="s">
        <v>275</v>
      </c>
      <c r="H369" s="136" t="s">
        <v>276</v>
      </c>
      <c r="I369" s="136" t="s">
        <v>276</v>
      </c>
      <c r="J369" s="137" t="n">
        <v>1</v>
      </c>
      <c r="K369" s="136" t="str">
        <f aca="false">IFERROR(VLOOKUP($J369,$J$10:$K$13,2,0),"")</f>
        <v>DISTRIBUTOR</v>
      </c>
      <c r="L369" s="136" t="s">
        <v>26</v>
      </c>
      <c r="M369" s="137" t="n">
        <v>3</v>
      </c>
      <c r="N369" s="136" t="str">
        <f aca="false">IFERROR(VLOOKUP($M369,$M$3:$Q$14,2,0),"")</f>
        <v>In Pack</v>
      </c>
      <c r="O369" s="136" t="str">
        <f aca="false">IFERROR(VLOOKUP($M369,$M$3:$Q$14,3,0),"")</f>
        <v>Pack</v>
      </c>
      <c r="P369" s="137" t="n">
        <f aca="false">IFERROR(VLOOKUP($M369,$M$3:$Q$14,4,0),"")</f>
        <v>2</v>
      </c>
      <c r="Q369" s="136" t="n">
        <f aca="false">IFERROR(VLOOKUP($M369,$M$3:$Q$14,5,0),"")</f>
        <v>0</v>
      </c>
      <c r="R369" s="136" t="n">
        <v>24</v>
      </c>
      <c r="S369" s="138" t="n">
        <f aca="false">S368/24</f>
        <v>2833</v>
      </c>
      <c r="T369" s="139" t="n">
        <f aca="false">S369/1.11</f>
        <v>2552.25225225225</v>
      </c>
      <c r="U369" s="140" t="n">
        <v>2530</v>
      </c>
      <c r="V369" s="127" t="n">
        <f aca="false">U369-(U369*11%)</f>
        <v>2251.7</v>
      </c>
      <c r="W369" s="1" t="e">
        <f aca="false">VLOOKUP($G369,#REF!,2,0)</f>
        <v>#VALUE!</v>
      </c>
    </row>
    <row r="370" customFormat="false" ht="22.5" hidden="true" customHeight="true" outlineLevel="0" collapsed="false">
      <c r="A370" s="53"/>
      <c r="B370" s="53"/>
      <c r="C370" s="142" t="n">
        <v>129</v>
      </c>
      <c r="D370" s="142"/>
      <c r="E370" s="143" t="s">
        <v>289</v>
      </c>
      <c r="F370" s="143" t="s">
        <v>290</v>
      </c>
      <c r="G370" s="143" t="s">
        <v>290</v>
      </c>
      <c r="H370" s="142" t="s">
        <v>291</v>
      </c>
      <c r="I370" s="142" t="s">
        <v>291</v>
      </c>
      <c r="J370" s="144" t="n">
        <v>1</v>
      </c>
      <c r="K370" s="142" t="str">
        <f aca="false">IFERROR(VLOOKUP($J370,$J$10:$K$13,2,0),"")</f>
        <v>DISTRIBUTOR</v>
      </c>
      <c r="L370" s="142" t="s">
        <v>26</v>
      </c>
      <c r="M370" s="144" t="n">
        <v>1</v>
      </c>
      <c r="N370" s="142" t="str">
        <f aca="false">IFERROR(VLOOKUP($M370,$M$3:$Q$14,2,0),"")</f>
        <v>In Carton</v>
      </c>
      <c r="O370" s="142" t="str">
        <f aca="false">IFERROR(VLOOKUP($M370,$M$3:$Q$14,3,0),"")</f>
        <v>Carton</v>
      </c>
      <c r="P370" s="144" t="n">
        <f aca="false">IFERROR(VLOOKUP($M370,$M$3:$Q$14,4,0),"")</f>
        <v>1</v>
      </c>
      <c r="Q370" s="142" t="str">
        <f aca="false">IFERROR(VLOOKUP($M370,$M$3:$Q$14,5,0),"")</f>
        <v>large</v>
      </c>
      <c r="R370" s="142" t="n">
        <v>1</v>
      </c>
      <c r="S370" s="145" t="n">
        <f aca="false">5780*24</f>
        <v>138720</v>
      </c>
      <c r="T370" s="146" t="n">
        <f aca="false">S370/1.11</f>
        <v>124972.972972973</v>
      </c>
      <c r="U370" s="147" t="n">
        <f aca="false">V370+(V370*11%)</f>
        <v>129004.2</v>
      </c>
      <c r="V370" s="147" t="n">
        <v>116220</v>
      </c>
      <c r="W370" s="1" t="e">
        <f aca="false">VLOOKUP($G370,#REF!,2,0)</f>
        <v>#VALUE!</v>
      </c>
    </row>
    <row r="371" customFormat="false" ht="22.5" hidden="true" customHeight="true" outlineLevel="0" collapsed="false">
      <c r="A371" s="53"/>
      <c r="B371" s="53"/>
      <c r="C371" s="142" t="n">
        <v>129</v>
      </c>
      <c r="D371" s="142"/>
      <c r="E371" s="143" t="s">
        <v>289</v>
      </c>
      <c r="F371" s="143" t="s">
        <v>290</v>
      </c>
      <c r="G371" s="143" t="s">
        <v>290</v>
      </c>
      <c r="H371" s="142" t="s">
        <v>291</v>
      </c>
      <c r="I371" s="142" t="s">
        <v>291</v>
      </c>
      <c r="J371" s="144" t="n">
        <v>1</v>
      </c>
      <c r="K371" s="142" t="str">
        <f aca="false">IFERROR(VLOOKUP($J371,$J$10:$K$13,2,0),"")</f>
        <v>DISTRIBUTOR</v>
      </c>
      <c r="L371" s="142" t="s">
        <v>26</v>
      </c>
      <c r="M371" s="144" t="n">
        <v>11</v>
      </c>
      <c r="N371" s="142" t="str">
        <f aca="false">IFERROR(VLOOKUP($M371,$M$3:$Q$14,2,0),"")</f>
        <v>In Pcs</v>
      </c>
      <c r="O371" s="142" t="str">
        <f aca="false">IFERROR(VLOOKUP($M371,$M$3:$Q$14,3,0),"")</f>
        <v>Botol</v>
      </c>
      <c r="P371" s="144" t="n">
        <f aca="false">IFERROR(VLOOKUP($M371,$M$3:$Q$14,4,0),"")</f>
        <v>4</v>
      </c>
      <c r="Q371" s="142" t="str">
        <f aca="false">IFERROR(VLOOKUP($M371,$M$3:$Q$14,5,0),"")</f>
        <v>small</v>
      </c>
      <c r="R371" s="142" t="n">
        <v>24</v>
      </c>
      <c r="S371" s="145" t="n">
        <f aca="false">S370/24</f>
        <v>5780</v>
      </c>
      <c r="T371" s="146" t="n">
        <f aca="false">S371/1.11</f>
        <v>5207.20720720721</v>
      </c>
      <c r="U371" s="147" t="n">
        <f aca="false">V371+(V371*11%)</f>
        <v>5375.73</v>
      </c>
      <c r="V371" s="147" t="n">
        <v>4843</v>
      </c>
      <c r="W371" s="1" t="e">
        <f aca="false">VLOOKUP($G371,#REF!,2,0)</f>
        <v>#VALUE!</v>
      </c>
    </row>
    <row r="372" customFormat="false" ht="22.5" hidden="true" customHeight="true" outlineLevel="0" collapsed="false">
      <c r="A372" s="53"/>
      <c r="B372" s="53"/>
      <c r="C372" s="142" t="n">
        <v>130</v>
      </c>
      <c r="D372" s="142"/>
      <c r="E372" s="143" t="s">
        <v>292</v>
      </c>
      <c r="F372" s="143" t="s">
        <v>290</v>
      </c>
      <c r="G372" s="143" t="s">
        <v>290</v>
      </c>
      <c r="H372" s="142" t="s">
        <v>291</v>
      </c>
      <c r="I372" s="142" t="s">
        <v>291</v>
      </c>
      <c r="J372" s="144" t="n">
        <v>1</v>
      </c>
      <c r="K372" s="142" t="str">
        <f aca="false">IFERROR(VLOOKUP($J372,$J$10:$K$13,2,0),"")</f>
        <v>DISTRIBUTOR</v>
      </c>
      <c r="L372" s="142" t="s">
        <v>26</v>
      </c>
      <c r="M372" s="144" t="n">
        <v>1</v>
      </c>
      <c r="N372" s="142" t="str">
        <f aca="false">IFERROR(VLOOKUP($M372,$M$3:$Q$14,2,0),"")</f>
        <v>In Carton</v>
      </c>
      <c r="O372" s="142" t="str">
        <f aca="false">IFERROR(VLOOKUP($M372,$M$3:$Q$14,3,0),"")</f>
        <v>Carton</v>
      </c>
      <c r="P372" s="144" t="n">
        <f aca="false">IFERROR(VLOOKUP($M372,$M$3:$Q$14,4,0),"")</f>
        <v>1</v>
      </c>
      <c r="Q372" s="142" t="str">
        <f aca="false">IFERROR(VLOOKUP($M372,$M$3:$Q$14,5,0),"")</f>
        <v>large</v>
      </c>
      <c r="R372" s="142" t="n">
        <v>1</v>
      </c>
      <c r="S372" s="145" t="n">
        <f aca="false">5780*24</f>
        <v>138720</v>
      </c>
      <c r="T372" s="146" t="n">
        <f aca="false">S372/1.11</f>
        <v>124972.972972973</v>
      </c>
      <c r="U372" s="147" t="n">
        <f aca="false">V372+(V372*11%)</f>
        <v>129004.2</v>
      </c>
      <c r="V372" s="147" t="n">
        <v>116220</v>
      </c>
      <c r="W372" s="1" t="e">
        <f aca="false">VLOOKUP($G372,#REF!,2,0)</f>
        <v>#VALUE!</v>
      </c>
    </row>
    <row r="373" customFormat="false" ht="22.5" hidden="true" customHeight="true" outlineLevel="0" collapsed="false">
      <c r="A373" s="53"/>
      <c r="B373" s="53"/>
      <c r="C373" s="142" t="n">
        <v>130</v>
      </c>
      <c r="D373" s="142"/>
      <c r="E373" s="143" t="s">
        <v>292</v>
      </c>
      <c r="F373" s="143" t="s">
        <v>290</v>
      </c>
      <c r="G373" s="143" t="s">
        <v>290</v>
      </c>
      <c r="H373" s="142" t="s">
        <v>291</v>
      </c>
      <c r="I373" s="142" t="s">
        <v>291</v>
      </c>
      <c r="J373" s="144" t="n">
        <v>1</v>
      </c>
      <c r="K373" s="142" t="str">
        <f aca="false">IFERROR(VLOOKUP($J373,$J$10:$K$13,2,0),"")</f>
        <v>DISTRIBUTOR</v>
      </c>
      <c r="L373" s="142" t="s">
        <v>26</v>
      </c>
      <c r="M373" s="144" t="n">
        <v>11</v>
      </c>
      <c r="N373" s="142" t="str">
        <f aca="false">IFERROR(VLOOKUP($M373,$M$3:$Q$14,2,0),"")</f>
        <v>In Pcs</v>
      </c>
      <c r="O373" s="142" t="str">
        <f aca="false">IFERROR(VLOOKUP($M373,$M$3:$Q$14,3,0),"")</f>
        <v>Botol</v>
      </c>
      <c r="P373" s="144" t="n">
        <f aca="false">IFERROR(VLOOKUP($M373,$M$3:$Q$14,4,0),"")</f>
        <v>4</v>
      </c>
      <c r="Q373" s="142" t="str">
        <f aca="false">IFERROR(VLOOKUP($M373,$M$3:$Q$14,5,0),"")</f>
        <v>small</v>
      </c>
      <c r="R373" s="142" t="n">
        <v>24</v>
      </c>
      <c r="S373" s="145" t="n">
        <f aca="false">S372/24</f>
        <v>5780</v>
      </c>
      <c r="T373" s="146" t="n">
        <f aca="false">S373/1.11</f>
        <v>5207.20720720721</v>
      </c>
      <c r="U373" s="147" t="n">
        <f aca="false">V373+(V373*11%)</f>
        <v>5375.73</v>
      </c>
      <c r="V373" s="147" t="n">
        <v>4843</v>
      </c>
      <c r="W373" s="1" t="e">
        <f aca="false">VLOOKUP($G373,#REF!,2,0)</f>
        <v>#VALUE!</v>
      </c>
    </row>
    <row r="374" customFormat="false" ht="22.5" hidden="true" customHeight="true" outlineLevel="0" collapsed="false">
      <c r="A374" s="53"/>
      <c r="B374" s="53"/>
      <c r="C374" s="142" t="n">
        <v>131</v>
      </c>
      <c r="D374" s="142"/>
      <c r="E374" s="143" t="s">
        <v>293</v>
      </c>
      <c r="F374" s="143" t="s">
        <v>290</v>
      </c>
      <c r="G374" s="143" t="s">
        <v>290</v>
      </c>
      <c r="H374" s="142" t="s">
        <v>291</v>
      </c>
      <c r="I374" s="142" t="s">
        <v>291</v>
      </c>
      <c r="J374" s="144" t="n">
        <v>1</v>
      </c>
      <c r="K374" s="142" t="str">
        <f aca="false">IFERROR(VLOOKUP($J374,$J$10:$K$13,2,0),"")</f>
        <v>DISTRIBUTOR</v>
      </c>
      <c r="L374" s="142" t="s">
        <v>26</v>
      </c>
      <c r="M374" s="144" t="n">
        <v>1</v>
      </c>
      <c r="N374" s="142" t="str">
        <f aca="false">IFERROR(VLOOKUP($M374,$M$3:$Q$14,2,0),"")</f>
        <v>In Carton</v>
      </c>
      <c r="O374" s="142" t="str">
        <f aca="false">IFERROR(VLOOKUP($M374,$M$3:$Q$14,3,0),"")</f>
        <v>Carton</v>
      </c>
      <c r="P374" s="144" t="n">
        <f aca="false">IFERROR(VLOOKUP($M374,$M$3:$Q$14,4,0),"")</f>
        <v>1</v>
      </c>
      <c r="Q374" s="142" t="str">
        <f aca="false">IFERROR(VLOOKUP($M374,$M$3:$Q$14,5,0),"")</f>
        <v>large</v>
      </c>
      <c r="R374" s="142" t="n">
        <v>1</v>
      </c>
      <c r="S374" s="145" t="n">
        <f aca="false">7602*24</f>
        <v>182448</v>
      </c>
      <c r="T374" s="146" t="n">
        <f aca="false">S374/1.11</f>
        <v>164367.567567568</v>
      </c>
      <c r="U374" s="147" t="n">
        <f aca="false">V374+(V374*11%)</f>
        <v>169660.17</v>
      </c>
      <c r="V374" s="147" t="n">
        <v>152847</v>
      </c>
      <c r="W374" s="1" t="e">
        <f aca="false">VLOOKUP($G374,#REF!,2,0)</f>
        <v>#VALUE!</v>
      </c>
    </row>
    <row r="375" customFormat="false" ht="22.5" hidden="true" customHeight="true" outlineLevel="0" collapsed="false">
      <c r="A375" s="53"/>
      <c r="B375" s="53"/>
      <c r="C375" s="142" t="n">
        <v>131</v>
      </c>
      <c r="D375" s="142"/>
      <c r="E375" s="143" t="s">
        <v>293</v>
      </c>
      <c r="F375" s="143" t="s">
        <v>290</v>
      </c>
      <c r="G375" s="143" t="s">
        <v>290</v>
      </c>
      <c r="H375" s="142" t="s">
        <v>291</v>
      </c>
      <c r="I375" s="142" t="s">
        <v>291</v>
      </c>
      <c r="J375" s="144" t="n">
        <v>1</v>
      </c>
      <c r="K375" s="142" t="str">
        <f aca="false">IFERROR(VLOOKUP($J375,$J$10:$K$13,2,0),"")</f>
        <v>DISTRIBUTOR</v>
      </c>
      <c r="L375" s="142" t="s">
        <v>26</v>
      </c>
      <c r="M375" s="144" t="n">
        <v>11</v>
      </c>
      <c r="N375" s="142" t="str">
        <f aca="false">IFERROR(VLOOKUP($M375,$M$3:$Q$14,2,0),"")</f>
        <v>In Pcs</v>
      </c>
      <c r="O375" s="142" t="str">
        <f aca="false">IFERROR(VLOOKUP($M375,$M$3:$Q$14,3,0),"")</f>
        <v>Botol</v>
      </c>
      <c r="P375" s="144" t="n">
        <f aca="false">IFERROR(VLOOKUP($M375,$M$3:$Q$14,4,0),"")</f>
        <v>4</v>
      </c>
      <c r="Q375" s="142" t="str">
        <f aca="false">IFERROR(VLOOKUP($M375,$M$3:$Q$14,5,0),"")</f>
        <v>small</v>
      </c>
      <c r="R375" s="142" t="n">
        <v>24</v>
      </c>
      <c r="S375" s="145" t="n">
        <f aca="false">S374/24</f>
        <v>7602</v>
      </c>
      <c r="T375" s="146" t="n">
        <f aca="false">S375/1.11</f>
        <v>6848.64864864865</v>
      </c>
      <c r="U375" s="147" t="n">
        <f aca="false">V375+(V375*11%)</f>
        <v>7068.48</v>
      </c>
      <c r="V375" s="147" t="n">
        <v>6368</v>
      </c>
      <c r="W375" s="1" t="e">
        <f aca="false">VLOOKUP($G375,#REF!,2,0)</f>
        <v>#VALUE!</v>
      </c>
    </row>
    <row r="376" customFormat="false" ht="22.5" hidden="true" customHeight="true" outlineLevel="0" collapsed="false">
      <c r="A376" s="53"/>
      <c r="B376" s="53"/>
      <c r="C376" s="142" t="n">
        <v>132</v>
      </c>
      <c r="D376" s="142"/>
      <c r="E376" s="143" t="s">
        <v>294</v>
      </c>
      <c r="F376" s="143" t="s">
        <v>290</v>
      </c>
      <c r="G376" s="143" t="s">
        <v>290</v>
      </c>
      <c r="H376" s="142" t="s">
        <v>291</v>
      </c>
      <c r="I376" s="142" t="s">
        <v>291</v>
      </c>
      <c r="J376" s="144" t="n">
        <v>1</v>
      </c>
      <c r="K376" s="142" t="str">
        <f aca="false">IFERROR(VLOOKUP($J376,$J$10:$K$13,2,0),"")</f>
        <v>DISTRIBUTOR</v>
      </c>
      <c r="L376" s="142" t="s">
        <v>26</v>
      </c>
      <c r="M376" s="144" t="n">
        <v>1</v>
      </c>
      <c r="N376" s="142" t="str">
        <f aca="false">IFERROR(VLOOKUP($M376,$M$3:$Q$14,2,0),"")</f>
        <v>In Carton</v>
      </c>
      <c r="O376" s="142" t="str">
        <f aca="false">IFERROR(VLOOKUP($M376,$M$3:$Q$14,3,0),"")</f>
        <v>Carton</v>
      </c>
      <c r="P376" s="144" t="n">
        <f aca="false">IFERROR(VLOOKUP($M376,$M$3:$Q$14,4,0),"")</f>
        <v>1</v>
      </c>
      <c r="Q376" s="142" t="str">
        <f aca="false">IFERROR(VLOOKUP($M376,$M$3:$Q$14,5,0),"")</f>
        <v>large</v>
      </c>
      <c r="R376" s="142" t="n">
        <v>1</v>
      </c>
      <c r="S376" s="145" t="n">
        <f aca="false">5742*24</f>
        <v>137808</v>
      </c>
      <c r="T376" s="146" t="n">
        <f aca="false">S376/1.11</f>
        <v>124151.351351351</v>
      </c>
      <c r="U376" s="147" t="n">
        <f aca="false">V376+(V376*11%)</f>
        <v>128161.71</v>
      </c>
      <c r="V376" s="147" t="n">
        <v>115461</v>
      </c>
      <c r="W376" s="1" t="e">
        <f aca="false">VLOOKUP($G376,#REF!,2,0)</f>
        <v>#VALUE!</v>
      </c>
    </row>
    <row r="377" customFormat="false" ht="22.5" hidden="true" customHeight="true" outlineLevel="0" collapsed="false">
      <c r="A377" s="53"/>
      <c r="B377" s="53"/>
      <c r="C377" s="142" t="n">
        <v>132</v>
      </c>
      <c r="D377" s="142"/>
      <c r="E377" s="143" t="s">
        <v>294</v>
      </c>
      <c r="F377" s="143" t="s">
        <v>290</v>
      </c>
      <c r="G377" s="143" t="s">
        <v>290</v>
      </c>
      <c r="H377" s="142" t="s">
        <v>291</v>
      </c>
      <c r="I377" s="142" t="s">
        <v>291</v>
      </c>
      <c r="J377" s="144" t="n">
        <v>1</v>
      </c>
      <c r="K377" s="142" t="str">
        <f aca="false">IFERROR(VLOOKUP($J377,$J$10:$K$13,2,0),"")</f>
        <v>DISTRIBUTOR</v>
      </c>
      <c r="L377" s="142" t="s">
        <v>26</v>
      </c>
      <c r="M377" s="144" t="n">
        <v>11</v>
      </c>
      <c r="N377" s="142" t="str">
        <f aca="false">IFERROR(VLOOKUP($M377,$M$3:$Q$14,2,0),"")</f>
        <v>In Pcs</v>
      </c>
      <c r="O377" s="142" t="str">
        <f aca="false">IFERROR(VLOOKUP($M377,$M$3:$Q$14,3,0),"")</f>
        <v>Botol</v>
      </c>
      <c r="P377" s="144" t="n">
        <f aca="false">IFERROR(VLOOKUP($M377,$M$3:$Q$14,4,0),"")</f>
        <v>4</v>
      </c>
      <c r="Q377" s="142" t="str">
        <f aca="false">IFERROR(VLOOKUP($M377,$M$3:$Q$14,5,0),"")</f>
        <v>small</v>
      </c>
      <c r="R377" s="142" t="n">
        <v>24</v>
      </c>
      <c r="S377" s="145" t="n">
        <f aca="false">S376/24</f>
        <v>5742</v>
      </c>
      <c r="T377" s="146" t="n">
        <f aca="false">S377/1.11</f>
        <v>5172.97297297297</v>
      </c>
      <c r="U377" s="147" t="n">
        <f aca="false">V377+(V377*11%)</f>
        <v>5339.1</v>
      </c>
      <c r="V377" s="147" t="n">
        <v>4810</v>
      </c>
      <c r="W377" s="1" t="e">
        <f aca="false">VLOOKUP($G377,#REF!,2,0)</f>
        <v>#VALUE!</v>
      </c>
    </row>
    <row r="378" customFormat="false" ht="22.5" hidden="true" customHeight="true" outlineLevel="0" collapsed="false">
      <c r="A378" s="53"/>
      <c r="B378" s="53"/>
      <c r="C378" s="142" t="n">
        <v>133</v>
      </c>
      <c r="D378" s="142"/>
      <c r="E378" s="143" t="s">
        <v>295</v>
      </c>
      <c r="F378" s="143" t="s">
        <v>290</v>
      </c>
      <c r="G378" s="143" t="s">
        <v>290</v>
      </c>
      <c r="H378" s="142" t="s">
        <v>291</v>
      </c>
      <c r="I378" s="142" t="s">
        <v>291</v>
      </c>
      <c r="J378" s="144" t="n">
        <v>1</v>
      </c>
      <c r="K378" s="142" t="str">
        <f aca="false">IFERROR(VLOOKUP($J378,$J$10:$K$13,2,0),"")</f>
        <v>DISTRIBUTOR</v>
      </c>
      <c r="L378" s="142" t="s">
        <v>26</v>
      </c>
      <c r="M378" s="144" t="n">
        <v>1</v>
      </c>
      <c r="N378" s="142" t="str">
        <f aca="false">IFERROR(VLOOKUP($M378,$M$3:$Q$14,2,0),"")</f>
        <v>In Carton</v>
      </c>
      <c r="O378" s="142" t="str">
        <f aca="false">IFERROR(VLOOKUP($M378,$M$3:$Q$14,3,0),"")</f>
        <v>Carton</v>
      </c>
      <c r="P378" s="144" t="n">
        <f aca="false">IFERROR(VLOOKUP($M378,$M$3:$Q$14,4,0),"")</f>
        <v>1</v>
      </c>
      <c r="Q378" s="142" t="str">
        <f aca="false">IFERROR(VLOOKUP($M378,$M$3:$Q$14,5,0),"")</f>
        <v>large</v>
      </c>
      <c r="R378" s="142" t="n">
        <v>1</v>
      </c>
      <c r="S378" s="145" t="n">
        <f aca="false">5742*24</f>
        <v>137808</v>
      </c>
      <c r="T378" s="146" t="n">
        <f aca="false">S378/1.11</f>
        <v>124151.351351351</v>
      </c>
      <c r="U378" s="147" t="n">
        <f aca="false">V378+(V378*11%)</f>
        <v>128161.71</v>
      </c>
      <c r="V378" s="147" t="n">
        <v>115461</v>
      </c>
      <c r="W378" s="1" t="e">
        <f aca="false">VLOOKUP($G378,#REF!,2,0)</f>
        <v>#VALUE!</v>
      </c>
    </row>
    <row r="379" customFormat="false" ht="22.5" hidden="true" customHeight="true" outlineLevel="0" collapsed="false">
      <c r="A379" s="53"/>
      <c r="B379" s="53"/>
      <c r="C379" s="142" t="n">
        <v>133</v>
      </c>
      <c r="D379" s="142"/>
      <c r="E379" s="143" t="s">
        <v>295</v>
      </c>
      <c r="F379" s="143" t="s">
        <v>290</v>
      </c>
      <c r="G379" s="143" t="s">
        <v>290</v>
      </c>
      <c r="H379" s="142" t="s">
        <v>291</v>
      </c>
      <c r="I379" s="142" t="s">
        <v>291</v>
      </c>
      <c r="J379" s="144" t="n">
        <v>1</v>
      </c>
      <c r="K379" s="142" t="str">
        <f aca="false">IFERROR(VLOOKUP($J379,$J$10:$K$13,2,0),"")</f>
        <v>DISTRIBUTOR</v>
      </c>
      <c r="L379" s="142" t="s">
        <v>26</v>
      </c>
      <c r="M379" s="144" t="n">
        <v>11</v>
      </c>
      <c r="N379" s="142" t="str">
        <f aca="false">IFERROR(VLOOKUP($M379,$M$3:$Q$14,2,0),"")</f>
        <v>In Pcs</v>
      </c>
      <c r="O379" s="142" t="str">
        <f aca="false">IFERROR(VLOOKUP($M379,$M$3:$Q$14,3,0),"")</f>
        <v>Botol</v>
      </c>
      <c r="P379" s="144" t="n">
        <f aca="false">IFERROR(VLOOKUP($M379,$M$3:$Q$14,4,0),"")</f>
        <v>4</v>
      </c>
      <c r="Q379" s="142" t="str">
        <f aca="false">IFERROR(VLOOKUP($M379,$M$3:$Q$14,5,0),"")</f>
        <v>small</v>
      </c>
      <c r="R379" s="142" t="n">
        <v>24</v>
      </c>
      <c r="S379" s="145" t="n">
        <f aca="false">S378/24</f>
        <v>5742</v>
      </c>
      <c r="T379" s="146" t="n">
        <f aca="false">S379/1.11</f>
        <v>5172.97297297297</v>
      </c>
      <c r="U379" s="147" t="n">
        <f aca="false">V379+(V379*11%)</f>
        <v>5339.1</v>
      </c>
      <c r="V379" s="147" t="n">
        <v>4810</v>
      </c>
      <c r="W379" s="1" t="e">
        <f aca="false">VLOOKUP($G379,#REF!,2,0)</f>
        <v>#VALUE!</v>
      </c>
    </row>
    <row r="380" customFormat="false" ht="22.5" hidden="true" customHeight="true" outlineLevel="0" collapsed="false">
      <c r="A380" s="53"/>
      <c r="B380" s="53"/>
      <c r="C380" s="142" t="n">
        <v>134</v>
      </c>
      <c r="D380" s="142"/>
      <c r="E380" s="143" t="s">
        <v>296</v>
      </c>
      <c r="F380" s="143" t="s">
        <v>290</v>
      </c>
      <c r="G380" s="143" t="s">
        <v>290</v>
      </c>
      <c r="H380" s="142" t="s">
        <v>291</v>
      </c>
      <c r="I380" s="142" t="s">
        <v>291</v>
      </c>
      <c r="J380" s="144" t="n">
        <v>1</v>
      </c>
      <c r="K380" s="142" t="str">
        <f aca="false">IFERROR(VLOOKUP($J380,$J$10:$K$13,2,0),"")</f>
        <v>DISTRIBUTOR</v>
      </c>
      <c r="L380" s="142" t="s">
        <v>26</v>
      </c>
      <c r="M380" s="144" t="n">
        <v>1</v>
      </c>
      <c r="N380" s="142" t="str">
        <f aca="false">IFERROR(VLOOKUP($M380,$M$3:$Q$14,2,0),"")</f>
        <v>In Carton</v>
      </c>
      <c r="O380" s="142" t="str">
        <f aca="false">IFERROR(VLOOKUP($M380,$M$3:$Q$14,3,0),"")</f>
        <v>Carton</v>
      </c>
      <c r="P380" s="144" t="n">
        <f aca="false">IFERROR(VLOOKUP($M380,$M$3:$Q$14,4,0),"")</f>
        <v>1</v>
      </c>
      <c r="Q380" s="142" t="str">
        <f aca="false">IFERROR(VLOOKUP($M380,$M$3:$Q$14,5,0),"")</f>
        <v>large</v>
      </c>
      <c r="R380" s="142" t="n">
        <v>1</v>
      </c>
      <c r="S380" s="145" t="n">
        <f aca="false">5742*24</f>
        <v>137808</v>
      </c>
      <c r="T380" s="146" t="n">
        <f aca="false">S380/1.11</f>
        <v>124151.351351351</v>
      </c>
      <c r="U380" s="147" t="n">
        <f aca="false">V380+(V380*11%)</f>
        <v>128161.71</v>
      </c>
      <c r="V380" s="147" t="n">
        <v>115461</v>
      </c>
      <c r="W380" s="1" t="e">
        <f aca="false">VLOOKUP($G380,#REF!,2,0)</f>
        <v>#VALUE!</v>
      </c>
    </row>
    <row r="381" customFormat="false" ht="22.5" hidden="true" customHeight="true" outlineLevel="0" collapsed="false">
      <c r="A381" s="53"/>
      <c r="B381" s="53"/>
      <c r="C381" s="142" t="n">
        <v>134</v>
      </c>
      <c r="D381" s="142"/>
      <c r="E381" s="143" t="s">
        <v>296</v>
      </c>
      <c r="F381" s="143" t="s">
        <v>290</v>
      </c>
      <c r="G381" s="143" t="s">
        <v>290</v>
      </c>
      <c r="H381" s="142" t="s">
        <v>291</v>
      </c>
      <c r="I381" s="142" t="s">
        <v>291</v>
      </c>
      <c r="J381" s="144" t="n">
        <v>1</v>
      </c>
      <c r="K381" s="142" t="str">
        <f aca="false">IFERROR(VLOOKUP($J381,$J$10:$K$13,2,0),"")</f>
        <v>DISTRIBUTOR</v>
      </c>
      <c r="L381" s="142" t="s">
        <v>26</v>
      </c>
      <c r="M381" s="144" t="n">
        <v>11</v>
      </c>
      <c r="N381" s="142" t="str">
        <f aca="false">IFERROR(VLOOKUP($M381,$M$3:$Q$14,2,0),"")</f>
        <v>In Pcs</v>
      </c>
      <c r="O381" s="142" t="str">
        <f aca="false">IFERROR(VLOOKUP($M381,$M$3:$Q$14,3,0),"")</f>
        <v>Botol</v>
      </c>
      <c r="P381" s="144" t="n">
        <f aca="false">IFERROR(VLOOKUP($M381,$M$3:$Q$14,4,0),"")</f>
        <v>4</v>
      </c>
      <c r="Q381" s="142" t="str">
        <f aca="false">IFERROR(VLOOKUP($M381,$M$3:$Q$14,5,0),"")</f>
        <v>small</v>
      </c>
      <c r="R381" s="142" t="n">
        <v>24</v>
      </c>
      <c r="S381" s="145" t="n">
        <f aca="false">S380/24</f>
        <v>5742</v>
      </c>
      <c r="T381" s="146" t="n">
        <f aca="false">S381/1.11</f>
        <v>5172.97297297297</v>
      </c>
      <c r="U381" s="147" t="n">
        <f aca="false">V381+(V381*11%)</f>
        <v>5339.1</v>
      </c>
      <c r="V381" s="147" t="n">
        <v>4810</v>
      </c>
      <c r="W381" s="1" t="e">
        <f aca="false">VLOOKUP($G381,#REF!,2,0)</f>
        <v>#VALUE!</v>
      </c>
    </row>
    <row r="382" customFormat="false" ht="22.5" hidden="true" customHeight="true" outlineLevel="0" collapsed="false">
      <c r="A382" s="53"/>
      <c r="B382" s="53"/>
      <c r="C382" s="142" t="n">
        <v>135</v>
      </c>
      <c r="D382" s="142"/>
      <c r="E382" s="143" t="s">
        <v>297</v>
      </c>
      <c r="F382" s="143" t="s">
        <v>290</v>
      </c>
      <c r="G382" s="143" t="s">
        <v>290</v>
      </c>
      <c r="H382" s="142" t="s">
        <v>291</v>
      </c>
      <c r="I382" s="142" t="s">
        <v>291</v>
      </c>
      <c r="J382" s="144" t="n">
        <v>1</v>
      </c>
      <c r="K382" s="142" t="str">
        <f aca="false">IFERROR(VLOOKUP($J382,$J$10:$K$13,2,0),"")</f>
        <v>DISTRIBUTOR</v>
      </c>
      <c r="L382" s="142" t="s">
        <v>26</v>
      </c>
      <c r="M382" s="144" t="n">
        <v>1</v>
      </c>
      <c r="N382" s="142" t="str">
        <f aca="false">IFERROR(VLOOKUP($M382,$M$3:$Q$14,2,0),"")</f>
        <v>In Carton</v>
      </c>
      <c r="O382" s="142" t="str">
        <f aca="false">IFERROR(VLOOKUP($M382,$M$3:$Q$14,3,0),"")</f>
        <v>Carton</v>
      </c>
      <c r="P382" s="144" t="n">
        <f aca="false">IFERROR(VLOOKUP($M382,$M$3:$Q$14,4,0),"")</f>
        <v>1</v>
      </c>
      <c r="Q382" s="142" t="str">
        <f aca="false">IFERROR(VLOOKUP($M382,$M$3:$Q$14,5,0),"")</f>
        <v>large</v>
      </c>
      <c r="R382" s="142" t="n">
        <v>1</v>
      </c>
      <c r="S382" s="145" t="n">
        <f aca="false">5742*24</f>
        <v>137808</v>
      </c>
      <c r="T382" s="146" t="n">
        <f aca="false">S382/1.11</f>
        <v>124151.351351351</v>
      </c>
      <c r="U382" s="147" t="n">
        <f aca="false">V382+(V382*11%)</f>
        <v>128161.71</v>
      </c>
      <c r="V382" s="147" t="n">
        <v>115461</v>
      </c>
      <c r="W382" s="1" t="e">
        <f aca="false">VLOOKUP($G382,#REF!,2,0)</f>
        <v>#VALUE!</v>
      </c>
    </row>
    <row r="383" customFormat="false" ht="22.5" hidden="true" customHeight="true" outlineLevel="0" collapsed="false">
      <c r="A383" s="53"/>
      <c r="B383" s="53"/>
      <c r="C383" s="142" t="n">
        <v>135</v>
      </c>
      <c r="D383" s="142"/>
      <c r="E383" s="143" t="s">
        <v>297</v>
      </c>
      <c r="F383" s="143" t="s">
        <v>290</v>
      </c>
      <c r="G383" s="143" t="s">
        <v>290</v>
      </c>
      <c r="H383" s="142" t="s">
        <v>291</v>
      </c>
      <c r="I383" s="142" t="s">
        <v>291</v>
      </c>
      <c r="J383" s="144" t="n">
        <v>1</v>
      </c>
      <c r="K383" s="142" t="str">
        <f aca="false">IFERROR(VLOOKUP($J383,$J$10:$K$13,2,0),"")</f>
        <v>DISTRIBUTOR</v>
      </c>
      <c r="L383" s="142" t="s">
        <v>26</v>
      </c>
      <c r="M383" s="144" t="n">
        <v>11</v>
      </c>
      <c r="N383" s="142" t="str">
        <f aca="false">IFERROR(VLOOKUP($M383,$M$3:$Q$14,2,0),"")</f>
        <v>In Pcs</v>
      </c>
      <c r="O383" s="142" t="str">
        <f aca="false">IFERROR(VLOOKUP($M383,$M$3:$Q$14,3,0),"")</f>
        <v>Botol</v>
      </c>
      <c r="P383" s="144" t="n">
        <f aca="false">IFERROR(VLOOKUP($M383,$M$3:$Q$14,4,0),"")</f>
        <v>4</v>
      </c>
      <c r="Q383" s="142" t="str">
        <f aca="false">IFERROR(VLOOKUP($M383,$M$3:$Q$14,5,0),"")</f>
        <v>small</v>
      </c>
      <c r="R383" s="142" t="n">
        <v>24</v>
      </c>
      <c r="S383" s="145" t="n">
        <f aca="false">S382/24</f>
        <v>5742</v>
      </c>
      <c r="T383" s="146" t="n">
        <f aca="false">S383/1.11</f>
        <v>5172.97297297297</v>
      </c>
      <c r="U383" s="147" t="n">
        <f aca="false">V383+(V383*11%)</f>
        <v>5339.1</v>
      </c>
      <c r="V383" s="147" t="n">
        <v>4810</v>
      </c>
      <c r="W383" s="1" t="e">
        <f aca="false">VLOOKUP($G383,#REF!,2,0)</f>
        <v>#VALUE!</v>
      </c>
    </row>
    <row r="384" customFormat="false" ht="22.5" hidden="true" customHeight="true" outlineLevel="0" collapsed="false">
      <c r="A384" s="53"/>
      <c r="B384" s="53"/>
      <c r="C384" s="142" t="n">
        <v>136</v>
      </c>
      <c r="D384" s="142"/>
      <c r="E384" s="143" t="s">
        <v>298</v>
      </c>
      <c r="F384" s="143" t="s">
        <v>290</v>
      </c>
      <c r="G384" s="143" t="s">
        <v>290</v>
      </c>
      <c r="H384" s="142" t="s">
        <v>291</v>
      </c>
      <c r="I384" s="142" t="s">
        <v>291</v>
      </c>
      <c r="J384" s="144" t="n">
        <v>1</v>
      </c>
      <c r="K384" s="142" t="str">
        <f aca="false">IFERROR(VLOOKUP($J384,$J$10:$K$13,2,0),"")</f>
        <v>DISTRIBUTOR</v>
      </c>
      <c r="L384" s="142" t="s">
        <v>26</v>
      </c>
      <c r="M384" s="144" t="n">
        <v>1</v>
      </c>
      <c r="N384" s="142" t="str">
        <f aca="false">IFERROR(VLOOKUP($M384,$M$3:$Q$14,2,0),"")</f>
        <v>In Carton</v>
      </c>
      <c r="O384" s="142" t="str">
        <f aca="false">IFERROR(VLOOKUP($M384,$M$3:$Q$14,3,0),"")</f>
        <v>Carton</v>
      </c>
      <c r="P384" s="144" t="n">
        <f aca="false">IFERROR(VLOOKUP($M384,$M$3:$Q$14,4,0),"")</f>
        <v>1</v>
      </c>
      <c r="Q384" s="142" t="str">
        <f aca="false">IFERROR(VLOOKUP($M384,$M$3:$Q$14,5,0),"")</f>
        <v>large</v>
      </c>
      <c r="R384" s="142" t="n">
        <v>1</v>
      </c>
      <c r="S384" s="145" t="n">
        <f aca="false">7602*24</f>
        <v>182448</v>
      </c>
      <c r="T384" s="146" t="n">
        <f aca="false">S384/1.11</f>
        <v>164367.567567568</v>
      </c>
      <c r="U384" s="147" t="n">
        <f aca="false">V384+(V384*11%)</f>
        <v>169660.17</v>
      </c>
      <c r="V384" s="147" t="n">
        <v>152847</v>
      </c>
      <c r="W384" s="1" t="e">
        <f aca="false">VLOOKUP($G384,#REF!,2,0)</f>
        <v>#VALUE!</v>
      </c>
    </row>
    <row r="385" customFormat="false" ht="22.5" hidden="true" customHeight="true" outlineLevel="0" collapsed="false">
      <c r="A385" s="53"/>
      <c r="B385" s="53"/>
      <c r="C385" s="142" t="n">
        <v>136</v>
      </c>
      <c r="D385" s="142"/>
      <c r="E385" s="143" t="s">
        <v>298</v>
      </c>
      <c r="F385" s="143" t="s">
        <v>290</v>
      </c>
      <c r="G385" s="143" t="s">
        <v>290</v>
      </c>
      <c r="H385" s="142" t="s">
        <v>291</v>
      </c>
      <c r="I385" s="142" t="s">
        <v>291</v>
      </c>
      <c r="J385" s="144" t="n">
        <v>1</v>
      </c>
      <c r="K385" s="142" t="str">
        <f aca="false">IFERROR(VLOOKUP($J385,$J$10:$K$13,2,0),"")</f>
        <v>DISTRIBUTOR</v>
      </c>
      <c r="L385" s="142" t="s">
        <v>26</v>
      </c>
      <c r="M385" s="144" t="n">
        <v>11</v>
      </c>
      <c r="N385" s="142" t="str">
        <f aca="false">IFERROR(VLOOKUP($M385,$M$3:$Q$14,2,0),"")</f>
        <v>In Pcs</v>
      </c>
      <c r="O385" s="142" t="str">
        <f aca="false">IFERROR(VLOOKUP($M385,$M$3:$Q$14,3,0),"")</f>
        <v>Botol</v>
      </c>
      <c r="P385" s="144" t="n">
        <f aca="false">IFERROR(VLOOKUP($M385,$M$3:$Q$14,4,0),"")</f>
        <v>4</v>
      </c>
      <c r="Q385" s="142" t="str">
        <f aca="false">IFERROR(VLOOKUP($M385,$M$3:$Q$14,5,0),"")</f>
        <v>small</v>
      </c>
      <c r="R385" s="142" t="n">
        <v>24</v>
      </c>
      <c r="S385" s="145" t="n">
        <f aca="false">S384/24</f>
        <v>7602</v>
      </c>
      <c r="T385" s="146" t="n">
        <f aca="false">S385/1.11</f>
        <v>6848.64864864865</v>
      </c>
      <c r="U385" s="147" t="n">
        <f aca="false">V385+(V385*11%)</f>
        <v>7068.48</v>
      </c>
      <c r="V385" s="147" t="n">
        <v>6368</v>
      </c>
      <c r="W385" s="1" t="e">
        <f aca="false">VLOOKUP($G385,#REF!,2,0)</f>
        <v>#VALUE!</v>
      </c>
    </row>
    <row r="386" customFormat="false" ht="22.5" hidden="true" customHeight="true" outlineLevel="0" collapsed="false">
      <c r="A386" s="53"/>
      <c r="B386" s="53"/>
      <c r="C386" s="142" t="n">
        <v>137</v>
      </c>
      <c r="D386" s="142"/>
      <c r="E386" s="143" t="s">
        <v>299</v>
      </c>
      <c r="F386" s="143" t="s">
        <v>290</v>
      </c>
      <c r="G386" s="143" t="s">
        <v>290</v>
      </c>
      <c r="H386" s="142" t="s">
        <v>291</v>
      </c>
      <c r="I386" s="142" t="s">
        <v>291</v>
      </c>
      <c r="J386" s="144" t="n">
        <v>1</v>
      </c>
      <c r="K386" s="142" t="str">
        <f aca="false">IFERROR(VLOOKUP($J386,$J$10:$K$13,2,0),"")</f>
        <v>DISTRIBUTOR</v>
      </c>
      <c r="L386" s="142" t="s">
        <v>26</v>
      </c>
      <c r="M386" s="144" t="n">
        <v>1</v>
      </c>
      <c r="N386" s="142" t="str">
        <f aca="false">IFERROR(VLOOKUP($M386,$M$3:$Q$14,2,0),"")</f>
        <v>In Carton</v>
      </c>
      <c r="O386" s="142" t="str">
        <f aca="false">IFERROR(VLOOKUP($M386,$M$3:$Q$14,3,0),"")</f>
        <v>Carton</v>
      </c>
      <c r="P386" s="144" t="n">
        <f aca="false">IFERROR(VLOOKUP($M386,$M$3:$Q$14,4,0),"")</f>
        <v>1</v>
      </c>
      <c r="Q386" s="142" t="str">
        <f aca="false">IFERROR(VLOOKUP($M386,$M$3:$Q$14,5,0),"")</f>
        <v>large</v>
      </c>
      <c r="R386" s="142" t="n">
        <v>1</v>
      </c>
      <c r="S386" s="145" t="n">
        <f aca="false">7602*24</f>
        <v>182448</v>
      </c>
      <c r="T386" s="146" t="n">
        <f aca="false">S386/1.11</f>
        <v>164367.567567568</v>
      </c>
      <c r="U386" s="147" t="n">
        <f aca="false">V386+(V386*11%)</f>
        <v>169660.17</v>
      </c>
      <c r="V386" s="147" t="n">
        <v>152847</v>
      </c>
      <c r="W386" s="1" t="e">
        <f aca="false">VLOOKUP($G386,#REF!,2,0)</f>
        <v>#VALUE!</v>
      </c>
    </row>
    <row r="387" customFormat="false" ht="22.5" hidden="true" customHeight="true" outlineLevel="0" collapsed="false">
      <c r="A387" s="53"/>
      <c r="B387" s="53"/>
      <c r="C387" s="142" t="n">
        <v>137</v>
      </c>
      <c r="D387" s="142"/>
      <c r="E387" s="143" t="s">
        <v>299</v>
      </c>
      <c r="F387" s="143" t="s">
        <v>290</v>
      </c>
      <c r="G387" s="143" t="s">
        <v>290</v>
      </c>
      <c r="H387" s="142" t="s">
        <v>291</v>
      </c>
      <c r="I387" s="142" t="s">
        <v>291</v>
      </c>
      <c r="J387" s="144" t="n">
        <v>1</v>
      </c>
      <c r="K387" s="142" t="str">
        <f aca="false">IFERROR(VLOOKUP($J387,$J$10:$K$13,2,0),"")</f>
        <v>DISTRIBUTOR</v>
      </c>
      <c r="L387" s="142" t="s">
        <v>26</v>
      </c>
      <c r="M387" s="144" t="n">
        <v>11</v>
      </c>
      <c r="N387" s="142" t="str">
        <f aca="false">IFERROR(VLOOKUP($M387,$M$3:$Q$14,2,0),"")</f>
        <v>In Pcs</v>
      </c>
      <c r="O387" s="142" t="str">
        <f aca="false">IFERROR(VLOOKUP($M387,$M$3:$Q$14,3,0),"")</f>
        <v>Botol</v>
      </c>
      <c r="P387" s="144" t="n">
        <f aca="false">IFERROR(VLOOKUP($M387,$M$3:$Q$14,4,0),"")</f>
        <v>4</v>
      </c>
      <c r="Q387" s="142" t="str">
        <f aca="false">IFERROR(VLOOKUP($M387,$M$3:$Q$14,5,0),"")</f>
        <v>small</v>
      </c>
      <c r="R387" s="142" t="n">
        <v>24</v>
      </c>
      <c r="S387" s="145" t="n">
        <f aca="false">S386/24</f>
        <v>7602</v>
      </c>
      <c r="T387" s="146" t="n">
        <f aca="false">S387/1.11</f>
        <v>6848.64864864865</v>
      </c>
      <c r="U387" s="147" t="n">
        <f aca="false">V387+(V387*11%)</f>
        <v>7068.48</v>
      </c>
      <c r="V387" s="147" t="n">
        <v>6368</v>
      </c>
      <c r="W387" s="1" t="e">
        <f aca="false">VLOOKUP($G387,#REF!,2,0)</f>
        <v>#VALUE!</v>
      </c>
    </row>
    <row r="388" customFormat="false" ht="22.5" hidden="true" customHeight="true" outlineLevel="0" collapsed="false">
      <c r="A388" s="53"/>
      <c r="B388" s="53"/>
      <c r="C388" s="148" t="n">
        <v>138</v>
      </c>
      <c r="D388" s="148"/>
      <c r="E388" s="149" t="s">
        <v>300</v>
      </c>
      <c r="F388" s="149" t="s">
        <v>301</v>
      </c>
      <c r="G388" s="149" t="s">
        <v>301</v>
      </c>
      <c r="H388" s="148" t="s">
        <v>302</v>
      </c>
      <c r="I388" s="148" t="s">
        <v>302</v>
      </c>
      <c r="J388" s="150" t="n">
        <v>1</v>
      </c>
      <c r="K388" s="148" t="str">
        <f aca="false">IFERROR(VLOOKUP($J388,$J$10:$K$13,2,0),"")</f>
        <v>DISTRIBUTOR</v>
      </c>
      <c r="L388" s="148" t="s">
        <v>26</v>
      </c>
      <c r="M388" s="150" t="n">
        <v>1</v>
      </c>
      <c r="N388" s="148" t="str">
        <f aca="false">IFERROR(VLOOKUP($M388,$M$3:$Q$14,2,0),"")</f>
        <v>In Carton</v>
      </c>
      <c r="O388" s="148" t="str">
        <f aca="false">IFERROR(VLOOKUP($M388,$M$3:$Q$14,3,0),"")</f>
        <v>Carton</v>
      </c>
      <c r="P388" s="150" t="n">
        <f aca="false">IFERROR(VLOOKUP($M388,$M$3:$Q$14,4,0),"")</f>
        <v>1</v>
      </c>
      <c r="Q388" s="148" t="str">
        <f aca="false">IFERROR(VLOOKUP($M388,$M$3:$Q$14,5,0),"")</f>
        <v>large</v>
      </c>
      <c r="R388" s="148" t="n">
        <v>1</v>
      </c>
      <c r="S388" s="151" t="n">
        <f aca="false">19000*5</f>
        <v>95000</v>
      </c>
      <c r="T388" s="152" t="n">
        <f aca="false">S388/1.11</f>
        <v>85585.5855855856</v>
      </c>
      <c r="U388" s="153" t="n">
        <f aca="false">V388+(V388*11%)</f>
        <v>83789.46</v>
      </c>
      <c r="V388" s="153" t="n">
        <v>75486</v>
      </c>
      <c r="W388" s="1" t="e">
        <f aca="false">VLOOKUP($G388,#REF!,2,0)</f>
        <v>#VALUE!</v>
      </c>
    </row>
    <row r="389" customFormat="false" ht="22.5" hidden="true" customHeight="true" outlineLevel="0" collapsed="false">
      <c r="A389" s="53"/>
      <c r="B389" s="53"/>
      <c r="C389" s="148" t="n">
        <v>138</v>
      </c>
      <c r="D389" s="148"/>
      <c r="E389" s="149" t="s">
        <v>300</v>
      </c>
      <c r="F389" s="149" t="s">
        <v>301</v>
      </c>
      <c r="G389" s="149" t="s">
        <v>301</v>
      </c>
      <c r="H389" s="148" t="s">
        <v>302</v>
      </c>
      <c r="I389" s="148" t="s">
        <v>302</v>
      </c>
      <c r="J389" s="150" t="n">
        <v>1</v>
      </c>
      <c r="K389" s="148" t="str">
        <f aca="false">IFERROR(VLOOKUP($J389,$J$10:$K$13,2,0),"")</f>
        <v>DISTRIBUTOR</v>
      </c>
      <c r="L389" s="148" t="s">
        <v>26</v>
      </c>
      <c r="M389" s="150" t="n">
        <v>4</v>
      </c>
      <c r="N389" s="148" t="str">
        <f aca="false">IFERROR(VLOOKUP($M389,$M$3:$Q$14,2,0),"")</f>
        <v>In Pack</v>
      </c>
      <c r="O389" s="148" t="str">
        <f aca="false">IFERROR(VLOOKUP($M389,$M$3:$Q$14,3,0),"")</f>
        <v>Box</v>
      </c>
      <c r="P389" s="150" t="n">
        <f aca="false">IFERROR(VLOOKUP($M389,$M$3:$Q$14,4,0),"")</f>
        <v>2</v>
      </c>
      <c r="Q389" s="148" t="n">
        <f aca="false">IFERROR(VLOOKUP($M389,$M$3:$Q$14,5,0),"")</f>
        <v>0</v>
      </c>
      <c r="R389" s="148" t="n">
        <v>5</v>
      </c>
      <c r="S389" s="151" t="n">
        <f aca="false">S388/5</f>
        <v>19000</v>
      </c>
      <c r="T389" s="152" t="n">
        <f aca="false">S389/1.11</f>
        <v>17117.1171171171</v>
      </c>
      <c r="U389" s="153" t="n">
        <f aca="false">V389+(V389*11%)</f>
        <v>16757.67</v>
      </c>
      <c r="V389" s="153" t="n">
        <v>15097</v>
      </c>
      <c r="W389" s="1" t="e">
        <f aca="false">VLOOKUP($G389,#REF!,2,0)</f>
        <v>#VALUE!</v>
      </c>
    </row>
    <row r="390" customFormat="false" ht="22.5" hidden="true" customHeight="true" outlineLevel="0" collapsed="false">
      <c r="A390" s="53"/>
      <c r="B390" s="53"/>
      <c r="C390" s="148" t="n">
        <v>138</v>
      </c>
      <c r="D390" s="148"/>
      <c r="E390" s="149" t="s">
        <v>300</v>
      </c>
      <c r="F390" s="149" t="s">
        <v>301</v>
      </c>
      <c r="G390" s="149" t="s">
        <v>301</v>
      </c>
      <c r="H390" s="148" t="s">
        <v>302</v>
      </c>
      <c r="I390" s="148" t="s">
        <v>302</v>
      </c>
      <c r="J390" s="150" t="n">
        <v>1</v>
      </c>
      <c r="K390" s="148" t="str">
        <f aca="false">IFERROR(VLOOKUP($J390,$J$10:$K$13,2,0),"")</f>
        <v>DISTRIBUTOR</v>
      </c>
      <c r="L390" s="148" t="s">
        <v>26</v>
      </c>
      <c r="M390" s="150" t="n">
        <v>9</v>
      </c>
      <c r="N390" s="148" t="str">
        <f aca="false">IFERROR(VLOOKUP($M390,$M$3:$Q$14,2,0),"")</f>
        <v>In Pcs</v>
      </c>
      <c r="O390" s="148" t="str">
        <f aca="false">IFERROR(VLOOKUP($M390,$M$3:$Q$14,3,0),"")</f>
        <v>Pcs</v>
      </c>
      <c r="P390" s="150" t="n">
        <f aca="false">IFERROR(VLOOKUP($M390,$M$3:$Q$14,4,0),"")</f>
        <v>4</v>
      </c>
      <c r="Q390" s="148" t="str">
        <f aca="false">IFERROR(VLOOKUP($M390,$M$3:$Q$14,5,0),"")</f>
        <v>small</v>
      </c>
      <c r="R390" s="148" t="n">
        <v>60</v>
      </c>
      <c r="S390" s="151" t="n">
        <f aca="false">S389/12</f>
        <v>1583.33333333333</v>
      </c>
      <c r="T390" s="152" t="n">
        <f aca="false">S390/1.11</f>
        <v>1426.42642642643</v>
      </c>
      <c r="U390" s="153" t="n">
        <f aca="false">V390+(V390*11%)</f>
        <v>1396.38</v>
      </c>
      <c r="V390" s="153" t="n">
        <v>1258</v>
      </c>
      <c r="W390" s="1" t="e">
        <f aca="false">VLOOKUP($G390,#REF!,2,0)</f>
        <v>#VALUE!</v>
      </c>
    </row>
    <row r="391" customFormat="false" ht="22.5" hidden="true" customHeight="true" outlineLevel="0" collapsed="false">
      <c r="A391" s="53"/>
      <c r="B391" s="53"/>
      <c r="C391" s="148" t="n">
        <v>139</v>
      </c>
      <c r="D391" s="148"/>
      <c r="E391" s="149" t="s">
        <v>303</v>
      </c>
      <c r="F391" s="149" t="s">
        <v>301</v>
      </c>
      <c r="G391" s="149" t="s">
        <v>301</v>
      </c>
      <c r="H391" s="148" t="s">
        <v>302</v>
      </c>
      <c r="I391" s="148" t="s">
        <v>302</v>
      </c>
      <c r="J391" s="150" t="n">
        <v>1</v>
      </c>
      <c r="K391" s="148" t="str">
        <f aca="false">IFERROR(VLOOKUP($J391,$J$10:$K$13,2,0),"")</f>
        <v>DISTRIBUTOR</v>
      </c>
      <c r="L391" s="148" t="s">
        <v>26</v>
      </c>
      <c r="M391" s="150" t="n">
        <v>1</v>
      </c>
      <c r="N391" s="148" t="str">
        <f aca="false">IFERROR(VLOOKUP($M391,$M$3:$Q$14,2,0),"")</f>
        <v>In Carton</v>
      </c>
      <c r="O391" s="148" t="str">
        <f aca="false">IFERROR(VLOOKUP($M391,$M$3:$Q$14,3,0),"")</f>
        <v>Carton</v>
      </c>
      <c r="P391" s="150" t="n">
        <f aca="false">IFERROR(VLOOKUP($M391,$M$3:$Q$14,4,0),"")</f>
        <v>1</v>
      </c>
      <c r="Q391" s="148" t="str">
        <f aca="false">IFERROR(VLOOKUP($M391,$M$3:$Q$14,5,0),"")</f>
        <v>large</v>
      </c>
      <c r="R391" s="148" t="n">
        <v>1</v>
      </c>
      <c r="S391" s="151" t="n">
        <f aca="false">19000*5</f>
        <v>95000</v>
      </c>
      <c r="T391" s="152" t="n">
        <f aca="false">S391/1.11</f>
        <v>85585.5855855856</v>
      </c>
      <c r="U391" s="153" t="n">
        <f aca="false">V391+(V391*11%)</f>
        <v>83789.46</v>
      </c>
      <c r="V391" s="153" t="n">
        <v>75486</v>
      </c>
      <c r="W391" s="1" t="e">
        <f aca="false">VLOOKUP($G391,#REF!,2,0)</f>
        <v>#VALUE!</v>
      </c>
    </row>
    <row r="392" customFormat="false" ht="22.5" hidden="true" customHeight="true" outlineLevel="0" collapsed="false">
      <c r="A392" s="53"/>
      <c r="B392" s="53"/>
      <c r="C392" s="148" t="n">
        <v>139</v>
      </c>
      <c r="D392" s="148"/>
      <c r="E392" s="149" t="s">
        <v>303</v>
      </c>
      <c r="F392" s="149" t="s">
        <v>301</v>
      </c>
      <c r="G392" s="149" t="s">
        <v>301</v>
      </c>
      <c r="H392" s="148" t="s">
        <v>302</v>
      </c>
      <c r="I392" s="148" t="s">
        <v>302</v>
      </c>
      <c r="J392" s="150" t="n">
        <v>1</v>
      </c>
      <c r="K392" s="148" t="str">
        <f aca="false">IFERROR(VLOOKUP($J392,$J$10:$K$13,2,0),"")</f>
        <v>DISTRIBUTOR</v>
      </c>
      <c r="L392" s="148" t="s">
        <v>26</v>
      </c>
      <c r="M392" s="150" t="n">
        <v>4</v>
      </c>
      <c r="N392" s="148" t="str">
        <f aca="false">IFERROR(VLOOKUP($M392,$M$3:$Q$14,2,0),"")</f>
        <v>In Pack</v>
      </c>
      <c r="O392" s="148" t="str">
        <f aca="false">IFERROR(VLOOKUP($M392,$M$3:$Q$14,3,0),"")</f>
        <v>Box</v>
      </c>
      <c r="P392" s="150" t="n">
        <f aca="false">IFERROR(VLOOKUP($M392,$M$3:$Q$14,4,0),"")</f>
        <v>2</v>
      </c>
      <c r="Q392" s="148" t="n">
        <f aca="false">IFERROR(VLOOKUP($M392,$M$3:$Q$14,5,0),"")</f>
        <v>0</v>
      </c>
      <c r="R392" s="148" t="n">
        <v>5</v>
      </c>
      <c r="S392" s="151" t="n">
        <f aca="false">S391/5</f>
        <v>19000</v>
      </c>
      <c r="T392" s="152" t="n">
        <f aca="false">S392/1.11</f>
        <v>17117.1171171171</v>
      </c>
      <c r="U392" s="153" t="n">
        <f aca="false">V392+(V392*11%)</f>
        <v>16757.67</v>
      </c>
      <c r="V392" s="153" t="n">
        <v>15097</v>
      </c>
      <c r="W392" s="1" t="e">
        <f aca="false">VLOOKUP($G392,#REF!,2,0)</f>
        <v>#VALUE!</v>
      </c>
    </row>
    <row r="393" customFormat="false" ht="22.5" hidden="true" customHeight="true" outlineLevel="0" collapsed="false">
      <c r="A393" s="53"/>
      <c r="B393" s="53"/>
      <c r="C393" s="148" t="n">
        <v>139</v>
      </c>
      <c r="D393" s="148"/>
      <c r="E393" s="149" t="s">
        <v>303</v>
      </c>
      <c r="F393" s="149" t="s">
        <v>301</v>
      </c>
      <c r="G393" s="149" t="s">
        <v>301</v>
      </c>
      <c r="H393" s="148" t="s">
        <v>302</v>
      </c>
      <c r="I393" s="148" t="s">
        <v>302</v>
      </c>
      <c r="J393" s="150" t="n">
        <v>1</v>
      </c>
      <c r="K393" s="148" t="str">
        <f aca="false">IFERROR(VLOOKUP($J393,$J$10:$K$13,2,0),"")</f>
        <v>DISTRIBUTOR</v>
      </c>
      <c r="L393" s="148" t="s">
        <v>26</v>
      </c>
      <c r="M393" s="150" t="n">
        <v>9</v>
      </c>
      <c r="N393" s="148" t="str">
        <f aca="false">IFERROR(VLOOKUP($M393,$M$3:$Q$14,2,0),"")</f>
        <v>In Pcs</v>
      </c>
      <c r="O393" s="148" t="str">
        <f aca="false">IFERROR(VLOOKUP($M393,$M$3:$Q$14,3,0),"")</f>
        <v>Pcs</v>
      </c>
      <c r="P393" s="150" t="n">
        <f aca="false">IFERROR(VLOOKUP($M393,$M$3:$Q$14,4,0),"")</f>
        <v>4</v>
      </c>
      <c r="Q393" s="148" t="str">
        <f aca="false">IFERROR(VLOOKUP($M393,$M$3:$Q$14,5,0),"")</f>
        <v>small</v>
      </c>
      <c r="R393" s="148" t="n">
        <v>60</v>
      </c>
      <c r="S393" s="151" t="n">
        <f aca="false">S392/12</f>
        <v>1583.33333333333</v>
      </c>
      <c r="T393" s="152" t="n">
        <f aca="false">S393/1.11</f>
        <v>1426.42642642643</v>
      </c>
      <c r="U393" s="153" t="n">
        <f aca="false">V393+(V393*11%)</f>
        <v>1396.38</v>
      </c>
      <c r="V393" s="153" t="n">
        <v>1258</v>
      </c>
      <c r="W393" s="1" t="e">
        <f aca="false">VLOOKUP($G393,#REF!,2,0)</f>
        <v>#VALUE!</v>
      </c>
    </row>
    <row r="394" customFormat="false" ht="22.5" hidden="true" customHeight="true" outlineLevel="0" collapsed="false">
      <c r="A394" s="53"/>
      <c r="B394" s="53"/>
      <c r="C394" s="148" t="n">
        <v>140</v>
      </c>
      <c r="D394" s="148"/>
      <c r="E394" s="149" t="s">
        <v>304</v>
      </c>
      <c r="F394" s="149" t="s">
        <v>301</v>
      </c>
      <c r="G394" s="149" t="s">
        <v>301</v>
      </c>
      <c r="H394" s="148" t="s">
        <v>302</v>
      </c>
      <c r="I394" s="148" t="s">
        <v>302</v>
      </c>
      <c r="J394" s="150" t="n">
        <v>1</v>
      </c>
      <c r="K394" s="148" t="str">
        <f aca="false">IFERROR(VLOOKUP($J394,$J$10:$K$13,2,0),"")</f>
        <v>DISTRIBUTOR</v>
      </c>
      <c r="L394" s="148" t="s">
        <v>26</v>
      </c>
      <c r="M394" s="150" t="n">
        <v>1</v>
      </c>
      <c r="N394" s="148" t="str">
        <f aca="false">IFERROR(VLOOKUP($M394,$M$3:$Q$14,2,0),"")</f>
        <v>In Carton</v>
      </c>
      <c r="O394" s="148" t="str">
        <f aca="false">IFERROR(VLOOKUP($M394,$M$3:$Q$14,3,0),"")</f>
        <v>Carton</v>
      </c>
      <c r="P394" s="150" t="n">
        <f aca="false">IFERROR(VLOOKUP($M394,$M$3:$Q$14,4,0),"")</f>
        <v>1</v>
      </c>
      <c r="Q394" s="148" t="str">
        <f aca="false">IFERROR(VLOOKUP($M394,$M$3:$Q$14,5,0),"")</f>
        <v>large</v>
      </c>
      <c r="R394" s="148" t="n">
        <v>1</v>
      </c>
      <c r="S394" s="151" t="n">
        <f aca="false">19000*5</f>
        <v>95000</v>
      </c>
      <c r="T394" s="152" t="n">
        <f aca="false">S394/1.11</f>
        <v>85585.5855855856</v>
      </c>
      <c r="U394" s="153" t="n">
        <f aca="false">V394+(V394*11%)</f>
        <v>83789.46</v>
      </c>
      <c r="V394" s="153" t="n">
        <v>75486</v>
      </c>
      <c r="W394" s="1" t="e">
        <f aca="false">VLOOKUP($G394,#REF!,2,0)</f>
        <v>#VALUE!</v>
      </c>
    </row>
    <row r="395" customFormat="false" ht="22.5" hidden="true" customHeight="true" outlineLevel="0" collapsed="false">
      <c r="A395" s="53"/>
      <c r="B395" s="53"/>
      <c r="C395" s="148" t="n">
        <v>140</v>
      </c>
      <c r="D395" s="148"/>
      <c r="E395" s="149" t="s">
        <v>304</v>
      </c>
      <c r="F395" s="149" t="s">
        <v>301</v>
      </c>
      <c r="G395" s="149" t="s">
        <v>301</v>
      </c>
      <c r="H395" s="148" t="s">
        <v>302</v>
      </c>
      <c r="I395" s="148" t="s">
        <v>302</v>
      </c>
      <c r="J395" s="150" t="n">
        <v>1</v>
      </c>
      <c r="K395" s="148" t="str">
        <f aca="false">IFERROR(VLOOKUP($J395,$J$10:$K$13,2,0),"")</f>
        <v>DISTRIBUTOR</v>
      </c>
      <c r="L395" s="148" t="s">
        <v>26</v>
      </c>
      <c r="M395" s="150" t="n">
        <v>4</v>
      </c>
      <c r="N395" s="148" t="str">
        <f aca="false">IFERROR(VLOOKUP($M395,$M$3:$Q$14,2,0),"")</f>
        <v>In Pack</v>
      </c>
      <c r="O395" s="148" t="str">
        <f aca="false">IFERROR(VLOOKUP($M395,$M$3:$Q$14,3,0),"")</f>
        <v>Box</v>
      </c>
      <c r="P395" s="150" t="n">
        <f aca="false">IFERROR(VLOOKUP($M395,$M$3:$Q$14,4,0),"")</f>
        <v>2</v>
      </c>
      <c r="Q395" s="148" t="n">
        <f aca="false">IFERROR(VLOOKUP($M395,$M$3:$Q$14,5,0),"")</f>
        <v>0</v>
      </c>
      <c r="R395" s="148" t="n">
        <v>5</v>
      </c>
      <c r="S395" s="151" t="n">
        <f aca="false">S394/5</f>
        <v>19000</v>
      </c>
      <c r="T395" s="152" t="n">
        <f aca="false">S395/1.11</f>
        <v>17117.1171171171</v>
      </c>
      <c r="U395" s="153" t="n">
        <f aca="false">V395+(V395*11%)</f>
        <v>16757.67</v>
      </c>
      <c r="V395" s="153" t="n">
        <v>15097</v>
      </c>
      <c r="W395" s="1" t="e">
        <f aca="false">VLOOKUP($G395,#REF!,2,0)</f>
        <v>#VALUE!</v>
      </c>
    </row>
    <row r="396" customFormat="false" ht="22.5" hidden="true" customHeight="true" outlineLevel="0" collapsed="false">
      <c r="A396" s="53"/>
      <c r="B396" s="53"/>
      <c r="C396" s="148" t="n">
        <v>140</v>
      </c>
      <c r="D396" s="148"/>
      <c r="E396" s="149" t="s">
        <v>304</v>
      </c>
      <c r="F396" s="149" t="s">
        <v>301</v>
      </c>
      <c r="G396" s="149" t="s">
        <v>301</v>
      </c>
      <c r="H396" s="148" t="s">
        <v>302</v>
      </c>
      <c r="I396" s="148" t="s">
        <v>302</v>
      </c>
      <c r="J396" s="150" t="n">
        <v>1</v>
      </c>
      <c r="K396" s="148" t="str">
        <f aca="false">IFERROR(VLOOKUP($J396,$J$10:$K$13,2,0),"")</f>
        <v>DISTRIBUTOR</v>
      </c>
      <c r="L396" s="148" t="s">
        <v>26</v>
      </c>
      <c r="M396" s="150" t="n">
        <v>9</v>
      </c>
      <c r="N396" s="148" t="str">
        <f aca="false">IFERROR(VLOOKUP($M396,$M$3:$Q$14,2,0),"")</f>
        <v>In Pcs</v>
      </c>
      <c r="O396" s="148" t="str">
        <f aca="false">IFERROR(VLOOKUP($M396,$M$3:$Q$14,3,0),"")</f>
        <v>Pcs</v>
      </c>
      <c r="P396" s="150" t="n">
        <f aca="false">IFERROR(VLOOKUP($M396,$M$3:$Q$14,4,0),"")</f>
        <v>4</v>
      </c>
      <c r="Q396" s="148" t="str">
        <f aca="false">IFERROR(VLOOKUP($M396,$M$3:$Q$14,5,0),"")</f>
        <v>small</v>
      </c>
      <c r="R396" s="148" t="n">
        <v>60</v>
      </c>
      <c r="S396" s="151" t="n">
        <f aca="false">S395/12</f>
        <v>1583.33333333333</v>
      </c>
      <c r="T396" s="152" t="n">
        <f aca="false">S396/1.11</f>
        <v>1426.42642642643</v>
      </c>
      <c r="U396" s="153" t="n">
        <f aca="false">V396+(V396*11%)</f>
        <v>1396.38</v>
      </c>
      <c r="V396" s="153" t="n">
        <v>1258</v>
      </c>
      <c r="W396" s="1" t="e">
        <f aca="false">VLOOKUP($G396,#REF!,2,0)</f>
        <v>#VALUE!</v>
      </c>
    </row>
    <row r="397" customFormat="false" ht="22.5" hidden="true" customHeight="true" outlineLevel="0" collapsed="false">
      <c r="A397" s="53"/>
      <c r="B397" s="53"/>
      <c r="C397" s="148" t="n">
        <v>141</v>
      </c>
      <c r="D397" s="148"/>
      <c r="E397" s="149" t="s">
        <v>305</v>
      </c>
      <c r="F397" s="149" t="s">
        <v>301</v>
      </c>
      <c r="G397" s="149" t="s">
        <v>301</v>
      </c>
      <c r="H397" s="148" t="s">
        <v>302</v>
      </c>
      <c r="I397" s="148" t="s">
        <v>302</v>
      </c>
      <c r="J397" s="150" t="n">
        <v>1</v>
      </c>
      <c r="K397" s="148" t="str">
        <f aca="false">IFERROR(VLOOKUP($J397,$J$10:$K$13,2,0),"")</f>
        <v>DISTRIBUTOR</v>
      </c>
      <c r="L397" s="148" t="s">
        <v>26</v>
      </c>
      <c r="M397" s="150" t="n">
        <v>1</v>
      </c>
      <c r="N397" s="148" t="str">
        <f aca="false">IFERROR(VLOOKUP($M397,$M$3:$Q$14,2,0),"")</f>
        <v>In Carton</v>
      </c>
      <c r="O397" s="148" t="str">
        <f aca="false">IFERROR(VLOOKUP($M397,$M$3:$Q$14,3,0),"")</f>
        <v>Carton</v>
      </c>
      <c r="P397" s="150" t="n">
        <f aca="false">IFERROR(VLOOKUP($M397,$M$3:$Q$14,4,0),"")</f>
        <v>1</v>
      </c>
      <c r="Q397" s="148" t="str">
        <f aca="false">IFERROR(VLOOKUP($M397,$M$3:$Q$14,5,0),"")</f>
        <v>large</v>
      </c>
      <c r="R397" s="148" t="n">
        <v>1</v>
      </c>
      <c r="S397" s="151" t="n">
        <f aca="false">19000*5</f>
        <v>95000</v>
      </c>
      <c r="T397" s="152" t="n">
        <f aca="false">S397/1.11</f>
        <v>85585.5855855856</v>
      </c>
      <c r="U397" s="153" t="n">
        <f aca="false">V397+(V397*11%)</f>
        <v>83789.46</v>
      </c>
      <c r="V397" s="153" t="n">
        <v>75486</v>
      </c>
      <c r="W397" s="1" t="e">
        <f aca="false">VLOOKUP($G397,#REF!,2,0)</f>
        <v>#VALUE!</v>
      </c>
    </row>
    <row r="398" customFormat="false" ht="22.5" hidden="true" customHeight="true" outlineLevel="0" collapsed="false">
      <c r="A398" s="53"/>
      <c r="B398" s="53"/>
      <c r="C398" s="148" t="n">
        <v>141</v>
      </c>
      <c r="D398" s="148"/>
      <c r="E398" s="149" t="s">
        <v>305</v>
      </c>
      <c r="F398" s="149" t="s">
        <v>301</v>
      </c>
      <c r="G398" s="149" t="s">
        <v>301</v>
      </c>
      <c r="H398" s="148" t="s">
        <v>302</v>
      </c>
      <c r="I398" s="148" t="s">
        <v>302</v>
      </c>
      <c r="J398" s="150" t="n">
        <v>1</v>
      </c>
      <c r="K398" s="148" t="str">
        <f aca="false">IFERROR(VLOOKUP($J398,$J$10:$K$13,2,0),"")</f>
        <v>DISTRIBUTOR</v>
      </c>
      <c r="L398" s="148" t="s">
        <v>26</v>
      </c>
      <c r="M398" s="150" t="n">
        <v>4</v>
      </c>
      <c r="N398" s="148" t="str">
        <f aca="false">IFERROR(VLOOKUP($M398,$M$3:$Q$14,2,0),"")</f>
        <v>In Pack</v>
      </c>
      <c r="O398" s="148" t="str">
        <f aca="false">IFERROR(VLOOKUP($M398,$M$3:$Q$14,3,0),"")</f>
        <v>Box</v>
      </c>
      <c r="P398" s="150" t="n">
        <f aca="false">IFERROR(VLOOKUP($M398,$M$3:$Q$14,4,0),"")</f>
        <v>2</v>
      </c>
      <c r="Q398" s="148" t="n">
        <f aca="false">IFERROR(VLOOKUP($M398,$M$3:$Q$14,5,0),"")</f>
        <v>0</v>
      </c>
      <c r="R398" s="148" t="n">
        <v>5</v>
      </c>
      <c r="S398" s="151" t="n">
        <f aca="false">S397/5</f>
        <v>19000</v>
      </c>
      <c r="T398" s="152" t="n">
        <f aca="false">S398/1.11</f>
        <v>17117.1171171171</v>
      </c>
      <c r="U398" s="153" t="n">
        <f aca="false">V398+(V398*11%)</f>
        <v>16757.67</v>
      </c>
      <c r="V398" s="153" t="n">
        <v>15097</v>
      </c>
      <c r="W398" s="1" t="e">
        <f aca="false">VLOOKUP($G398,#REF!,2,0)</f>
        <v>#VALUE!</v>
      </c>
    </row>
    <row r="399" customFormat="false" ht="22.5" hidden="true" customHeight="true" outlineLevel="0" collapsed="false">
      <c r="A399" s="53"/>
      <c r="B399" s="53"/>
      <c r="C399" s="148" t="n">
        <v>141</v>
      </c>
      <c r="D399" s="148"/>
      <c r="E399" s="149" t="s">
        <v>305</v>
      </c>
      <c r="F399" s="149" t="s">
        <v>301</v>
      </c>
      <c r="G399" s="149" t="s">
        <v>301</v>
      </c>
      <c r="H399" s="148" t="s">
        <v>302</v>
      </c>
      <c r="I399" s="148" t="s">
        <v>302</v>
      </c>
      <c r="J399" s="150" t="n">
        <v>1</v>
      </c>
      <c r="K399" s="148" t="str">
        <f aca="false">IFERROR(VLOOKUP($J399,$J$10:$K$13,2,0),"")</f>
        <v>DISTRIBUTOR</v>
      </c>
      <c r="L399" s="148" t="s">
        <v>26</v>
      </c>
      <c r="M399" s="150" t="n">
        <v>9</v>
      </c>
      <c r="N399" s="148" t="str">
        <f aca="false">IFERROR(VLOOKUP($M399,$M$3:$Q$14,2,0),"")</f>
        <v>In Pcs</v>
      </c>
      <c r="O399" s="148" t="str">
        <f aca="false">IFERROR(VLOOKUP($M399,$M$3:$Q$14,3,0),"")</f>
        <v>Pcs</v>
      </c>
      <c r="P399" s="150" t="n">
        <f aca="false">IFERROR(VLOOKUP($M399,$M$3:$Q$14,4,0),"")</f>
        <v>4</v>
      </c>
      <c r="Q399" s="148" t="str">
        <f aca="false">IFERROR(VLOOKUP($M399,$M$3:$Q$14,5,0),"")</f>
        <v>small</v>
      </c>
      <c r="R399" s="148" t="n">
        <v>60</v>
      </c>
      <c r="S399" s="151" t="n">
        <f aca="false">S398/12</f>
        <v>1583.33333333333</v>
      </c>
      <c r="T399" s="152" t="n">
        <f aca="false">S399/1.11</f>
        <v>1426.42642642643</v>
      </c>
      <c r="U399" s="153" t="n">
        <f aca="false">V399+(V399*11%)</f>
        <v>1396.38</v>
      </c>
      <c r="V399" s="153" t="n">
        <v>1258</v>
      </c>
      <c r="W399" s="1" t="e">
        <f aca="false">VLOOKUP($G399,#REF!,2,0)</f>
        <v>#VALUE!</v>
      </c>
    </row>
    <row r="400" customFormat="false" ht="22.5" hidden="true" customHeight="true" outlineLevel="0" collapsed="false">
      <c r="A400" s="53"/>
      <c r="B400" s="53"/>
      <c r="C400" s="148" t="n">
        <v>142</v>
      </c>
      <c r="D400" s="148"/>
      <c r="E400" s="149" t="s">
        <v>306</v>
      </c>
      <c r="F400" s="149" t="s">
        <v>307</v>
      </c>
      <c r="G400" s="149" t="s">
        <v>307</v>
      </c>
      <c r="H400" s="148" t="s">
        <v>302</v>
      </c>
      <c r="I400" s="148" t="s">
        <v>302</v>
      </c>
      <c r="J400" s="150" t="n">
        <v>1</v>
      </c>
      <c r="K400" s="148" t="str">
        <f aca="false">IFERROR(VLOOKUP($J400,$J$10:$K$13,2,0),"")</f>
        <v>DISTRIBUTOR</v>
      </c>
      <c r="L400" s="148" t="s">
        <v>26</v>
      </c>
      <c r="M400" s="150" t="n">
        <v>1</v>
      </c>
      <c r="N400" s="148" t="str">
        <f aca="false">IFERROR(VLOOKUP($M400,$M$3:$Q$14,2,0),"")</f>
        <v>In Carton</v>
      </c>
      <c r="O400" s="148" t="str">
        <f aca="false">IFERROR(VLOOKUP($M400,$M$3:$Q$14,3,0),"")</f>
        <v>Carton</v>
      </c>
      <c r="P400" s="150" t="n">
        <f aca="false">IFERROR(VLOOKUP($M400,$M$3:$Q$14,4,0),"")</f>
        <v>1</v>
      </c>
      <c r="Q400" s="148" t="str">
        <f aca="false">IFERROR(VLOOKUP($M400,$M$3:$Q$14,5,0),"")</f>
        <v>large</v>
      </c>
      <c r="R400" s="148" t="n">
        <v>1</v>
      </c>
      <c r="S400" s="151" t="n">
        <f aca="false">20400*5</f>
        <v>102000</v>
      </c>
      <c r="T400" s="152" t="n">
        <f aca="false">S400/1.11</f>
        <v>91891.8918918919</v>
      </c>
      <c r="U400" s="153" t="n">
        <f aca="false">V400+(V400*11%)</f>
        <v>89999.91</v>
      </c>
      <c r="V400" s="153" t="n">
        <v>81081</v>
      </c>
      <c r="W400" s="1" t="e">
        <f aca="false">VLOOKUP($G400,#REF!,2,0)</f>
        <v>#VALUE!</v>
      </c>
    </row>
    <row r="401" customFormat="false" ht="22.5" hidden="true" customHeight="true" outlineLevel="0" collapsed="false">
      <c r="A401" s="53"/>
      <c r="B401" s="53"/>
      <c r="C401" s="148" t="n">
        <v>142</v>
      </c>
      <c r="D401" s="148"/>
      <c r="E401" s="149" t="s">
        <v>306</v>
      </c>
      <c r="F401" s="149" t="s">
        <v>307</v>
      </c>
      <c r="G401" s="149" t="s">
        <v>307</v>
      </c>
      <c r="H401" s="148" t="s">
        <v>302</v>
      </c>
      <c r="I401" s="148" t="s">
        <v>302</v>
      </c>
      <c r="J401" s="150" t="n">
        <v>1</v>
      </c>
      <c r="K401" s="148" t="str">
        <f aca="false">IFERROR(VLOOKUP($J401,$J$10:$K$13,2,0),"")</f>
        <v>DISTRIBUTOR</v>
      </c>
      <c r="L401" s="148" t="s">
        <v>26</v>
      </c>
      <c r="M401" s="150" t="n">
        <v>4</v>
      </c>
      <c r="N401" s="148" t="str">
        <f aca="false">IFERROR(VLOOKUP($M401,$M$3:$Q$14,2,0),"")</f>
        <v>In Pack</v>
      </c>
      <c r="O401" s="148" t="str">
        <f aca="false">IFERROR(VLOOKUP($M401,$M$3:$Q$14,3,0),"")</f>
        <v>Box</v>
      </c>
      <c r="P401" s="150" t="n">
        <f aca="false">IFERROR(VLOOKUP($M401,$M$3:$Q$14,4,0),"")</f>
        <v>2</v>
      </c>
      <c r="Q401" s="148" t="n">
        <f aca="false">IFERROR(VLOOKUP($M401,$M$3:$Q$14,5,0),"")</f>
        <v>0</v>
      </c>
      <c r="R401" s="148" t="n">
        <v>5</v>
      </c>
      <c r="S401" s="151" t="n">
        <f aca="false">S400/5</f>
        <v>20400</v>
      </c>
      <c r="T401" s="152" t="n">
        <f aca="false">S401/1.11</f>
        <v>18378.3783783784</v>
      </c>
      <c r="U401" s="153" t="n">
        <f aca="false">V401+(V401*11%)</f>
        <v>17999.76</v>
      </c>
      <c r="V401" s="153" t="n">
        <v>16216</v>
      </c>
      <c r="W401" s="1" t="e">
        <f aca="false">VLOOKUP($G401,#REF!,2,0)</f>
        <v>#VALUE!</v>
      </c>
    </row>
    <row r="402" customFormat="false" ht="22.5" hidden="true" customHeight="true" outlineLevel="0" collapsed="false">
      <c r="A402" s="53"/>
      <c r="B402" s="53"/>
      <c r="C402" s="148" t="n">
        <v>142</v>
      </c>
      <c r="D402" s="148"/>
      <c r="E402" s="149" t="s">
        <v>306</v>
      </c>
      <c r="F402" s="149" t="s">
        <v>307</v>
      </c>
      <c r="G402" s="149" t="s">
        <v>307</v>
      </c>
      <c r="H402" s="148" t="s">
        <v>302</v>
      </c>
      <c r="I402" s="148" t="s">
        <v>302</v>
      </c>
      <c r="J402" s="150" t="n">
        <v>1</v>
      </c>
      <c r="K402" s="148" t="str">
        <f aca="false">IFERROR(VLOOKUP($J402,$J$10:$K$13,2,0),"")</f>
        <v>DISTRIBUTOR</v>
      </c>
      <c r="L402" s="148" t="s">
        <v>26</v>
      </c>
      <c r="M402" s="150" t="n">
        <v>9</v>
      </c>
      <c r="N402" s="148" t="str">
        <f aca="false">IFERROR(VLOOKUP($M402,$M$3:$Q$14,2,0),"")</f>
        <v>In Pcs</v>
      </c>
      <c r="O402" s="148" t="str">
        <f aca="false">IFERROR(VLOOKUP($M402,$M$3:$Q$14,3,0),"")</f>
        <v>Pcs</v>
      </c>
      <c r="P402" s="150" t="n">
        <f aca="false">IFERROR(VLOOKUP($M402,$M$3:$Q$14,4,0),"")</f>
        <v>4</v>
      </c>
      <c r="Q402" s="148" t="str">
        <f aca="false">IFERROR(VLOOKUP($M402,$M$3:$Q$14,5,0),"")</f>
        <v>small</v>
      </c>
      <c r="R402" s="148" t="n">
        <v>60</v>
      </c>
      <c r="S402" s="151" t="n">
        <f aca="false">S401/12</f>
        <v>1700</v>
      </c>
      <c r="T402" s="152" t="n">
        <f aca="false">S402/1.11</f>
        <v>1531.53153153153</v>
      </c>
      <c r="U402" s="153" t="n">
        <f aca="false">V402+(V402*11%)</f>
        <v>1499.61</v>
      </c>
      <c r="V402" s="153" t="n">
        <v>1351</v>
      </c>
      <c r="W402" s="1" t="e">
        <f aca="false">VLOOKUP($G402,#REF!,2,0)</f>
        <v>#VALUE!</v>
      </c>
    </row>
    <row r="403" customFormat="false" ht="22.5" hidden="true" customHeight="true" outlineLevel="0" collapsed="false">
      <c r="A403" s="53"/>
      <c r="B403" s="53"/>
      <c r="C403" s="148" t="n">
        <v>143</v>
      </c>
      <c r="D403" s="148"/>
      <c r="E403" s="149" t="s">
        <v>308</v>
      </c>
      <c r="F403" s="149" t="s">
        <v>307</v>
      </c>
      <c r="G403" s="149" t="s">
        <v>307</v>
      </c>
      <c r="H403" s="148" t="s">
        <v>302</v>
      </c>
      <c r="I403" s="148" t="s">
        <v>302</v>
      </c>
      <c r="J403" s="150" t="n">
        <v>1</v>
      </c>
      <c r="K403" s="148" t="str">
        <f aca="false">IFERROR(VLOOKUP($J403,$J$10:$K$13,2,0),"")</f>
        <v>DISTRIBUTOR</v>
      </c>
      <c r="L403" s="148" t="s">
        <v>26</v>
      </c>
      <c r="M403" s="150" t="n">
        <v>1</v>
      </c>
      <c r="N403" s="148" t="str">
        <f aca="false">IFERROR(VLOOKUP($M403,$M$3:$Q$14,2,0),"")</f>
        <v>In Carton</v>
      </c>
      <c r="O403" s="148" t="str">
        <f aca="false">IFERROR(VLOOKUP($M403,$M$3:$Q$14,3,0),"")</f>
        <v>Carton</v>
      </c>
      <c r="P403" s="150" t="n">
        <f aca="false">IFERROR(VLOOKUP($M403,$M$3:$Q$14,4,0),"")</f>
        <v>1</v>
      </c>
      <c r="Q403" s="148" t="str">
        <f aca="false">IFERROR(VLOOKUP($M403,$M$3:$Q$14,5,0),"")</f>
        <v>large</v>
      </c>
      <c r="R403" s="148" t="n">
        <v>1</v>
      </c>
      <c r="S403" s="151" t="n">
        <f aca="false">20400*5</f>
        <v>102000</v>
      </c>
      <c r="T403" s="152" t="n">
        <f aca="false">S403/1.11</f>
        <v>91891.8918918919</v>
      </c>
      <c r="U403" s="153" t="n">
        <f aca="false">V403+(V403*11%)</f>
        <v>89999.91</v>
      </c>
      <c r="V403" s="153" t="n">
        <v>81081</v>
      </c>
      <c r="W403" s="1" t="e">
        <f aca="false">VLOOKUP($G403,#REF!,2,0)</f>
        <v>#VALUE!</v>
      </c>
    </row>
    <row r="404" customFormat="false" ht="22.5" hidden="true" customHeight="true" outlineLevel="0" collapsed="false">
      <c r="A404" s="53"/>
      <c r="B404" s="53"/>
      <c r="C404" s="148" t="n">
        <v>143</v>
      </c>
      <c r="D404" s="148"/>
      <c r="E404" s="149" t="s">
        <v>308</v>
      </c>
      <c r="F404" s="149" t="s">
        <v>307</v>
      </c>
      <c r="G404" s="149" t="s">
        <v>307</v>
      </c>
      <c r="H404" s="148" t="s">
        <v>302</v>
      </c>
      <c r="I404" s="148" t="s">
        <v>302</v>
      </c>
      <c r="J404" s="150" t="n">
        <v>1</v>
      </c>
      <c r="K404" s="148" t="str">
        <f aca="false">IFERROR(VLOOKUP($J404,$J$10:$K$13,2,0),"")</f>
        <v>DISTRIBUTOR</v>
      </c>
      <c r="L404" s="148" t="s">
        <v>26</v>
      </c>
      <c r="M404" s="150" t="n">
        <v>4</v>
      </c>
      <c r="N404" s="148" t="str">
        <f aca="false">IFERROR(VLOOKUP($M404,$M$3:$Q$14,2,0),"")</f>
        <v>In Pack</v>
      </c>
      <c r="O404" s="148" t="str">
        <f aca="false">IFERROR(VLOOKUP($M404,$M$3:$Q$14,3,0),"")</f>
        <v>Box</v>
      </c>
      <c r="P404" s="150" t="n">
        <f aca="false">IFERROR(VLOOKUP($M404,$M$3:$Q$14,4,0),"")</f>
        <v>2</v>
      </c>
      <c r="Q404" s="148" t="n">
        <f aca="false">IFERROR(VLOOKUP($M404,$M$3:$Q$14,5,0),"")</f>
        <v>0</v>
      </c>
      <c r="R404" s="148" t="n">
        <v>5</v>
      </c>
      <c r="S404" s="151" t="n">
        <f aca="false">S403/5</f>
        <v>20400</v>
      </c>
      <c r="T404" s="152" t="n">
        <f aca="false">S404/1.11</f>
        <v>18378.3783783784</v>
      </c>
      <c r="U404" s="153" t="n">
        <f aca="false">V404+(V404*11%)</f>
        <v>17999.76</v>
      </c>
      <c r="V404" s="153" t="n">
        <v>16216</v>
      </c>
      <c r="W404" s="1" t="e">
        <f aca="false">VLOOKUP($G404,#REF!,2,0)</f>
        <v>#VALUE!</v>
      </c>
    </row>
    <row r="405" customFormat="false" ht="22.5" hidden="true" customHeight="true" outlineLevel="0" collapsed="false">
      <c r="A405" s="53"/>
      <c r="B405" s="53"/>
      <c r="C405" s="148" t="n">
        <v>143</v>
      </c>
      <c r="D405" s="148"/>
      <c r="E405" s="149" t="s">
        <v>308</v>
      </c>
      <c r="F405" s="149" t="s">
        <v>307</v>
      </c>
      <c r="G405" s="149" t="s">
        <v>307</v>
      </c>
      <c r="H405" s="148" t="s">
        <v>302</v>
      </c>
      <c r="I405" s="148" t="s">
        <v>302</v>
      </c>
      <c r="J405" s="150" t="n">
        <v>1</v>
      </c>
      <c r="K405" s="148" t="str">
        <f aca="false">IFERROR(VLOOKUP($J405,$J$10:$K$13,2,0),"")</f>
        <v>DISTRIBUTOR</v>
      </c>
      <c r="L405" s="148" t="s">
        <v>26</v>
      </c>
      <c r="M405" s="150" t="n">
        <v>9</v>
      </c>
      <c r="N405" s="148" t="str">
        <f aca="false">IFERROR(VLOOKUP($M405,$M$3:$Q$14,2,0),"")</f>
        <v>In Pcs</v>
      </c>
      <c r="O405" s="148" t="str">
        <f aca="false">IFERROR(VLOOKUP($M405,$M$3:$Q$14,3,0),"")</f>
        <v>Pcs</v>
      </c>
      <c r="P405" s="150" t="n">
        <f aca="false">IFERROR(VLOOKUP($M405,$M$3:$Q$14,4,0),"")</f>
        <v>4</v>
      </c>
      <c r="Q405" s="148" t="str">
        <f aca="false">IFERROR(VLOOKUP($M405,$M$3:$Q$14,5,0),"")</f>
        <v>small</v>
      </c>
      <c r="R405" s="148" t="n">
        <v>60</v>
      </c>
      <c r="S405" s="151" t="n">
        <f aca="false">S404/12</f>
        <v>1700</v>
      </c>
      <c r="T405" s="152" t="n">
        <f aca="false">S405/1.11</f>
        <v>1531.53153153153</v>
      </c>
      <c r="U405" s="153" t="n">
        <f aca="false">V405+(V405*11%)</f>
        <v>1499.61</v>
      </c>
      <c r="V405" s="153" t="n">
        <v>1351</v>
      </c>
      <c r="W405" s="1" t="e">
        <f aca="false">VLOOKUP($G405,#REF!,2,0)</f>
        <v>#VALUE!</v>
      </c>
    </row>
    <row r="406" customFormat="false" ht="22.5" hidden="true" customHeight="true" outlineLevel="0" collapsed="false">
      <c r="A406" s="53"/>
      <c r="B406" s="53"/>
      <c r="C406" s="154" t="n">
        <v>144</v>
      </c>
      <c r="D406" s="154"/>
      <c r="E406" s="155" t="s">
        <v>309</v>
      </c>
      <c r="F406" s="155" t="s">
        <v>310</v>
      </c>
      <c r="G406" s="155" t="s">
        <v>310</v>
      </c>
      <c r="H406" s="154" t="s">
        <v>311</v>
      </c>
      <c r="I406" s="154" t="s">
        <v>311</v>
      </c>
      <c r="J406" s="156" t="n">
        <v>1</v>
      </c>
      <c r="K406" s="154" t="str">
        <f aca="false">IFERROR(VLOOKUP($J406,$J$10:$K$13,2,0),"")</f>
        <v>DISTRIBUTOR</v>
      </c>
      <c r="L406" s="154" t="s">
        <v>26</v>
      </c>
      <c r="M406" s="156" t="n">
        <v>1</v>
      </c>
      <c r="N406" s="154" t="str">
        <f aca="false">IFERROR(VLOOKUP($M406,$M$3:$Q$14,2,0),"")</f>
        <v>In Carton</v>
      </c>
      <c r="O406" s="154" t="str">
        <f aca="false">IFERROR(VLOOKUP($M406,$M$3:$Q$14,3,0),"")</f>
        <v>Carton</v>
      </c>
      <c r="P406" s="156" t="n">
        <f aca="false">IFERROR(VLOOKUP($M406,$M$3:$Q$14,4,0),"")</f>
        <v>1</v>
      </c>
      <c r="Q406" s="154" t="str">
        <f aca="false">IFERROR(VLOOKUP($M406,$M$3:$Q$14,5,0),"")</f>
        <v>large</v>
      </c>
      <c r="R406" s="154" t="n">
        <v>1</v>
      </c>
      <c r="S406" s="157" t="n">
        <f aca="false">4680*48</f>
        <v>224640</v>
      </c>
      <c r="T406" s="158" t="n">
        <f aca="false">S406/1.11</f>
        <v>202378.378378378</v>
      </c>
      <c r="U406" s="159" t="n">
        <v>194805</v>
      </c>
      <c r="V406" s="159" t="n">
        <f aca="false">U406-(U406*11%)</f>
        <v>173376.45</v>
      </c>
      <c r="W406" s="1" t="e">
        <f aca="false">VLOOKUP($G406,#REF!,2,0)</f>
        <v>#VALUE!</v>
      </c>
    </row>
    <row r="407" customFormat="false" ht="22.5" hidden="true" customHeight="true" outlineLevel="0" collapsed="false">
      <c r="A407" s="53"/>
      <c r="B407" s="53"/>
      <c r="C407" s="154" t="n">
        <v>144</v>
      </c>
      <c r="D407" s="154"/>
      <c r="E407" s="155" t="s">
        <v>309</v>
      </c>
      <c r="F407" s="155" t="s">
        <v>310</v>
      </c>
      <c r="G407" s="155" t="s">
        <v>310</v>
      </c>
      <c r="H407" s="154" t="s">
        <v>311</v>
      </c>
      <c r="I407" s="154" t="s">
        <v>311</v>
      </c>
      <c r="J407" s="156" t="n">
        <v>1</v>
      </c>
      <c r="K407" s="154" t="str">
        <f aca="false">IFERROR(VLOOKUP($J407,$J$10:$K$13,2,0),"")</f>
        <v>DISTRIBUTOR</v>
      </c>
      <c r="L407" s="154" t="s">
        <v>26</v>
      </c>
      <c r="M407" s="156" t="n">
        <v>4</v>
      </c>
      <c r="N407" s="154" t="str">
        <f aca="false">IFERROR(VLOOKUP($M407,$M$3:$Q$14,2,0),"")</f>
        <v>In Pack</v>
      </c>
      <c r="O407" s="154" t="str">
        <f aca="false">IFERROR(VLOOKUP($M407,$M$3:$Q$14,3,0),"")</f>
        <v>Box</v>
      </c>
      <c r="P407" s="156" t="n">
        <f aca="false">IFERROR(VLOOKUP($M407,$M$3:$Q$14,4,0),"")</f>
        <v>2</v>
      </c>
      <c r="Q407" s="154" t="n">
        <f aca="false">IFERROR(VLOOKUP($M407,$M$3:$Q$14,5,0),"")</f>
        <v>0</v>
      </c>
      <c r="R407" s="154" t="n">
        <v>8</v>
      </c>
      <c r="S407" s="157" t="n">
        <f aca="false">S406/8</f>
        <v>28080</v>
      </c>
      <c r="T407" s="158" t="n">
        <f aca="false">S407/1.11</f>
        <v>25297.2972972973</v>
      </c>
      <c r="U407" s="159" t="n">
        <v>24350</v>
      </c>
      <c r="V407" s="159" t="n">
        <f aca="false">U407-(U407*11%)</f>
        <v>21671.5</v>
      </c>
      <c r="W407" s="1" t="e">
        <f aca="false">VLOOKUP($G407,#REF!,2,0)</f>
        <v>#VALUE!</v>
      </c>
    </row>
    <row r="408" customFormat="false" ht="22.5" hidden="true" customHeight="true" outlineLevel="0" collapsed="false">
      <c r="A408" s="53"/>
      <c r="B408" s="53"/>
      <c r="C408" s="154" t="n">
        <v>144</v>
      </c>
      <c r="D408" s="154"/>
      <c r="E408" s="155" t="s">
        <v>309</v>
      </c>
      <c r="F408" s="155" t="s">
        <v>310</v>
      </c>
      <c r="G408" s="155" t="s">
        <v>310</v>
      </c>
      <c r="H408" s="154" t="s">
        <v>311</v>
      </c>
      <c r="I408" s="154" t="s">
        <v>311</v>
      </c>
      <c r="J408" s="156" t="n">
        <v>1</v>
      </c>
      <c r="K408" s="154" t="str">
        <f aca="false">IFERROR(VLOOKUP($J408,$J$10:$K$13,2,0),"")</f>
        <v>DISTRIBUTOR</v>
      </c>
      <c r="L408" s="154" t="s">
        <v>26</v>
      </c>
      <c r="M408" s="156" t="n">
        <v>8</v>
      </c>
      <c r="N408" s="154" t="str">
        <f aca="false">IFERROR(VLOOKUP($M408,$M$3:$Q$14,2,0),"")</f>
        <v>In Renceng</v>
      </c>
      <c r="O408" s="154" t="str">
        <f aca="false">IFERROR(VLOOKUP($M408,$M$3:$Q$14,3,0),"")</f>
        <v>Renceng</v>
      </c>
      <c r="P408" s="156" t="n">
        <f aca="false">IFERROR(VLOOKUP($M408,$M$3:$Q$14,4,0),"")</f>
        <v>3</v>
      </c>
      <c r="Q408" s="154" t="n">
        <f aca="false">IFERROR(VLOOKUP($M408,$M$3:$Q$14,5,0),"")</f>
        <v>0</v>
      </c>
      <c r="R408" s="154" t="n">
        <v>48</v>
      </c>
      <c r="S408" s="157" t="n">
        <f aca="false">S407/6</f>
        <v>4680</v>
      </c>
      <c r="T408" s="158" t="n">
        <f aca="false">S408/1.11</f>
        <v>4216.21621621622</v>
      </c>
      <c r="U408" s="159" t="n">
        <v>4058</v>
      </c>
      <c r="V408" s="159" t="n">
        <f aca="false">U408-(U408*11%)</f>
        <v>3611.62</v>
      </c>
      <c r="W408" s="1" t="e">
        <f aca="false">VLOOKUP($G408,#REF!,2,0)</f>
        <v>#VALUE!</v>
      </c>
    </row>
    <row r="409" customFormat="false" ht="22.5" hidden="true" customHeight="true" outlineLevel="0" collapsed="false">
      <c r="A409" s="53"/>
      <c r="B409" s="53"/>
      <c r="C409" s="154" t="n">
        <v>144</v>
      </c>
      <c r="D409" s="154"/>
      <c r="E409" s="155" t="s">
        <v>309</v>
      </c>
      <c r="F409" s="155" t="s">
        <v>310</v>
      </c>
      <c r="G409" s="155" t="s">
        <v>310</v>
      </c>
      <c r="H409" s="154" t="s">
        <v>311</v>
      </c>
      <c r="I409" s="154" t="s">
        <v>311</v>
      </c>
      <c r="J409" s="156" t="n">
        <v>1</v>
      </c>
      <c r="K409" s="154" t="str">
        <f aca="false">IFERROR(VLOOKUP($J409,$J$10:$K$13,2,0),"")</f>
        <v>DISTRIBUTOR</v>
      </c>
      <c r="L409" s="154" t="s">
        <v>26</v>
      </c>
      <c r="M409" s="156" t="n">
        <v>9</v>
      </c>
      <c r="N409" s="154" t="str">
        <f aca="false">IFERROR(VLOOKUP($M409,$M$3:$Q$14,2,0),"")</f>
        <v>In Pcs</v>
      </c>
      <c r="O409" s="154" t="str">
        <f aca="false">IFERROR(VLOOKUP($M409,$M$3:$Q$14,3,0),"")</f>
        <v>Pcs</v>
      </c>
      <c r="P409" s="156" t="n">
        <f aca="false">IFERROR(VLOOKUP($M409,$M$3:$Q$14,4,0),"")</f>
        <v>4</v>
      </c>
      <c r="Q409" s="154" t="str">
        <f aca="false">IFERROR(VLOOKUP($M409,$M$3:$Q$14,5,0),"")</f>
        <v>small</v>
      </c>
      <c r="R409" s="154" t="n">
        <v>576</v>
      </c>
      <c r="S409" s="157" t="n">
        <f aca="false">S408/12</f>
        <v>390</v>
      </c>
      <c r="T409" s="158" t="n">
        <f aca="false">S409/1.11</f>
        <v>351.351351351351</v>
      </c>
      <c r="U409" s="159" t="n">
        <v>338</v>
      </c>
      <c r="V409" s="159" t="n">
        <f aca="false">U409-(U409*11%)</f>
        <v>300.82</v>
      </c>
      <c r="W409" s="1" t="e">
        <f aca="false">VLOOKUP($G409,#REF!,2,0)</f>
        <v>#VALUE!</v>
      </c>
    </row>
    <row r="410" s="167" customFormat="true" ht="22.5" hidden="true" customHeight="true" outlineLevel="0" collapsed="false">
      <c r="A410" s="160"/>
      <c r="B410" s="160"/>
      <c r="C410" s="161" t="n">
        <v>145</v>
      </c>
      <c r="D410" s="161"/>
      <c r="E410" s="162" t="s">
        <v>312</v>
      </c>
      <c r="F410" s="162" t="s">
        <v>310</v>
      </c>
      <c r="G410" s="162" t="s">
        <v>310</v>
      </c>
      <c r="H410" s="161" t="s">
        <v>311</v>
      </c>
      <c r="I410" s="161" t="s">
        <v>311</v>
      </c>
      <c r="J410" s="163" t="n">
        <v>1</v>
      </c>
      <c r="K410" s="161" t="str">
        <f aca="false">IFERROR(VLOOKUP($J410,$J$10:$K$13,2,0),"")</f>
        <v>DISTRIBUTOR</v>
      </c>
      <c r="L410" s="161" t="s">
        <v>26</v>
      </c>
      <c r="M410" s="163" t="n">
        <v>1</v>
      </c>
      <c r="N410" s="161" t="str">
        <f aca="false">IFERROR(VLOOKUP($M410,$M$3:$Q$14,2,0),"")</f>
        <v>In Carton</v>
      </c>
      <c r="O410" s="161" t="str">
        <f aca="false">IFERROR(VLOOKUP($M410,$M$3:$Q$14,3,0),"")</f>
        <v>Carton</v>
      </c>
      <c r="P410" s="163" t="n">
        <f aca="false">IFERROR(VLOOKUP($M410,$M$3:$Q$14,4,0),"")</f>
        <v>1</v>
      </c>
      <c r="Q410" s="161" t="str">
        <f aca="false">IFERROR(VLOOKUP($M410,$M$3:$Q$14,5,0),"")</f>
        <v>large</v>
      </c>
      <c r="R410" s="161" t="n">
        <v>1</v>
      </c>
      <c r="S410" s="164" t="n">
        <f aca="false">2250*120</f>
        <v>270000</v>
      </c>
      <c r="T410" s="165" t="n">
        <f aca="false">S410/1.11</f>
        <v>243243.243243243</v>
      </c>
      <c r="U410" s="166" t="n">
        <v>223519</v>
      </c>
      <c r="V410" s="159" t="n">
        <f aca="false">U410-(U410*11%)</f>
        <v>198931.91</v>
      </c>
      <c r="W410" s="167" t="e">
        <f aca="false">VLOOKUP($G410,#REF!,2,0)</f>
        <v>#VALUE!</v>
      </c>
    </row>
    <row r="411" s="167" customFormat="true" ht="22.5" hidden="true" customHeight="true" outlineLevel="0" collapsed="false">
      <c r="A411" s="160"/>
      <c r="B411" s="160"/>
      <c r="C411" s="161" t="n">
        <v>145</v>
      </c>
      <c r="D411" s="161"/>
      <c r="E411" s="162" t="s">
        <v>312</v>
      </c>
      <c r="F411" s="162" t="s">
        <v>310</v>
      </c>
      <c r="G411" s="162" t="s">
        <v>310</v>
      </c>
      <c r="H411" s="161" t="s">
        <v>311</v>
      </c>
      <c r="I411" s="161" t="s">
        <v>311</v>
      </c>
      <c r="J411" s="163" t="n">
        <v>1</v>
      </c>
      <c r="K411" s="161" t="str">
        <f aca="false">IFERROR(VLOOKUP($J411,$J$10:$K$13,2,0),"")</f>
        <v>DISTRIBUTOR</v>
      </c>
      <c r="L411" s="161" t="s">
        <v>26</v>
      </c>
      <c r="M411" s="163" t="n">
        <v>3</v>
      </c>
      <c r="N411" s="161" t="str">
        <f aca="false">IFERROR(VLOOKUP($M411,$M$3:$Q$14,2,0),"")</f>
        <v>In Pack</v>
      </c>
      <c r="O411" s="161" t="str">
        <f aca="false">IFERROR(VLOOKUP($M411,$M$3:$Q$14,3,0),"")</f>
        <v>Pack</v>
      </c>
      <c r="P411" s="163" t="n">
        <f aca="false">IFERROR(VLOOKUP($M411,$M$3:$Q$14,4,0),"")</f>
        <v>2</v>
      </c>
      <c r="Q411" s="161" t="n">
        <f aca="false">IFERROR(VLOOKUP($M411,$M$3:$Q$14,5,0),"")</f>
        <v>0</v>
      </c>
      <c r="R411" s="161" t="n">
        <v>6</v>
      </c>
      <c r="S411" s="164" t="n">
        <f aca="false">S410/6</f>
        <v>45000</v>
      </c>
      <c r="T411" s="165" t="n">
        <f aca="false">S411/1.11</f>
        <v>40540.5405405405</v>
      </c>
      <c r="U411" s="166" t="n">
        <v>37253</v>
      </c>
      <c r="V411" s="159" t="n">
        <f aca="false">U411-(U411*11%)</f>
        <v>33155.17</v>
      </c>
      <c r="W411" s="167" t="e">
        <f aca="false">VLOOKUP($G411,#REF!,2,0)</f>
        <v>#VALUE!</v>
      </c>
    </row>
    <row r="412" s="167" customFormat="true" ht="22.5" hidden="true" customHeight="true" outlineLevel="0" collapsed="false">
      <c r="A412" s="160"/>
      <c r="B412" s="160"/>
      <c r="C412" s="161" t="n">
        <v>145</v>
      </c>
      <c r="D412" s="161"/>
      <c r="E412" s="162" t="s">
        <v>312</v>
      </c>
      <c r="F412" s="162" t="s">
        <v>310</v>
      </c>
      <c r="G412" s="162" t="s">
        <v>310</v>
      </c>
      <c r="H412" s="161" t="s">
        <v>311</v>
      </c>
      <c r="I412" s="161" t="s">
        <v>311</v>
      </c>
      <c r="J412" s="163" t="n">
        <v>1</v>
      </c>
      <c r="K412" s="161" t="str">
        <f aca="false">IFERROR(VLOOKUP($J412,$J$10:$K$13,2,0),"")</f>
        <v>DISTRIBUTOR</v>
      </c>
      <c r="L412" s="161" t="s">
        <v>26</v>
      </c>
      <c r="M412" s="163" t="n">
        <v>8</v>
      </c>
      <c r="N412" s="161" t="str">
        <f aca="false">IFERROR(VLOOKUP($M412,$M$3:$Q$14,2,0),"")</f>
        <v>In Renceng</v>
      </c>
      <c r="O412" s="161" t="str">
        <f aca="false">IFERROR(VLOOKUP($M412,$M$3:$Q$14,3,0),"")</f>
        <v>Renceng</v>
      </c>
      <c r="P412" s="163" t="n">
        <f aca="false">IFERROR(VLOOKUP($M412,$M$3:$Q$14,4,0),"")</f>
        <v>3</v>
      </c>
      <c r="Q412" s="161" t="n">
        <f aca="false">IFERROR(VLOOKUP($M412,$M$3:$Q$14,5,0),"")</f>
        <v>0</v>
      </c>
      <c r="R412" s="161" t="n">
        <v>12</v>
      </c>
      <c r="S412" s="164" t="n">
        <f aca="false">S411/2</f>
        <v>22500</v>
      </c>
      <c r="T412" s="165" t="n">
        <f aca="false">S412/1.11</f>
        <v>20270.2702702703</v>
      </c>
      <c r="U412" s="166" t="n">
        <v>18626</v>
      </c>
      <c r="V412" s="159" t="n">
        <f aca="false">U412-(U412*11%)</f>
        <v>16577.14</v>
      </c>
      <c r="W412" s="167" t="e">
        <f aca="false">VLOOKUP($G412,#REF!,2,0)</f>
        <v>#VALUE!</v>
      </c>
    </row>
    <row r="413" s="167" customFormat="true" ht="22.5" hidden="true" customHeight="true" outlineLevel="0" collapsed="false">
      <c r="A413" s="160"/>
      <c r="B413" s="160"/>
      <c r="C413" s="161" t="n">
        <v>145</v>
      </c>
      <c r="D413" s="161"/>
      <c r="E413" s="162" t="s">
        <v>312</v>
      </c>
      <c r="F413" s="162" t="s">
        <v>310</v>
      </c>
      <c r="G413" s="162" t="s">
        <v>310</v>
      </c>
      <c r="H413" s="161" t="s">
        <v>311</v>
      </c>
      <c r="I413" s="161" t="s">
        <v>311</v>
      </c>
      <c r="J413" s="163" t="n">
        <v>1</v>
      </c>
      <c r="K413" s="161" t="str">
        <f aca="false">IFERROR(VLOOKUP($J413,$J$10:$K$13,2,0),"")</f>
        <v>DISTRIBUTOR</v>
      </c>
      <c r="L413" s="161" t="s">
        <v>26</v>
      </c>
      <c r="M413" s="163" t="n">
        <v>9</v>
      </c>
      <c r="N413" s="161" t="str">
        <f aca="false">IFERROR(VLOOKUP($M413,$M$3:$Q$14,2,0),"")</f>
        <v>In Pcs</v>
      </c>
      <c r="O413" s="161" t="str">
        <f aca="false">IFERROR(VLOOKUP($M413,$M$3:$Q$14,3,0),"")</f>
        <v>Pcs</v>
      </c>
      <c r="P413" s="163" t="n">
        <f aca="false">IFERROR(VLOOKUP($M413,$M$3:$Q$14,4,0),"")</f>
        <v>4</v>
      </c>
      <c r="Q413" s="161" t="str">
        <f aca="false">IFERROR(VLOOKUP($M413,$M$3:$Q$14,5,0),"")</f>
        <v>small</v>
      </c>
      <c r="R413" s="161" t="n">
        <v>120</v>
      </c>
      <c r="S413" s="164" t="n">
        <f aca="false">S412/10</f>
        <v>2250</v>
      </c>
      <c r="T413" s="165" t="n">
        <f aca="false">S413/1.11</f>
        <v>2027.02702702703</v>
      </c>
      <c r="U413" s="166" t="n">
        <v>1859</v>
      </c>
      <c r="V413" s="159" t="n">
        <f aca="false">U413-(U413*11%)</f>
        <v>1654.51</v>
      </c>
      <c r="W413" s="167" t="e">
        <f aca="false">VLOOKUP($G413,#REF!,2,0)</f>
        <v>#VALUE!</v>
      </c>
    </row>
    <row r="414" customFormat="false" ht="22.5" hidden="true" customHeight="true" outlineLevel="0" collapsed="false">
      <c r="A414" s="53"/>
      <c r="B414" s="53"/>
      <c r="C414" s="154" t="n">
        <v>146</v>
      </c>
      <c r="D414" s="154"/>
      <c r="E414" s="155" t="s">
        <v>313</v>
      </c>
      <c r="F414" s="155" t="s">
        <v>310</v>
      </c>
      <c r="G414" s="155" t="s">
        <v>310</v>
      </c>
      <c r="H414" s="154" t="s">
        <v>311</v>
      </c>
      <c r="I414" s="154" t="s">
        <v>311</v>
      </c>
      <c r="J414" s="156" t="n">
        <v>1</v>
      </c>
      <c r="K414" s="154" t="str">
        <f aca="false">IFERROR(VLOOKUP($J414,$J$10:$K$13,2,0),"")</f>
        <v>DISTRIBUTOR</v>
      </c>
      <c r="L414" s="154" t="s">
        <v>26</v>
      </c>
      <c r="M414" s="156" t="n">
        <v>1</v>
      </c>
      <c r="N414" s="154" t="str">
        <f aca="false">IFERROR(VLOOKUP($M414,$M$3:$Q$14,2,0),"")</f>
        <v>In Carton</v>
      </c>
      <c r="O414" s="154" t="str">
        <f aca="false">IFERROR(VLOOKUP($M414,$M$3:$Q$14,3,0),"")</f>
        <v>Carton</v>
      </c>
      <c r="P414" s="156" t="n">
        <f aca="false">IFERROR(VLOOKUP($M414,$M$3:$Q$14,4,0),"")</f>
        <v>1</v>
      </c>
      <c r="Q414" s="154" t="str">
        <f aca="false">IFERROR(VLOOKUP($M414,$M$3:$Q$14,5,0),"")</f>
        <v>large</v>
      </c>
      <c r="R414" s="154" t="n">
        <v>1</v>
      </c>
      <c r="S414" s="157" t="n">
        <f aca="false">2500*24</f>
        <v>60000</v>
      </c>
      <c r="T414" s="158" t="n">
        <f aca="false">S414/1.11</f>
        <v>54054.054054054</v>
      </c>
      <c r="U414" s="159" t="n">
        <v>49000</v>
      </c>
      <c r="V414" s="159" t="n">
        <f aca="false">U414-(U414*11%)</f>
        <v>43610</v>
      </c>
      <c r="W414" s="1" t="e">
        <f aca="false">VLOOKUP($G414,#REF!,2,0)</f>
        <v>#VALUE!</v>
      </c>
    </row>
    <row r="415" customFormat="false" ht="22.5" hidden="true" customHeight="true" outlineLevel="0" collapsed="false">
      <c r="A415" s="53"/>
      <c r="B415" s="53"/>
      <c r="C415" s="154" t="n">
        <v>146</v>
      </c>
      <c r="D415" s="154"/>
      <c r="E415" s="155" t="s">
        <v>313</v>
      </c>
      <c r="F415" s="155" t="s">
        <v>310</v>
      </c>
      <c r="G415" s="155" t="s">
        <v>310</v>
      </c>
      <c r="H415" s="154" t="s">
        <v>311</v>
      </c>
      <c r="I415" s="154" t="s">
        <v>311</v>
      </c>
      <c r="J415" s="156" t="n">
        <v>1</v>
      </c>
      <c r="K415" s="154" t="str">
        <f aca="false">IFERROR(VLOOKUP($J415,$J$10:$K$13,2,0),"")</f>
        <v>DISTRIBUTOR</v>
      </c>
      <c r="L415" s="154" t="s">
        <v>26</v>
      </c>
      <c r="M415" s="156" t="n">
        <v>9</v>
      </c>
      <c r="N415" s="154" t="str">
        <f aca="false">IFERROR(VLOOKUP($M415,$M$3:$Q$14,2,0),"")</f>
        <v>In Pcs</v>
      </c>
      <c r="O415" s="154" t="str">
        <f aca="false">IFERROR(VLOOKUP($M415,$M$3:$Q$14,3,0),"")</f>
        <v>Pcs</v>
      </c>
      <c r="P415" s="156" t="n">
        <f aca="false">IFERROR(VLOOKUP($M415,$M$3:$Q$14,4,0),"")</f>
        <v>4</v>
      </c>
      <c r="Q415" s="154" t="str">
        <f aca="false">IFERROR(VLOOKUP($M415,$M$3:$Q$14,5,0),"")</f>
        <v>small</v>
      </c>
      <c r="R415" s="154" t="n">
        <v>24</v>
      </c>
      <c r="S415" s="157" t="n">
        <f aca="false">S414/24</f>
        <v>2500</v>
      </c>
      <c r="T415" s="158" t="n">
        <f aca="false">S415/1.11</f>
        <v>2252.25225225225</v>
      </c>
      <c r="U415" s="159" t="n">
        <v>2041</v>
      </c>
      <c r="V415" s="159" t="n">
        <f aca="false">U415-(U415*11%)</f>
        <v>1816.49</v>
      </c>
      <c r="W415" s="1" t="e">
        <f aca="false">VLOOKUP($G415,#REF!,2,0)</f>
        <v>#VALUE!</v>
      </c>
    </row>
    <row r="416" customFormat="false" ht="22.5" hidden="true" customHeight="true" outlineLevel="0" collapsed="false">
      <c r="A416" s="53"/>
      <c r="B416" s="53"/>
      <c r="C416" s="154" t="n">
        <v>147</v>
      </c>
      <c r="D416" s="154"/>
      <c r="E416" s="155" t="s">
        <v>314</v>
      </c>
      <c r="F416" s="155" t="s">
        <v>310</v>
      </c>
      <c r="G416" s="155" t="s">
        <v>310</v>
      </c>
      <c r="H416" s="154" t="s">
        <v>311</v>
      </c>
      <c r="I416" s="154" t="s">
        <v>311</v>
      </c>
      <c r="J416" s="156" t="n">
        <v>1</v>
      </c>
      <c r="K416" s="154" t="str">
        <f aca="false">IFERROR(VLOOKUP($J416,$J$10:$K$13,2,0),"")</f>
        <v>DISTRIBUTOR</v>
      </c>
      <c r="L416" s="154" t="s">
        <v>26</v>
      </c>
      <c r="M416" s="156" t="n">
        <v>1</v>
      </c>
      <c r="N416" s="154" t="str">
        <f aca="false">IFERROR(VLOOKUP($M416,$M$3:$Q$14,2,0),"")</f>
        <v>In Carton</v>
      </c>
      <c r="O416" s="154" t="str">
        <f aca="false">IFERROR(VLOOKUP($M416,$M$3:$Q$14,3,0),"")</f>
        <v>Carton</v>
      </c>
      <c r="P416" s="156" t="n">
        <f aca="false">IFERROR(VLOOKUP($M416,$M$3:$Q$14,4,0),"")</f>
        <v>1</v>
      </c>
      <c r="Q416" s="154" t="str">
        <f aca="false">IFERROR(VLOOKUP($M416,$M$3:$Q$14,5,0),"")</f>
        <v>large</v>
      </c>
      <c r="R416" s="154" t="n">
        <v>1</v>
      </c>
      <c r="S416" s="157" t="n">
        <f aca="false">21200*14</f>
        <v>296800</v>
      </c>
      <c r="T416" s="158" t="n">
        <f aca="false">S416/1.11</f>
        <v>267387.387387387</v>
      </c>
      <c r="U416" s="159" t="n">
        <v>252000</v>
      </c>
      <c r="V416" s="159" t="n">
        <f aca="false">U416-(U416*11%)</f>
        <v>224280</v>
      </c>
      <c r="W416" s="1" t="e">
        <f aca="false">VLOOKUP($G416,#REF!,2,0)</f>
        <v>#VALUE!</v>
      </c>
    </row>
    <row r="417" customFormat="false" ht="22.5" hidden="true" customHeight="true" outlineLevel="0" collapsed="false">
      <c r="A417" s="53"/>
      <c r="B417" s="53"/>
      <c r="C417" s="154" t="n">
        <v>147</v>
      </c>
      <c r="D417" s="154"/>
      <c r="E417" s="155" t="s">
        <v>314</v>
      </c>
      <c r="F417" s="155" t="s">
        <v>310</v>
      </c>
      <c r="G417" s="155" t="s">
        <v>310</v>
      </c>
      <c r="H417" s="154" t="s">
        <v>311</v>
      </c>
      <c r="I417" s="154" t="s">
        <v>311</v>
      </c>
      <c r="J417" s="156" t="n">
        <v>1</v>
      </c>
      <c r="K417" s="154" t="str">
        <f aca="false">IFERROR(VLOOKUP($J417,$J$10:$K$13,2,0),"")</f>
        <v>DISTRIBUTOR</v>
      </c>
      <c r="L417" s="154" t="s">
        <v>26</v>
      </c>
      <c r="M417" s="156" t="n">
        <v>3</v>
      </c>
      <c r="N417" s="154" t="str">
        <f aca="false">IFERROR(VLOOKUP($M417,$M$3:$Q$14,2,0),"")</f>
        <v>In Pack</v>
      </c>
      <c r="O417" s="154" t="str">
        <f aca="false">IFERROR(VLOOKUP($M417,$M$3:$Q$14,3,0),"")</f>
        <v>Pack</v>
      </c>
      <c r="P417" s="156" t="n">
        <f aca="false">IFERROR(VLOOKUP($M417,$M$3:$Q$14,4,0),"")</f>
        <v>2</v>
      </c>
      <c r="Q417" s="154" t="n">
        <f aca="false">IFERROR(VLOOKUP($M417,$M$3:$Q$14,5,0),"")</f>
        <v>0</v>
      </c>
      <c r="R417" s="154" t="n">
        <v>14</v>
      </c>
      <c r="S417" s="157" t="n">
        <f aca="false">S416/14</f>
        <v>21200</v>
      </c>
      <c r="T417" s="158" t="n">
        <f aca="false">S417/1.11</f>
        <v>19099.0990990991</v>
      </c>
      <c r="U417" s="159" t="n">
        <v>18000</v>
      </c>
      <c r="V417" s="159" t="n">
        <f aca="false">U417-(U417*11%)</f>
        <v>16020</v>
      </c>
      <c r="W417" s="1" t="e">
        <f aca="false">VLOOKUP($G417,#REF!,2,0)</f>
        <v>#VALUE!</v>
      </c>
    </row>
    <row r="418" customFormat="false" ht="22.5" hidden="true" customHeight="true" outlineLevel="0" collapsed="false">
      <c r="A418" s="53"/>
      <c r="B418" s="53"/>
      <c r="C418" s="154" t="n">
        <v>147</v>
      </c>
      <c r="D418" s="154"/>
      <c r="E418" s="155" t="s">
        <v>314</v>
      </c>
      <c r="F418" s="155" t="s">
        <v>310</v>
      </c>
      <c r="G418" s="155" t="s">
        <v>310</v>
      </c>
      <c r="H418" s="154" t="s">
        <v>311</v>
      </c>
      <c r="I418" s="154" t="s">
        <v>311</v>
      </c>
      <c r="J418" s="156" t="n">
        <v>1</v>
      </c>
      <c r="K418" s="154" t="str">
        <f aca="false">IFERROR(VLOOKUP($J418,$J$10:$K$13,2,0),"")</f>
        <v>DISTRIBUTOR</v>
      </c>
      <c r="L418" s="154" t="s">
        <v>26</v>
      </c>
      <c r="M418" s="156" t="n">
        <v>9</v>
      </c>
      <c r="N418" s="154" t="str">
        <f aca="false">IFERROR(VLOOKUP($M418,$M$3:$Q$14,2,0),"")</f>
        <v>In Pcs</v>
      </c>
      <c r="O418" s="154" t="str">
        <f aca="false">IFERROR(VLOOKUP($M418,$M$3:$Q$14,3,0),"")</f>
        <v>Pcs</v>
      </c>
      <c r="P418" s="156" t="n">
        <f aca="false">IFERROR(VLOOKUP($M418,$M$3:$Q$14,4,0),"")</f>
        <v>4</v>
      </c>
      <c r="Q418" s="154" t="str">
        <f aca="false">IFERROR(VLOOKUP($M418,$M$3:$Q$14,5,0),"")</f>
        <v>small</v>
      </c>
      <c r="R418" s="154" t="n">
        <v>336</v>
      </c>
      <c r="S418" s="157" t="n">
        <f aca="false">S417/24</f>
        <v>883.333333333333</v>
      </c>
      <c r="T418" s="158" t="n">
        <f aca="false">S418/1.11</f>
        <v>795.795795795796</v>
      </c>
      <c r="U418" s="159" t="n">
        <v>750</v>
      </c>
      <c r="V418" s="159" t="n">
        <f aca="false">U418-(U418*11%)</f>
        <v>667.5</v>
      </c>
      <c r="W418" s="1" t="e">
        <f aca="false">VLOOKUP($G418,#REF!,2,0)</f>
        <v>#VALUE!</v>
      </c>
    </row>
    <row r="419" customFormat="false" ht="22.5" hidden="true" customHeight="true" outlineLevel="0" collapsed="false">
      <c r="A419" s="53"/>
      <c r="B419" s="53"/>
      <c r="C419" s="154" t="n">
        <v>148</v>
      </c>
      <c r="D419" s="154"/>
      <c r="E419" s="155" t="s">
        <v>315</v>
      </c>
      <c r="F419" s="155" t="s">
        <v>310</v>
      </c>
      <c r="G419" s="155" t="s">
        <v>310</v>
      </c>
      <c r="H419" s="154" t="s">
        <v>311</v>
      </c>
      <c r="I419" s="154" t="s">
        <v>311</v>
      </c>
      <c r="J419" s="156" t="n">
        <v>1</v>
      </c>
      <c r="K419" s="154" t="str">
        <f aca="false">IFERROR(VLOOKUP($J419,$J$10:$K$13,2,0),"")</f>
        <v>DISTRIBUTOR</v>
      </c>
      <c r="L419" s="154" t="s">
        <v>26</v>
      </c>
      <c r="M419" s="156" t="n">
        <v>1</v>
      </c>
      <c r="N419" s="154" t="str">
        <f aca="false">IFERROR(VLOOKUP($M419,$M$3:$Q$14,2,0),"")</f>
        <v>In Carton</v>
      </c>
      <c r="O419" s="154" t="str">
        <f aca="false">IFERROR(VLOOKUP($M419,$M$3:$Q$14,3,0),"")</f>
        <v>Carton</v>
      </c>
      <c r="P419" s="156" t="n">
        <f aca="false">IFERROR(VLOOKUP($M419,$M$3:$Q$14,4,0),"")</f>
        <v>1</v>
      </c>
      <c r="Q419" s="154" t="str">
        <f aca="false">IFERROR(VLOOKUP($M419,$M$3:$Q$14,5,0),"")</f>
        <v>large</v>
      </c>
      <c r="R419" s="154" t="n">
        <v>1</v>
      </c>
      <c r="S419" s="157" t="n">
        <f aca="false">10500*60</f>
        <v>630000</v>
      </c>
      <c r="T419" s="158" t="n">
        <f aca="false">S419/1.11</f>
        <v>567567.567567568</v>
      </c>
      <c r="U419" s="159" t="n">
        <v>567000</v>
      </c>
      <c r="V419" s="159" t="n">
        <f aca="false">U419-(U419*11%)</f>
        <v>504630</v>
      </c>
      <c r="W419" s="1" t="e">
        <f aca="false">VLOOKUP($G419,#REF!,2,0)</f>
        <v>#VALUE!</v>
      </c>
    </row>
    <row r="420" customFormat="false" ht="22.5" hidden="true" customHeight="true" outlineLevel="0" collapsed="false">
      <c r="A420" s="53"/>
      <c r="B420" s="53"/>
      <c r="C420" s="154" t="n">
        <v>148</v>
      </c>
      <c r="D420" s="154"/>
      <c r="E420" s="155" t="s">
        <v>315</v>
      </c>
      <c r="F420" s="155" t="s">
        <v>310</v>
      </c>
      <c r="G420" s="155" t="s">
        <v>310</v>
      </c>
      <c r="H420" s="154" t="s">
        <v>311</v>
      </c>
      <c r="I420" s="154" t="s">
        <v>311</v>
      </c>
      <c r="J420" s="156" t="n">
        <v>1</v>
      </c>
      <c r="K420" s="154" t="str">
        <f aca="false">IFERROR(VLOOKUP($J420,$J$10:$K$13,2,0),"")</f>
        <v>DISTRIBUTOR</v>
      </c>
      <c r="L420" s="154" t="s">
        <v>26</v>
      </c>
      <c r="M420" s="156" t="n">
        <v>7</v>
      </c>
      <c r="N420" s="154" t="str">
        <f aca="false">IFERROR(VLOOKUP($M420,$M$3:$Q$14,2,0),"")</f>
        <v>In Pack</v>
      </c>
      <c r="O420" s="154" t="str">
        <f aca="false">IFERROR(VLOOKUP($M420,$M$3:$Q$14,3,0),"")</f>
        <v>Ball</v>
      </c>
      <c r="P420" s="156" t="n">
        <f aca="false">IFERROR(VLOOKUP($M420,$M$3:$Q$14,4,0),"")</f>
        <v>2</v>
      </c>
      <c r="Q420" s="154" t="n">
        <f aca="false">IFERROR(VLOOKUP($M420,$M$3:$Q$14,5,0),"")</f>
        <v>0</v>
      </c>
      <c r="R420" s="154" t="n">
        <v>3</v>
      </c>
      <c r="S420" s="157" t="n">
        <f aca="false">S419/3</f>
        <v>210000</v>
      </c>
      <c r="T420" s="158" t="n">
        <f aca="false">S420/1.11</f>
        <v>189189.189189189</v>
      </c>
      <c r="U420" s="159" t="n">
        <v>189000</v>
      </c>
      <c r="V420" s="159" t="n">
        <f aca="false">U420-(U420*11%)</f>
        <v>168210</v>
      </c>
      <c r="W420" s="1" t="e">
        <f aca="false">VLOOKUP($G420,#REF!,2,0)</f>
        <v>#VALUE!</v>
      </c>
    </row>
    <row r="421" customFormat="false" ht="22.5" hidden="true" customHeight="true" outlineLevel="0" collapsed="false">
      <c r="A421" s="53"/>
      <c r="B421" s="53"/>
      <c r="C421" s="154" t="n">
        <v>148</v>
      </c>
      <c r="D421" s="154"/>
      <c r="E421" s="155" t="s">
        <v>315</v>
      </c>
      <c r="F421" s="155" t="s">
        <v>310</v>
      </c>
      <c r="G421" s="155" t="s">
        <v>310</v>
      </c>
      <c r="H421" s="154" t="s">
        <v>311</v>
      </c>
      <c r="I421" s="154" t="s">
        <v>311</v>
      </c>
      <c r="J421" s="156" t="n">
        <v>1</v>
      </c>
      <c r="K421" s="154" t="str">
        <f aca="false">IFERROR(VLOOKUP($J421,$J$10:$K$13,2,0),"")</f>
        <v>DISTRIBUTOR</v>
      </c>
      <c r="L421" s="154" t="s">
        <v>26</v>
      </c>
      <c r="M421" s="156" t="n">
        <v>9</v>
      </c>
      <c r="N421" s="154" t="str">
        <f aca="false">IFERROR(VLOOKUP($M421,$M$3:$Q$14,2,0),"")</f>
        <v>In Pcs</v>
      </c>
      <c r="O421" s="154" t="str">
        <f aca="false">IFERROR(VLOOKUP($M421,$M$3:$Q$14,3,0),"")</f>
        <v>Pcs</v>
      </c>
      <c r="P421" s="156" t="n">
        <f aca="false">IFERROR(VLOOKUP($M421,$M$3:$Q$14,4,0),"")</f>
        <v>4</v>
      </c>
      <c r="Q421" s="154" t="str">
        <f aca="false">IFERROR(VLOOKUP($M421,$M$3:$Q$14,5,0),"")</f>
        <v>small</v>
      </c>
      <c r="R421" s="154" t="n">
        <v>60</v>
      </c>
      <c r="S421" s="157" t="n">
        <f aca="false">S420/20</f>
        <v>10500</v>
      </c>
      <c r="T421" s="158" t="n">
        <f aca="false">S421/1.11</f>
        <v>9459.45945945946</v>
      </c>
      <c r="U421" s="159" t="n">
        <v>9450</v>
      </c>
      <c r="V421" s="159" t="n">
        <f aca="false">U421-(U421*11%)</f>
        <v>8410.5</v>
      </c>
      <c r="W421" s="1" t="e">
        <f aca="false">VLOOKUP($G421,#REF!,2,0)</f>
        <v>#VALUE!</v>
      </c>
    </row>
    <row r="422" customFormat="false" ht="22.5" hidden="true" customHeight="true" outlineLevel="0" collapsed="false">
      <c r="A422" s="53"/>
      <c r="B422" s="53"/>
      <c r="C422" s="154" t="n">
        <v>149</v>
      </c>
      <c r="D422" s="154"/>
      <c r="E422" s="155" t="s">
        <v>316</v>
      </c>
      <c r="F422" s="155" t="s">
        <v>310</v>
      </c>
      <c r="G422" s="155" t="s">
        <v>310</v>
      </c>
      <c r="H422" s="154" t="s">
        <v>311</v>
      </c>
      <c r="I422" s="154" t="s">
        <v>311</v>
      </c>
      <c r="J422" s="156" t="n">
        <v>1</v>
      </c>
      <c r="K422" s="154" t="str">
        <f aca="false">IFERROR(VLOOKUP($J422,$J$10:$K$13,2,0),"")</f>
        <v>DISTRIBUTOR</v>
      </c>
      <c r="L422" s="154" t="s">
        <v>26</v>
      </c>
      <c r="M422" s="156" t="n">
        <v>1</v>
      </c>
      <c r="N422" s="154" t="str">
        <f aca="false">IFERROR(VLOOKUP($M422,$M$3:$Q$14,2,0),"")</f>
        <v>In Carton</v>
      </c>
      <c r="O422" s="154" t="str">
        <f aca="false">IFERROR(VLOOKUP($M422,$M$3:$Q$14,3,0),"")</f>
        <v>Carton</v>
      </c>
      <c r="P422" s="156" t="n">
        <f aca="false">IFERROR(VLOOKUP($M422,$M$3:$Q$14,4,0),"")</f>
        <v>1</v>
      </c>
      <c r="Q422" s="154" t="str">
        <f aca="false">IFERROR(VLOOKUP($M422,$M$3:$Q$14,5,0),"")</f>
        <v>large</v>
      </c>
      <c r="R422" s="154" t="n">
        <v>1</v>
      </c>
      <c r="S422" s="157" t="n">
        <f aca="false">4550*80</f>
        <v>364000</v>
      </c>
      <c r="T422" s="158" t="n">
        <f aca="false">S422/1.11</f>
        <v>327927.927927928</v>
      </c>
      <c r="U422" s="159" t="n">
        <v>325154</v>
      </c>
      <c r="V422" s="159" t="n">
        <f aca="false">U422-(U422*11%)</f>
        <v>289387.06</v>
      </c>
      <c r="W422" s="1" t="e">
        <f aca="false">VLOOKUP($G422,#REF!,2,0)</f>
        <v>#VALUE!</v>
      </c>
    </row>
    <row r="423" customFormat="false" ht="22.5" hidden="true" customHeight="true" outlineLevel="0" collapsed="false">
      <c r="A423" s="53"/>
      <c r="B423" s="53"/>
      <c r="C423" s="154" t="n">
        <v>149</v>
      </c>
      <c r="D423" s="154"/>
      <c r="E423" s="155" t="s">
        <v>316</v>
      </c>
      <c r="F423" s="155" t="s">
        <v>310</v>
      </c>
      <c r="G423" s="155" t="s">
        <v>310</v>
      </c>
      <c r="H423" s="154" t="s">
        <v>311</v>
      </c>
      <c r="I423" s="154" t="s">
        <v>311</v>
      </c>
      <c r="J423" s="156" t="n">
        <v>1</v>
      </c>
      <c r="K423" s="154" t="str">
        <f aca="false">IFERROR(VLOOKUP($J423,$J$10:$K$13,2,0),"")</f>
        <v>DISTRIBUTOR</v>
      </c>
      <c r="L423" s="154" t="s">
        <v>26</v>
      </c>
      <c r="M423" s="156" t="n">
        <v>7</v>
      </c>
      <c r="N423" s="154" t="str">
        <f aca="false">IFERROR(VLOOKUP($M423,$M$3:$Q$14,2,0),"")</f>
        <v>In Pack</v>
      </c>
      <c r="O423" s="154" t="str">
        <f aca="false">IFERROR(VLOOKUP($M423,$M$3:$Q$14,3,0),"")</f>
        <v>Ball</v>
      </c>
      <c r="P423" s="156" t="n">
        <f aca="false">IFERROR(VLOOKUP($M423,$M$3:$Q$14,4,0),"")</f>
        <v>2</v>
      </c>
      <c r="Q423" s="154" t="n">
        <f aca="false">IFERROR(VLOOKUP($M423,$M$3:$Q$14,5,0),"")</f>
        <v>0</v>
      </c>
      <c r="R423" s="154" t="n">
        <v>8</v>
      </c>
      <c r="S423" s="157" t="n">
        <f aca="false">S422/8</f>
        <v>45500</v>
      </c>
      <c r="T423" s="158" t="n">
        <f aca="false">S423/1.11</f>
        <v>40990.990990991</v>
      </c>
      <c r="U423" s="159" t="n">
        <v>40644</v>
      </c>
      <c r="V423" s="159" t="n">
        <f aca="false">U423-(U423*11%)</f>
        <v>36173.16</v>
      </c>
      <c r="W423" s="1" t="e">
        <f aca="false">VLOOKUP($G423,#REF!,2,0)</f>
        <v>#VALUE!</v>
      </c>
    </row>
    <row r="424" customFormat="false" ht="22.5" hidden="true" customHeight="true" outlineLevel="0" collapsed="false">
      <c r="A424" s="53"/>
      <c r="B424" s="53"/>
      <c r="C424" s="154" t="n">
        <v>149</v>
      </c>
      <c r="D424" s="154"/>
      <c r="E424" s="155" t="s">
        <v>316</v>
      </c>
      <c r="F424" s="155" t="s">
        <v>310</v>
      </c>
      <c r="G424" s="155" t="s">
        <v>310</v>
      </c>
      <c r="H424" s="154" t="s">
        <v>311</v>
      </c>
      <c r="I424" s="154" t="s">
        <v>311</v>
      </c>
      <c r="J424" s="156" t="n">
        <v>1</v>
      </c>
      <c r="K424" s="154" t="str">
        <f aca="false">IFERROR(VLOOKUP($J424,$J$10:$K$13,2,0),"")</f>
        <v>DISTRIBUTOR</v>
      </c>
      <c r="L424" s="154" t="s">
        <v>26</v>
      </c>
      <c r="M424" s="156" t="n">
        <v>9</v>
      </c>
      <c r="N424" s="154" t="str">
        <f aca="false">IFERROR(VLOOKUP($M424,$M$3:$Q$14,2,0),"")</f>
        <v>In Pcs</v>
      </c>
      <c r="O424" s="154" t="str">
        <f aca="false">IFERROR(VLOOKUP($M424,$M$3:$Q$14,3,0),"")</f>
        <v>Pcs</v>
      </c>
      <c r="P424" s="156" t="n">
        <f aca="false">IFERROR(VLOOKUP($M424,$M$3:$Q$14,4,0),"")</f>
        <v>4</v>
      </c>
      <c r="Q424" s="154" t="str">
        <f aca="false">IFERROR(VLOOKUP($M424,$M$3:$Q$14,5,0),"")</f>
        <v>small</v>
      </c>
      <c r="R424" s="154" t="n">
        <v>80</v>
      </c>
      <c r="S424" s="157" t="n">
        <f aca="false">S423/10</f>
        <v>4550</v>
      </c>
      <c r="T424" s="158" t="n">
        <f aca="false">S424/1.11</f>
        <v>4099.0990990991</v>
      </c>
      <c r="U424" s="159" t="n">
        <v>4064</v>
      </c>
      <c r="V424" s="159" t="n">
        <f aca="false">U424-(U424*11%)</f>
        <v>3616.96</v>
      </c>
      <c r="W424" s="1" t="e">
        <f aca="false">VLOOKUP($G424,#REF!,2,0)</f>
        <v>#VALUE!</v>
      </c>
    </row>
    <row r="425" customFormat="false" ht="22.5" hidden="true" customHeight="true" outlineLevel="0" collapsed="false">
      <c r="A425" s="53"/>
      <c r="B425" s="53"/>
      <c r="C425" s="154" t="n">
        <v>150</v>
      </c>
      <c r="D425" s="154"/>
      <c r="E425" s="155" t="s">
        <v>317</v>
      </c>
      <c r="F425" s="155" t="s">
        <v>310</v>
      </c>
      <c r="G425" s="155" t="s">
        <v>310</v>
      </c>
      <c r="H425" s="154" t="s">
        <v>311</v>
      </c>
      <c r="I425" s="154" t="s">
        <v>311</v>
      </c>
      <c r="J425" s="156" t="n">
        <v>1</v>
      </c>
      <c r="K425" s="154" t="str">
        <f aca="false">IFERROR(VLOOKUP($J425,$J$10:$K$13,2,0),"")</f>
        <v>DISTRIBUTOR</v>
      </c>
      <c r="L425" s="154" t="s">
        <v>26</v>
      </c>
      <c r="M425" s="156" t="n">
        <v>1</v>
      </c>
      <c r="N425" s="154" t="str">
        <f aca="false">IFERROR(VLOOKUP($M425,$M$3:$Q$14,2,0),"")</f>
        <v>In Carton</v>
      </c>
      <c r="O425" s="154" t="str">
        <f aca="false">IFERROR(VLOOKUP($M425,$M$3:$Q$14,3,0),"")</f>
        <v>Carton</v>
      </c>
      <c r="P425" s="156" t="n">
        <f aca="false">IFERROR(VLOOKUP($M425,$M$3:$Q$14,4,0),"")</f>
        <v>1</v>
      </c>
      <c r="Q425" s="154" t="str">
        <f aca="false">IFERROR(VLOOKUP($M425,$M$3:$Q$14,5,0),"")</f>
        <v>large</v>
      </c>
      <c r="R425" s="154" t="n">
        <v>1</v>
      </c>
      <c r="S425" s="157" t="n">
        <f aca="false">3700*40</f>
        <v>148000</v>
      </c>
      <c r="T425" s="158" t="n">
        <f aca="false">S425/1.11</f>
        <v>133333.333333333</v>
      </c>
      <c r="U425" s="159" t="n">
        <v>124800</v>
      </c>
      <c r="V425" s="159" t="n">
        <f aca="false">U425-(U425*11%)</f>
        <v>111072</v>
      </c>
      <c r="W425" s="1" t="e">
        <f aca="false">VLOOKUP($G425,#REF!,2,0)</f>
        <v>#VALUE!</v>
      </c>
    </row>
    <row r="426" customFormat="false" ht="22.5" hidden="true" customHeight="true" outlineLevel="0" collapsed="false">
      <c r="A426" s="53"/>
      <c r="B426" s="53"/>
      <c r="C426" s="154" t="n">
        <v>150</v>
      </c>
      <c r="D426" s="154"/>
      <c r="E426" s="155" t="s">
        <v>317</v>
      </c>
      <c r="F426" s="155" t="s">
        <v>310</v>
      </c>
      <c r="G426" s="155" t="s">
        <v>310</v>
      </c>
      <c r="H426" s="154" t="s">
        <v>311</v>
      </c>
      <c r="I426" s="154" t="s">
        <v>311</v>
      </c>
      <c r="J426" s="156" t="n">
        <v>1</v>
      </c>
      <c r="K426" s="154" t="str">
        <f aca="false">IFERROR(VLOOKUP($J426,$J$10:$K$13,2,0),"")</f>
        <v>DISTRIBUTOR</v>
      </c>
      <c r="L426" s="154" t="s">
        <v>26</v>
      </c>
      <c r="M426" s="156" t="n">
        <v>9</v>
      </c>
      <c r="N426" s="154" t="str">
        <f aca="false">IFERROR(VLOOKUP($M426,$M$3:$Q$14,2,0),"")</f>
        <v>In Pcs</v>
      </c>
      <c r="O426" s="154" t="str">
        <f aca="false">IFERROR(VLOOKUP($M426,$M$3:$Q$14,3,0),"")</f>
        <v>Pcs</v>
      </c>
      <c r="P426" s="156" t="n">
        <f aca="false">IFERROR(VLOOKUP($M426,$M$3:$Q$14,4,0),"")</f>
        <v>4</v>
      </c>
      <c r="Q426" s="154" t="str">
        <f aca="false">IFERROR(VLOOKUP($M426,$M$3:$Q$14,5,0),"")</f>
        <v>small</v>
      </c>
      <c r="R426" s="154" t="n">
        <v>40</v>
      </c>
      <c r="S426" s="157" t="n">
        <f aca="false">S425/40</f>
        <v>3700</v>
      </c>
      <c r="T426" s="158" t="n">
        <f aca="false">S426/1.11</f>
        <v>3333.33333333333</v>
      </c>
      <c r="U426" s="159" t="n">
        <v>3120</v>
      </c>
      <c r="V426" s="159" t="n">
        <f aca="false">U426-(U426*11%)</f>
        <v>2776.8</v>
      </c>
      <c r="W426" s="1" t="e">
        <f aca="false">VLOOKUP($G426,#REF!,2,0)</f>
        <v>#VALUE!</v>
      </c>
    </row>
    <row r="427" customFormat="false" ht="22.5" hidden="true" customHeight="true" outlineLevel="0" collapsed="false">
      <c r="A427" s="53"/>
      <c r="B427" s="53"/>
      <c r="C427" s="154" t="n">
        <v>151</v>
      </c>
      <c r="D427" s="154"/>
      <c r="E427" s="155" t="s">
        <v>318</v>
      </c>
      <c r="F427" s="155" t="s">
        <v>310</v>
      </c>
      <c r="G427" s="155" t="s">
        <v>310</v>
      </c>
      <c r="H427" s="154" t="s">
        <v>311</v>
      </c>
      <c r="I427" s="154" t="s">
        <v>311</v>
      </c>
      <c r="J427" s="156" t="n">
        <v>1</v>
      </c>
      <c r="K427" s="154" t="str">
        <f aca="false">IFERROR(VLOOKUP($J427,$J$10:$K$13,2,0),"")</f>
        <v>DISTRIBUTOR</v>
      </c>
      <c r="L427" s="154" t="s">
        <v>26</v>
      </c>
      <c r="M427" s="156" t="n">
        <v>1</v>
      </c>
      <c r="N427" s="154" t="str">
        <f aca="false">IFERROR(VLOOKUP($M427,$M$3:$Q$14,2,0),"")</f>
        <v>In Carton</v>
      </c>
      <c r="O427" s="154" t="str">
        <f aca="false">IFERROR(VLOOKUP($M427,$M$3:$Q$14,3,0),"")</f>
        <v>Carton</v>
      </c>
      <c r="P427" s="156" t="n">
        <f aca="false">IFERROR(VLOOKUP($M427,$M$3:$Q$14,4,0),"")</f>
        <v>1</v>
      </c>
      <c r="Q427" s="154" t="str">
        <f aca="false">IFERROR(VLOOKUP($M427,$M$3:$Q$14,5,0),"")</f>
        <v>large</v>
      </c>
      <c r="R427" s="154" t="n">
        <v>1</v>
      </c>
      <c r="S427" s="157" t="n">
        <f aca="false">27000*12</f>
        <v>324000</v>
      </c>
      <c r="T427" s="158" t="n">
        <f aca="false">S427/1.11</f>
        <v>291891.891891892</v>
      </c>
      <c r="U427" s="159" t="n">
        <v>266308</v>
      </c>
      <c r="V427" s="159" t="n">
        <f aca="false">U427-(U427*11%)</f>
        <v>237014.12</v>
      </c>
      <c r="W427" s="1" t="e">
        <f aca="false">VLOOKUP($G427,#REF!,2,0)</f>
        <v>#VALUE!</v>
      </c>
    </row>
    <row r="428" customFormat="false" ht="22.5" hidden="true" customHeight="true" outlineLevel="0" collapsed="false">
      <c r="A428" s="53"/>
      <c r="B428" s="53"/>
      <c r="C428" s="154" t="n">
        <v>151</v>
      </c>
      <c r="D428" s="154"/>
      <c r="E428" s="155" t="s">
        <v>318</v>
      </c>
      <c r="F428" s="155" t="s">
        <v>310</v>
      </c>
      <c r="G428" s="155" t="s">
        <v>310</v>
      </c>
      <c r="H428" s="154" t="s">
        <v>311</v>
      </c>
      <c r="I428" s="154" t="s">
        <v>311</v>
      </c>
      <c r="J428" s="156" t="n">
        <v>1</v>
      </c>
      <c r="K428" s="154" t="str">
        <f aca="false">IFERROR(VLOOKUP($J428,$J$10:$K$13,2,0),"")</f>
        <v>DISTRIBUTOR</v>
      </c>
      <c r="L428" s="154" t="s">
        <v>26</v>
      </c>
      <c r="M428" s="156" t="n">
        <v>3</v>
      </c>
      <c r="N428" s="154" t="str">
        <f aca="false">IFERROR(VLOOKUP($M428,$M$3:$Q$14,2,0),"")</f>
        <v>In Pack</v>
      </c>
      <c r="O428" s="154" t="str">
        <f aca="false">IFERROR(VLOOKUP($M428,$M$3:$Q$14,3,0),"")</f>
        <v>Pack</v>
      </c>
      <c r="P428" s="156" t="n">
        <f aca="false">IFERROR(VLOOKUP($M428,$M$3:$Q$14,4,0),"")</f>
        <v>2</v>
      </c>
      <c r="Q428" s="154" t="n">
        <f aca="false">IFERROR(VLOOKUP($M428,$M$3:$Q$14,5,0),"")</f>
        <v>0</v>
      </c>
      <c r="R428" s="154" t="n">
        <v>12</v>
      </c>
      <c r="S428" s="157" t="n">
        <f aca="false">S427/12</f>
        <v>27000</v>
      </c>
      <c r="T428" s="158" t="n">
        <f aca="false">S428/1.11</f>
        <v>24324.3243243243</v>
      </c>
      <c r="U428" s="159" t="n">
        <v>22192</v>
      </c>
      <c r="V428" s="159" t="n">
        <f aca="false">U428-(U428*11%)</f>
        <v>19750.88</v>
      </c>
      <c r="W428" s="1" t="e">
        <f aca="false">VLOOKUP($G428,#REF!,2,0)</f>
        <v>#VALUE!</v>
      </c>
    </row>
    <row r="429" customFormat="false" ht="22.5" hidden="true" customHeight="true" outlineLevel="0" collapsed="false">
      <c r="A429" s="53"/>
      <c r="B429" s="53"/>
      <c r="C429" s="154" t="n">
        <v>151</v>
      </c>
      <c r="D429" s="154"/>
      <c r="E429" s="155" t="s">
        <v>318</v>
      </c>
      <c r="F429" s="155" t="s">
        <v>310</v>
      </c>
      <c r="G429" s="155" t="s">
        <v>310</v>
      </c>
      <c r="H429" s="154" t="s">
        <v>311</v>
      </c>
      <c r="I429" s="154" t="s">
        <v>311</v>
      </c>
      <c r="J429" s="156" t="n">
        <v>1</v>
      </c>
      <c r="K429" s="154" t="str">
        <f aca="false">IFERROR(VLOOKUP($J429,$J$10:$K$13,2,0),"")</f>
        <v>DISTRIBUTOR</v>
      </c>
      <c r="L429" s="154" t="s">
        <v>26</v>
      </c>
      <c r="M429" s="156" t="n">
        <v>9</v>
      </c>
      <c r="N429" s="154" t="str">
        <f aca="false">IFERROR(VLOOKUP($M429,$M$3:$Q$14,2,0),"")</f>
        <v>In Pcs</v>
      </c>
      <c r="O429" s="154" t="str">
        <f aca="false">IFERROR(VLOOKUP($M429,$M$3:$Q$14,3,0),"")</f>
        <v>Pcs</v>
      </c>
      <c r="P429" s="156" t="n">
        <f aca="false">IFERROR(VLOOKUP($M429,$M$3:$Q$14,4,0),"")</f>
        <v>4</v>
      </c>
      <c r="Q429" s="154" t="str">
        <f aca="false">IFERROR(VLOOKUP($M429,$M$3:$Q$14,5,0),"")</f>
        <v>small</v>
      </c>
      <c r="R429" s="154" t="n">
        <v>120</v>
      </c>
      <c r="S429" s="157" t="n">
        <f aca="false">S428/10</f>
        <v>2700</v>
      </c>
      <c r="T429" s="158" t="n">
        <f aca="false">S429/1.11</f>
        <v>2432.43243243243</v>
      </c>
      <c r="U429" s="159" t="n">
        <v>2219</v>
      </c>
      <c r="V429" s="159" t="n">
        <f aca="false">U429-(U429*11%)</f>
        <v>1974.91</v>
      </c>
      <c r="W429" s="1" t="e">
        <f aca="false">VLOOKUP($G429,#REF!,2,0)</f>
        <v>#VALUE!</v>
      </c>
    </row>
    <row r="430" customFormat="false" ht="22.5" hidden="true" customHeight="true" outlineLevel="0" collapsed="false">
      <c r="A430" s="53"/>
      <c r="B430" s="53"/>
      <c r="C430" s="154" t="n">
        <v>152</v>
      </c>
      <c r="D430" s="154"/>
      <c r="E430" s="155" t="s">
        <v>319</v>
      </c>
      <c r="F430" s="155" t="s">
        <v>310</v>
      </c>
      <c r="G430" s="155" t="s">
        <v>310</v>
      </c>
      <c r="H430" s="154" t="s">
        <v>311</v>
      </c>
      <c r="I430" s="154" t="s">
        <v>311</v>
      </c>
      <c r="J430" s="156" t="n">
        <v>1</v>
      </c>
      <c r="K430" s="154" t="str">
        <f aca="false">IFERROR(VLOOKUP($J430,$J$10:$K$13,2,0),"")</f>
        <v>DISTRIBUTOR</v>
      </c>
      <c r="L430" s="154" t="s">
        <v>26</v>
      </c>
      <c r="M430" s="156" t="n">
        <v>1</v>
      </c>
      <c r="N430" s="154" t="str">
        <f aca="false">IFERROR(VLOOKUP($M430,$M$3:$Q$14,2,0),"")</f>
        <v>In Carton</v>
      </c>
      <c r="O430" s="154" t="str">
        <f aca="false">IFERROR(VLOOKUP($M430,$M$3:$Q$14,3,0),"")</f>
        <v>Carton</v>
      </c>
      <c r="P430" s="156" t="n">
        <f aca="false">IFERROR(VLOOKUP($M430,$M$3:$Q$14,4,0),"")</f>
        <v>1</v>
      </c>
      <c r="Q430" s="154" t="str">
        <f aca="false">IFERROR(VLOOKUP($M430,$M$3:$Q$14,5,0),"")</f>
        <v>large</v>
      </c>
      <c r="R430" s="154" t="n">
        <v>1</v>
      </c>
      <c r="S430" s="157" t="n">
        <f aca="false">3500*80</f>
        <v>280000</v>
      </c>
      <c r="T430" s="158" t="n">
        <f aca="false">S430/1.11</f>
        <v>252252.252252252</v>
      </c>
      <c r="U430" s="159" t="n">
        <v>224480</v>
      </c>
      <c r="V430" s="159" t="n">
        <f aca="false">U430-(U430*11%)</f>
        <v>199787.2</v>
      </c>
      <c r="W430" s="1" t="e">
        <f aca="false">VLOOKUP($G430,#REF!,2,0)</f>
        <v>#VALUE!</v>
      </c>
    </row>
    <row r="431" customFormat="false" ht="22.5" hidden="true" customHeight="true" outlineLevel="0" collapsed="false">
      <c r="A431" s="53"/>
      <c r="B431" s="53"/>
      <c r="C431" s="154" t="n">
        <v>152</v>
      </c>
      <c r="D431" s="154"/>
      <c r="E431" s="155" t="s">
        <v>319</v>
      </c>
      <c r="F431" s="155" t="s">
        <v>310</v>
      </c>
      <c r="G431" s="155" t="s">
        <v>310</v>
      </c>
      <c r="H431" s="154" t="s">
        <v>311</v>
      </c>
      <c r="I431" s="154" t="s">
        <v>311</v>
      </c>
      <c r="J431" s="156" t="n">
        <v>1</v>
      </c>
      <c r="K431" s="154" t="str">
        <f aca="false">IFERROR(VLOOKUP($J431,$J$10:$K$13,2,0),"")</f>
        <v>DISTRIBUTOR</v>
      </c>
      <c r="L431" s="154" t="s">
        <v>26</v>
      </c>
      <c r="M431" s="156" t="n">
        <v>9</v>
      </c>
      <c r="N431" s="154" t="str">
        <f aca="false">IFERROR(VLOOKUP($M431,$M$3:$Q$14,2,0),"")</f>
        <v>In Pcs</v>
      </c>
      <c r="O431" s="154" t="str">
        <f aca="false">IFERROR(VLOOKUP($M431,$M$3:$Q$14,3,0),"")</f>
        <v>Pcs</v>
      </c>
      <c r="P431" s="156" t="n">
        <f aca="false">IFERROR(VLOOKUP($M431,$M$3:$Q$14,4,0),"")</f>
        <v>4</v>
      </c>
      <c r="Q431" s="154" t="str">
        <f aca="false">IFERROR(VLOOKUP($M431,$M$3:$Q$14,5,0),"")</f>
        <v>small</v>
      </c>
      <c r="R431" s="154" t="n">
        <v>80</v>
      </c>
      <c r="S431" s="157" t="n">
        <f aca="false">S430/80</f>
        <v>3500</v>
      </c>
      <c r="T431" s="158" t="n">
        <f aca="false">S431/1.11</f>
        <v>3153.15315315315</v>
      </c>
      <c r="U431" s="159" t="n">
        <v>2806</v>
      </c>
      <c r="V431" s="159" t="n">
        <f aca="false">U431-(U431*11%)</f>
        <v>2497.34</v>
      </c>
      <c r="W431" s="1" t="e">
        <f aca="false">VLOOKUP($G431,#REF!,2,0)</f>
        <v>#VALUE!</v>
      </c>
    </row>
    <row r="432" customFormat="false" ht="22.5" hidden="true" customHeight="true" outlineLevel="0" collapsed="false">
      <c r="A432" s="53"/>
      <c r="B432" s="53"/>
      <c r="C432" s="154" t="n">
        <v>153</v>
      </c>
      <c r="D432" s="154"/>
      <c r="E432" s="155" t="s">
        <v>320</v>
      </c>
      <c r="F432" s="155" t="s">
        <v>310</v>
      </c>
      <c r="G432" s="155" t="s">
        <v>310</v>
      </c>
      <c r="H432" s="154" t="s">
        <v>311</v>
      </c>
      <c r="I432" s="154" t="s">
        <v>311</v>
      </c>
      <c r="J432" s="156" t="n">
        <v>1</v>
      </c>
      <c r="K432" s="154" t="str">
        <f aca="false">IFERROR(VLOOKUP($J432,$J$10:$K$13,2,0),"")</f>
        <v>DISTRIBUTOR</v>
      </c>
      <c r="L432" s="154" t="s">
        <v>26</v>
      </c>
      <c r="M432" s="156" t="n">
        <v>1</v>
      </c>
      <c r="N432" s="154" t="str">
        <f aca="false">IFERROR(VLOOKUP($M432,$M$3:$Q$14,2,0),"")</f>
        <v>In Carton</v>
      </c>
      <c r="O432" s="154" t="str">
        <f aca="false">IFERROR(VLOOKUP($M432,$M$3:$Q$14,3,0),"")</f>
        <v>Carton</v>
      </c>
      <c r="P432" s="156" t="n">
        <f aca="false">IFERROR(VLOOKUP($M432,$M$3:$Q$14,4,0),"")</f>
        <v>1</v>
      </c>
      <c r="Q432" s="154" t="str">
        <f aca="false">IFERROR(VLOOKUP($M432,$M$3:$Q$14,5,0),"")</f>
        <v>large</v>
      </c>
      <c r="R432" s="154" t="n">
        <v>1</v>
      </c>
      <c r="S432" s="157" t="n">
        <f aca="false">9000*20</f>
        <v>180000</v>
      </c>
      <c r="T432" s="158" t="n">
        <f aca="false">S432/1.11</f>
        <v>162162.162162162</v>
      </c>
      <c r="U432" s="159" t="n">
        <v>151980</v>
      </c>
      <c r="V432" s="159" t="n">
        <f aca="false">U432-(U432*11%)</f>
        <v>135262.2</v>
      </c>
      <c r="W432" s="1" t="e">
        <f aca="false">VLOOKUP($G432,#REF!,2,0)</f>
        <v>#VALUE!</v>
      </c>
    </row>
    <row r="433" customFormat="false" ht="22.5" hidden="true" customHeight="true" outlineLevel="0" collapsed="false">
      <c r="A433" s="53"/>
      <c r="B433" s="53"/>
      <c r="C433" s="154" t="n">
        <v>153</v>
      </c>
      <c r="D433" s="154"/>
      <c r="E433" s="155" t="s">
        <v>320</v>
      </c>
      <c r="F433" s="155" t="s">
        <v>310</v>
      </c>
      <c r="G433" s="155" t="s">
        <v>310</v>
      </c>
      <c r="H433" s="154" t="s">
        <v>311</v>
      </c>
      <c r="I433" s="154" t="s">
        <v>311</v>
      </c>
      <c r="J433" s="156" t="n">
        <v>1</v>
      </c>
      <c r="K433" s="154" t="str">
        <f aca="false">IFERROR(VLOOKUP($J433,$J$10:$K$13,2,0),"")</f>
        <v>DISTRIBUTOR</v>
      </c>
      <c r="L433" s="154" t="s">
        <v>26</v>
      </c>
      <c r="M433" s="156" t="n">
        <v>9</v>
      </c>
      <c r="N433" s="154" t="str">
        <f aca="false">IFERROR(VLOOKUP($M433,$M$3:$Q$14,2,0),"")</f>
        <v>In Pcs</v>
      </c>
      <c r="O433" s="154" t="str">
        <f aca="false">IFERROR(VLOOKUP($M433,$M$3:$Q$14,3,0),"")</f>
        <v>Pcs</v>
      </c>
      <c r="P433" s="156" t="n">
        <f aca="false">IFERROR(VLOOKUP($M433,$M$3:$Q$14,4,0),"")</f>
        <v>4</v>
      </c>
      <c r="Q433" s="154" t="str">
        <f aca="false">IFERROR(VLOOKUP($M433,$M$3:$Q$14,5,0),"")</f>
        <v>small</v>
      </c>
      <c r="R433" s="154" t="n">
        <v>20</v>
      </c>
      <c r="S433" s="157" t="n">
        <f aca="false">S432/20</f>
        <v>9000</v>
      </c>
      <c r="T433" s="158" t="n">
        <f aca="false">S433/1.11</f>
        <v>8108.10810810811</v>
      </c>
      <c r="U433" s="159" t="n">
        <v>7599</v>
      </c>
      <c r="V433" s="159" t="n">
        <f aca="false">U433-(U433*11%)</f>
        <v>6763.11</v>
      </c>
      <c r="W433" s="1" t="e">
        <f aca="false">VLOOKUP($G433,#REF!,2,0)</f>
        <v>#VALUE!</v>
      </c>
    </row>
    <row r="434" customFormat="false" ht="22.5" hidden="true" customHeight="true" outlineLevel="0" collapsed="false">
      <c r="A434" s="53"/>
      <c r="B434" s="53"/>
      <c r="C434" s="154" t="n">
        <v>154</v>
      </c>
      <c r="D434" s="154"/>
      <c r="E434" s="155" t="s">
        <v>321</v>
      </c>
      <c r="F434" s="155" t="s">
        <v>310</v>
      </c>
      <c r="G434" s="155" t="s">
        <v>310</v>
      </c>
      <c r="H434" s="154" t="s">
        <v>311</v>
      </c>
      <c r="I434" s="154" t="s">
        <v>311</v>
      </c>
      <c r="J434" s="156" t="n">
        <v>1</v>
      </c>
      <c r="K434" s="154" t="str">
        <f aca="false">IFERROR(VLOOKUP($J434,$J$10:$K$13,2,0),"")</f>
        <v>DISTRIBUTOR</v>
      </c>
      <c r="L434" s="154" t="s">
        <v>26</v>
      </c>
      <c r="M434" s="156" t="n">
        <v>1</v>
      </c>
      <c r="N434" s="154" t="str">
        <f aca="false">IFERROR(VLOOKUP($M434,$M$3:$Q$14,2,0),"")</f>
        <v>In Carton</v>
      </c>
      <c r="O434" s="154" t="str">
        <f aca="false">IFERROR(VLOOKUP($M434,$M$3:$Q$14,3,0),"")</f>
        <v>Carton</v>
      </c>
      <c r="P434" s="156" t="n">
        <f aca="false">IFERROR(VLOOKUP($M434,$M$3:$Q$14,4,0),"")</f>
        <v>1</v>
      </c>
      <c r="Q434" s="154" t="str">
        <f aca="false">IFERROR(VLOOKUP($M434,$M$3:$Q$14,5,0),"")</f>
        <v>large</v>
      </c>
      <c r="R434" s="154" t="n">
        <v>1</v>
      </c>
      <c r="S434" s="157" t="n">
        <f aca="false">4320*60</f>
        <v>259200</v>
      </c>
      <c r="T434" s="158" t="n">
        <f aca="false">S434/1.11</f>
        <v>233513.513513514</v>
      </c>
      <c r="U434" s="159" t="n">
        <v>213825</v>
      </c>
      <c r="V434" s="159" t="n">
        <f aca="false">U434-(U434*11%)</f>
        <v>190304.25</v>
      </c>
      <c r="W434" s="1" t="e">
        <f aca="false">VLOOKUP($G434,#REF!,2,0)</f>
        <v>#VALUE!</v>
      </c>
    </row>
    <row r="435" customFormat="false" ht="22.5" hidden="true" customHeight="true" outlineLevel="0" collapsed="false">
      <c r="A435" s="53"/>
      <c r="B435" s="53"/>
      <c r="C435" s="154" t="n">
        <v>154</v>
      </c>
      <c r="D435" s="154"/>
      <c r="E435" s="155" t="s">
        <v>321</v>
      </c>
      <c r="F435" s="155" t="s">
        <v>310</v>
      </c>
      <c r="G435" s="155" t="s">
        <v>310</v>
      </c>
      <c r="H435" s="154" t="s">
        <v>311</v>
      </c>
      <c r="I435" s="154" t="s">
        <v>311</v>
      </c>
      <c r="J435" s="156" t="n">
        <v>1</v>
      </c>
      <c r="K435" s="154" t="str">
        <f aca="false">IFERROR(VLOOKUP($J435,$J$10:$K$13,2,0),"")</f>
        <v>DISTRIBUTOR</v>
      </c>
      <c r="L435" s="154" t="s">
        <v>26</v>
      </c>
      <c r="M435" s="156" t="n">
        <v>3</v>
      </c>
      <c r="N435" s="154" t="str">
        <f aca="false">IFERROR(VLOOKUP($M435,$M$3:$Q$14,2,0),"")</f>
        <v>In Pack</v>
      </c>
      <c r="O435" s="154" t="str">
        <f aca="false">IFERROR(VLOOKUP($M435,$M$3:$Q$14,3,0),"")</f>
        <v>Pack</v>
      </c>
      <c r="P435" s="156" t="n">
        <f aca="false">IFERROR(VLOOKUP($M435,$M$3:$Q$14,4,0),"")</f>
        <v>2</v>
      </c>
      <c r="Q435" s="154" t="n">
        <f aca="false">IFERROR(VLOOKUP($M435,$M$3:$Q$14,5,0),"")</f>
        <v>0</v>
      </c>
      <c r="R435" s="154" t="n">
        <v>6</v>
      </c>
      <c r="S435" s="157" t="n">
        <f aca="false">S434/6</f>
        <v>43200</v>
      </c>
      <c r="T435" s="158" t="n">
        <f aca="false">S435/1.11</f>
        <v>38918.9189189189</v>
      </c>
      <c r="U435" s="159" t="n">
        <v>35637</v>
      </c>
      <c r="V435" s="159" t="n">
        <f aca="false">U435-(U435*11%)</f>
        <v>31716.93</v>
      </c>
      <c r="W435" s="1" t="e">
        <f aca="false">VLOOKUP($G435,#REF!,2,0)</f>
        <v>#VALUE!</v>
      </c>
    </row>
    <row r="436" customFormat="false" ht="22.5" hidden="true" customHeight="true" outlineLevel="0" collapsed="false">
      <c r="A436" s="53"/>
      <c r="B436" s="53"/>
      <c r="C436" s="154" t="n">
        <v>154</v>
      </c>
      <c r="D436" s="154"/>
      <c r="E436" s="155" t="s">
        <v>321</v>
      </c>
      <c r="F436" s="155" t="s">
        <v>310</v>
      </c>
      <c r="G436" s="155" t="s">
        <v>310</v>
      </c>
      <c r="H436" s="154" t="s">
        <v>311</v>
      </c>
      <c r="I436" s="154" t="s">
        <v>311</v>
      </c>
      <c r="J436" s="156" t="n">
        <v>1</v>
      </c>
      <c r="K436" s="154" t="str">
        <f aca="false">IFERROR(VLOOKUP($J436,$J$10:$K$13,2,0),"")</f>
        <v>DISTRIBUTOR</v>
      </c>
      <c r="L436" s="154" t="s">
        <v>26</v>
      </c>
      <c r="M436" s="156" t="n">
        <v>8</v>
      </c>
      <c r="N436" s="154" t="str">
        <f aca="false">IFERROR(VLOOKUP($M436,$M$3:$Q$14,2,0),"")</f>
        <v>In Renceng</v>
      </c>
      <c r="O436" s="154" t="str">
        <f aca="false">IFERROR(VLOOKUP($M436,$M$3:$Q$14,3,0),"")</f>
        <v>Renceng</v>
      </c>
      <c r="P436" s="156" t="n">
        <f aca="false">IFERROR(VLOOKUP($M436,$M$3:$Q$14,4,0),"")</f>
        <v>3</v>
      </c>
      <c r="Q436" s="154" t="n">
        <f aca="false">IFERROR(VLOOKUP($M436,$M$3:$Q$14,5,0),"")</f>
        <v>0</v>
      </c>
      <c r="R436" s="154" t="n">
        <v>60</v>
      </c>
      <c r="S436" s="157" t="n">
        <f aca="false">S435/10</f>
        <v>4320</v>
      </c>
      <c r="T436" s="158" t="n">
        <f aca="false">S436/1.11</f>
        <v>3891.89189189189</v>
      </c>
      <c r="U436" s="159" t="n">
        <v>3563</v>
      </c>
      <c r="V436" s="159" t="n">
        <f aca="false">U436-(U436*11%)</f>
        <v>3171.07</v>
      </c>
      <c r="W436" s="1" t="e">
        <f aca="false">VLOOKUP($G436,#REF!,2,0)</f>
        <v>#VALUE!</v>
      </c>
    </row>
    <row r="437" customFormat="false" ht="22.5" hidden="true" customHeight="true" outlineLevel="0" collapsed="false">
      <c r="A437" s="53"/>
      <c r="B437" s="53"/>
      <c r="C437" s="154" t="n">
        <v>154</v>
      </c>
      <c r="D437" s="154"/>
      <c r="E437" s="155" t="s">
        <v>321</v>
      </c>
      <c r="F437" s="155" t="s">
        <v>310</v>
      </c>
      <c r="G437" s="155" t="s">
        <v>310</v>
      </c>
      <c r="H437" s="154" t="s">
        <v>311</v>
      </c>
      <c r="I437" s="154" t="s">
        <v>311</v>
      </c>
      <c r="J437" s="156" t="n">
        <v>1</v>
      </c>
      <c r="K437" s="154" t="str">
        <f aca="false">IFERROR(VLOOKUP($J437,$J$10:$K$13,2,0),"")</f>
        <v>DISTRIBUTOR</v>
      </c>
      <c r="L437" s="154" t="s">
        <v>26</v>
      </c>
      <c r="M437" s="156" t="n">
        <v>9</v>
      </c>
      <c r="N437" s="154" t="str">
        <f aca="false">IFERROR(VLOOKUP($M437,$M$3:$Q$14,2,0),"")</f>
        <v>In Pcs</v>
      </c>
      <c r="O437" s="154" t="str">
        <f aca="false">IFERROR(VLOOKUP($M437,$M$3:$Q$14,3,0),"")</f>
        <v>Pcs</v>
      </c>
      <c r="P437" s="156" t="n">
        <f aca="false">IFERROR(VLOOKUP($M437,$M$3:$Q$14,4,0),"")</f>
        <v>4</v>
      </c>
      <c r="Q437" s="154" t="str">
        <f aca="false">IFERROR(VLOOKUP($M437,$M$3:$Q$14,5,0),"")</f>
        <v>small</v>
      </c>
      <c r="R437" s="154" t="n">
        <v>720</v>
      </c>
      <c r="S437" s="157" t="n">
        <f aca="false">S436/12</f>
        <v>360</v>
      </c>
      <c r="T437" s="158" t="n">
        <f aca="false">S437/1.11</f>
        <v>324.324324324324</v>
      </c>
      <c r="U437" s="159" t="n">
        <v>356</v>
      </c>
      <c r="V437" s="159" t="n">
        <f aca="false">U437-(U437*11%)</f>
        <v>316.84</v>
      </c>
      <c r="W437" s="1" t="e">
        <f aca="false">VLOOKUP($G437,#REF!,2,0)</f>
        <v>#VALUE!</v>
      </c>
    </row>
    <row r="438" customFormat="false" ht="22.5" hidden="true" customHeight="true" outlineLevel="0" collapsed="false">
      <c r="A438" s="53"/>
      <c r="B438" s="53"/>
      <c r="C438" s="154" t="n">
        <v>155</v>
      </c>
      <c r="D438" s="154"/>
      <c r="E438" s="155" t="s">
        <v>322</v>
      </c>
      <c r="F438" s="155" t="s">
        <v>310</v>
      </c>
      <c r="G438" s="155" t="s">
        <v>310</v>
      </c>
      <c r="H438" s="154" t="s">
        <v>311</v>
      </c>
      <c r="I438" s="154" t="s">
        <v>311</v>
      </c>
      <c r="J438" s="156" t="n">
        <v>1</v>
      </c>
      <c r="K438" s="154" t="str">
        <f aca="false">IFERROR(VLOOKUP($J438,$J$10:$K$13,2,0),"")</f>
        <v>DISTRIBUTOR</v>
      </c>
      <c r="L438" s="154" t="s">
        <v>26</v>
      </c>
      <c r="M438" s="156" t="n">
        <v>1</v>
      </c>
      <c r="N438" s="154" t="str">
        <f aca="false">IFERROR(VLOOKUP($M438,$M$3:$Q$14,2,0),"")</f>
        <v>In Carton</v>
      </c>
      <c r="O438" s="154" t="str">
        <f aca="false">IFERROR(VLOOKUP($M438,$M$3:$Q$14,3,0),"")</f>
        <v>Carton</v>
      </c>
      <c r="P438" s="156" t="n">
        <f aca="false">IFERROR(VLOOKUP($M438,$M$3:$Q$14,4,0),"")</f>
        <v>1</v>
      </c>
      <c r="Q438" s="154" t="str">
        <f aca="false">IFERROR(VLOOKUP($M438,$M$3:$Q$14,5,0),"")</f>
        <v>large</v>
      </c>
      <c r="R438" s="154" t="n">
        <v>1</v>
      </c>
      <c r="S438" s="157" t="n">
        <v>270000</v>
      </c>
      <c r="T438" s="158" t="n">
        <f aca="false">S438/1.11</f>
        <v>243243.243243243</v>
      </c>
      <c r="U438" s="159" t="n">
        <v>193184</v>
      </c>
      <c r="V438" s="159" t="n">
        <f aca="false">U438-(U438*11%)</f>
        <v>171933.76</v>
      </c>
      <c r="W438" s="1" t="e">
        <f aca="false">VLOOKUP($G438,#REF!,2,0)</f>
        <v>#VALUE!</v>
      </c>
    </row>
    <row r="439" customFormat="false" ht="22.5" hidden="true" customHeight="true" outlineLevel="0" collapsed="false">
      <c r="A439" s="53"/>
      <c r="B439" s="53"/>
      <c r="C439" s="154" t="n">
        <v>155</v>
      </c>
      <c r="D439" s="154"/>
      <c r="E439" s="155" t="s">
        <v>322</v>
      </c>
      <c r="F439" s="155" t="s">
        <v>310</v>
      </c>
      <c r="G439" s="155" t="s">
        <v>310</v>
      </c>
      <c r="H439" s="154" t="s">
        <v>311</v>
      </c>
      <c r="I439" s="154" t="s">
        <v>311</v>
      </c>
      <c r="J439" s="156" t="n">
        <v>1</v>
      </c>
      <c r="K439" s="154" t="str">
        <f aca="false">IFERROR(VLOOKUP($J439,$J$10:$K$13,2,0),"")</f>
        <v>DISTRIBUTOR</v>
      </c>
      <c r="L439" s="154" t="s">
        <v>26</v>
      </c>
      <c r="M439" s="156" t="n">
        <v>3</v>
      </c>
      <c r="N439" s="154" t="str">
        <f aca="false">IFERROR(VLOOKUP($M439,$M$3:$Q$14,2,0),"")</f>
        <v>In Pack</v>
      </c>
      <c r="O439" s="154" t="str">
        <f aca="false">IFERROR(VLOOKUP($M439,$M$3:$Q$14,3,0),"")</f>
        <v>Pack</v>
      </c>
      <c r="P439" s="156" t="n">
        <f aca="false">IFERROR(VLOOKUP($M439,$M$3:$Q$14,4,0),"")</f>
        <v>2</v>
      </c>
      <c r="Q439" s="154" t="n">
        <f aca="false">IFERROR(VLOOKUP($M439,$M$3:$Q$14,5,0),"")</f>
        <v>0</v>
      </c>
      <c r="R439" s="154" t="n">
        <v>6</v>
      </c>
      <c r="S439" s="157" t="n">
        <v>45000</v>
      </c>
      <c r="T439" s="158" t="n">
        <f aca="false">S439/1.11</f>
        <v>40540.5405405405</v>
      </c>
      <c r="U439" s="159" t="n">
        <v>32197</v>
      </c>
      <c r="V439" s="159" t="n">
        <f aca="false">U439-(U439*11%)</f>
        <v>28655.33</v>
      </c>
      <c r="W439" s="1" t="e">
        <f aca="false">VLOOKUP($G439,#REF!,2,0)</f>
        <v>#VALUE!</v>
      </c>
    </row>
    <row r="440" customFormat="false" ht="22.5" hidden="true" customHeight="true" outlineLevel="0" collapsed="false">
      <c r="A440" s="53"/>
      <c r="B440" s="53"/>
      <c r="C440" s="154" t="n">
        <v>155</v>
      </c>
      <c r="D440" s="154"/>
      <c r="E440" s="155" t="s">
        <v>322</v>
      </c>
      <c r="F440" s="155" t="s">
        <v>310</v>
      </c>
      <c r="G440" s="155" t="s">
        <v>310</v>
      </c>
      <c r="H440" s="154" t="s">
        <v>311</v>
      </c>
      <c r="I440" s="154" t="s">
        <v>311</v>
      </c>
      <c r="J440" s="156" t="n">
        <v>1</v>
      </c>
      <c r="K440" s="154" t="str">
        <f aca="false">IFERROR(VLOOKUP($J440,$J$10:$K$13,2,0),"")</f>
        <v>DISTRIBUTOR</v>
      </c>
      <c r="L440" s="154" t="s">
        <v>26</v>
      </c>
      <c r="M440" s="156" t="n">
        <v>8</v>
      </c>
      <c r="N440" s="154" t="str">
        <f aca="false">IFERROR(VLOOKUP($M440,$M$3:$Q$14,2,0),"")</f>
        <v>In Renceng</v>
      </c>
      <c r="O440" s="154" t="str">
        <f aca="false">IFERROR(VLOOKUP($M440,$M$3:$Q$14,3,0),"")</f>
        <v>Renceng</v>
      </c>
      <c r="P440" s="156" t="n">
        <f aca="false">IFERROR(VLOOKUP($M440,$M$3:$Q$14,4,0),"")</f>
        <v>3</v>
      </c>
      <c r="Q440" s="154" t="n">
        <f aca="false">IFERROR(VLOOKUP($M440,$M$3:$Q$14,5,0),"")</f>
        <v>0</v>
      </c>
      <c r="R440" s="154" t="n">
        <v>12</v>
      </c>
      <c r="S440" s="157" t="n">
        <v>22500</v>
      </c>
      <c r="T440" s="158" t="n">
        <f aca="false">S440/1.11</f>
        <v>20270.2702702703</v>
      </c>
      <c r="U440" s="159" t="n">
        <v>16098</v>
      </c>
      <c r="V440" s="159" t="n">
        <f aca="false">U440-(U440*11%)</f>
        <v>14327.22</v>
      </c>
      <c r="W440" s="1" t="e">
        <f aca="false">VLOOKUP($G440,#REF!,2,0)</f>
        <v>#VALUE!</v>
      </c>
    </row>
    <row r="441" customFormat="false" ht="22.5" hidden="true" customHeight="true" outlineLevel="0" collapsed="false">
      <c r="A441" s="53"/>
      <c r="B441" s="53"/>
      <c r="C441" s="154" t="n">
        <v>155</v>
      </c>
      <c r="D441" s="154"/>
      <c r="E441" s="155" t="s">
        <v>322</v>
      </c>
      <c r="F441" s="155" t="s">
        <v>310</v>
      </c>
      <c r="G441" s="155" t="s">
        <v>310</v>
      </c>
      <c r="H441" s="154" t="s">
        <v>311</v>
      </c>
      <c r="I441" s="154" t="s">
        <v>311</v>
      </c>
      <c r="J441" s="156" t="n">
        <v>1</v>
      </c>
      <c r="K441" s="154" t="str">
        <f aca="false">IFERROR(VLOOKUP($J441,$J$10:$K$13,2,0),"")</f>
        <v>DISTRIBUTOR</v>
      </c>
      <c r="L441" s="154" t="s">
        <v>26</v>
      </c>
      <c r="M441" s="156" t="n">
        <v>9</v>
      </c>
      <c r="N441" s="154" t="str">
        <f aca="false">IFERROR(VLOOKUP($M441,$M$3:$Q$14,2,0),"")</f>
        <v>In Pcs</v>
      </c>
      <c r="O441" s="154" t="str">
        <f aca="false">IFERROR(VLOOKUP($M441,$M$3:$Q$14,3,0),"")</f>
        <v>Pcs</v>
      </c>
      <c r="P441" s="156" t="n">
        <f aca="false">IFERROR(VLOOKUP($M441,$M$3:$Q$14,4,0),"")</f>
        <v>4</v>
      </c>
      <c r="Q441" s="154" t="str">
        <f aca="false">IFERROR(VLOOKUP($M441,$M$3:$Q$14,5,0),"")</f>
        <v>small</v>
      </c>
      <c r="R441" s="154" t="n">
        <v>120</v>
      </c>
      <c r="S441" s="157" t="n">
        <v>2250</v>
      </c>
      <c r="T441" s="158" t="n">
        <f aca="false">S441/1.11</f>
        <v>2027.02702702703</v>
      </c>
      <c r="U441" s="159" t="n">
        <v>1609</v>
      </c>
      <c r="V441" s="159" t="n">
        <f aca="false">U441-(U441*11%)</f>
        <v>1432.01</v>
      </c>
      <c r="W441" s="1" t="e">
        <f aca="false">VLOOKUP($G441,#REF!,2,0)</f>
        <v>#VALUE!</v>
      </c>
    </row>
    <row r="442" customFormat="false" ht="22.5" hidden="true" customHeight="true" outlineLevel="0" collapsed="false">
      <c r="A442" s="53"/>
      <c r="B442" s="53"/>
      <c r="C442" s="154" t="n">
        <v>157</v>
      </c>
      <c r="D442" s="154"/>
      <c r="E442" s="155" t="s">
        <v>323</v>
      </c>
      <c r="F442" s="155" t="s">
        <v>310</v>
      </c>
      <c r="G442" s="155" t="s">
        <v>310</v>
      </c>
      <c r="H442" s="154" t="s">
        <v>311</v>
      </c>
      <c r="I442" s="154" t="s">
        <v>311</v>
      </c>
      <c r="J442" s="156" t="n">
        <v>1</v>
      </c>
      <c r="K442" s="154" t="str">
        <f aca="false">IFERROR(VLOOKUP($J442,$J$10:$K$13,2,0),"")</f>
        <v>DISTRIBUTOR</v>
      </c>
      <c r="L442" s="154" t="s">
        <v>26</v>
      </c>
      <c r="M442" s="156" t="n">
        <v>1</v>
      </c>
      <c r="N442" s="154" t="str">
        <f aca="false">IFERROR(VLOOKUP($M442,$M$3:$Q$14,2,0),"")</f>
        <v>In Carton</v>
      </c>
      <c r="O442" s="154" t="str">
        <f aca="false">IFERROR(VLOOKUP($M442,$M$3:$Q$14,3,0),"")</f>
        <v>Carton</v>
      </c>
      <c r="P442" s="156" t="n">
        <f aca="false">IFERROR(VLOOKUP($M442,$M$3:$Q$14,4,0),"")</f>
        <v>1</v>
      </c>
      <c r="Q442" s="154" t="str">
        <f aca="false">IFERROR(VLOOKUP($M442,$M$3:$Q$14,5,0),"")</f>
        <v>large</v>
      </c>
      <c r="R442" s="154" t="n">
        <v>1</v>
      </c>
      <c r="S442" s="157" t="n">
        <f aca="false">8700*25</f>
        <v>217500</v>
      </c>
      <c r="T442" s="158" t="n">
        <f aca="false">S442/1.11</f>
        <v>195945.945945946</v>
      </c>
      <c r="U442" s="159" t="n">
        <v>183855</v>
      </c>
      <c r="V442" s="159" t="n">
        <f aca="false">U442-(U442*11%)</f>
        <v>163630.95</v>
      </c>
      <c r="W442" s="1" t="e">
        <f aca="false">VLOOKUP($G442,#REF!,2,0)</f>
        <v>#VALUE!</v>
      </c>
    </row>
    <row r="443" customFormat="false" ht="22.5" hidden="true" customHeight="true" outlineLevel="0" collapsed="false">
      <c r="A443" s="53"/>
      <c r="B443" s="53"/>
      <c r="C443" s="154" t="n">
        <v>157</v>
      </c>
      <c r="D443" s="154"/>
      <c r="E443" s="155" t="s">
        <v>323</v>
      </c>
      <c r="F443" s="155" t="s">
        <v>310</v>
      </c>
      <c r="G443" s="155" t="s">
        <v>310</v>
      </c>
      <c r="H443" s="154" t="s">
        <v>311</v>
      </c>
      <c r="I443" s="154" t="s">
        <v>311</v>
      </c>
      <c r="J443" s="156" t="n">
        <v>1</v>
      </c>
      <c r="K443" s="154" t="str">
        <f aca="false">IFERROR(VLOOKUP($J443,$J$10:$K$13,2,0),"")</f>
        <v>DISTRIBUTOR</v>
      </c>
      <c r="L443" s="154" t="s">
        <v>26</v>
      </c>
      <c r="M443" s="156" t="n">
        <v>9</v>
      </c>
      <c r="N443" s="154" t="str">
        <f aca="false">IFERROR(VLOOKUP($M443,$M$3:$Q$14,2,0),"")</f>
        <v>In Pcs</v>
      </c>
      <c r="O443" s="154" t="str">
        <f aca="false">IFERROR(VLOOKUP($M443,$M$3:$Q$14,3,0),"")</f>
        <v>Pcs</v>
      </c>
      <c r="P443" s="156" t="n">
        <f aca="false">IFERROR(VLOOKUP($M443,$M$3:$Q$14,4,0),"")</f>
        <v>4</v>
      </c>
      <c r="Q443" s="154" t="str">
        <f aca="false">IFERROR(VLOOKUP($M443,$M$3:$Q$14,5,0),"")</f>
        <v>small</v>
      </c>
      <c r="R443" s="154" t="n">
        <v>25</v>
      </c>
      <c r="S443" s="157" t="n">
        <f aca="false">S442/25</f>
        <v>8700</v>
      </c>
      <c r="T443" s="158" t="n">
        <f aca="false">S443/1.11</f>
        <v>7837.83783783784</v>
      </c>
      <c r="U443" s="159" t="n">
        <v>7354</v>
      </c>
      <c r="V443" s="159" t="n">
        <f aca="false">U443-(U443*11%)</f>
        <v>6545.06</v>
      </c>
      <c r="W443" s="1" t="e">
        <f aca="false">VLOOKUP($G443,#REF!,2,0)</f>
        <v>#VALUE!</v>
      </c>
    </row>
    <row r="444" customFormat="false" ht="22.5" hidden="true" customHeight="true" outlineLevel="0" collapsed="false">
      <c r="A444" s="53"/>
      <c r="B444" s="53"/>
      <c r="C444" s="154" t="n">
        <v>158</v>
      </c>
      <c r="D444" s="154"/>
      <c r="E444" s="155" t="s">
        <v>324</v>
      </c>
      <c r="F444" s="155" t="s">
        <v>310</v>
      </c>
      <c r="G444" s="155" t="s">
        <v>310</v>
      </c>
      <c r="H444" s="154" t="s">
        <v>311</v>
      </c>
      <c r="I444" s="154" t="s">
        <v>311</v>
      </c>
      <c r="J444" s="156" t="n">
        <v>1</v>
      </c>
      <c r="K444" s="154" t="str">
        <f aca="false">IFERROR(VLOOKUP($J444,$J$10:$K$13,2,0),"")</f>
        <v>DISTRIBUTOR</v>
      </c>
      <c r="L444" s="154" t="s">
        <v>26</v>
      </c>
      <c r="M444" s="156" t="n">
        <v>1</v>
      </c>
      <c r="N444" s="154" t="str">
        <f aca="false">IFERROR(VLOOKUP($M444,$M$3:$Q$14,2,0),"")</f>
        <v>In Carton</v>
      </c>
      <c r="O444" s="154" t="str">
        <f aca="false">IFERROR(VLOOKUP($M444,$M$3:$Q$14,3,0),"")</f>
        <v>Carton</v>
      </c>
      <c r="P444" s="156" t="n">
        <f aca="false">IFERROR(VLOOKUP($M444,$M$3:$Q$14,4,0),"")</f>
        <v>1</v>
      </c>
      <c r="Q444" s="154" t="str">
        <f aca="false">IFERROR(VLOOKUP($M444,$M$3:$Q$14,5,0),"")</f>
        <v>large</v>
      </c>
      <c r="R444" s="154" t="n">
        <v>1</v>
      </c>
      <c r="S444" s="157" t="n">
        <f aca="false">3438*80</f>
        <v>275040</v>
      </c>
      <c r="T444" s="158" t="n">
        <f aca="false">S444/1.11</f>
        <v>247783.783783784</v>
      </c>
      <c r="U444" s="159" t="n">
        <v>219300</v>
      </c>
      <c r="V444" s="159" t="n">
        <f aca="false">U444-(U444*11%)</f>
        <v>195177</v>
      </c>
      <c r="W444" s="1" t="e">
        <f aca="false">VLOOKUP($G444,#REF!,2,0)</f>
        <v>#VALUE!</v>
      </c>
    </row>
    <row r="445" customFormat="false" ht="22.5" hidden="true" customHeight="true" outlineLevel="0" collapsed="false">
      <c r="A445" s="53"/>
      <c r="B445" s="53"/>
      <c r="C445" s="154" t="n">
        <v>158</v>
      </c>
      <c r="D445" s="154"/>
      <c r="E445" s="155" t="s">
        <v>324</v>
      </c>
      <c r="F445" s="155" t="s">
        <v>310</v>
      </c>
      <c r="G445" s="155" t="s">
        <v>310</v>
      </c>
      <c r="H445" s="154" t="s">
        <v>311</v>
      </c>
      <c r="I445" s="154" t="s">
        <v>311</v>
      </c>
      <c r="J445" s="156" t="n">
        <v>1</v>
      </c>
      <c r="K445" s="154" t="str">
        <f aca="false">IFERROR(VLOOKUP($J445,$J$10:$K$13,2,0),"")</f>
        <v>DISTRIBUTOR</v>
      </c>
      <c r="L445" s="154" t="s">
        <v>26</v>
      </c>
      <c r="M445" s="156" t="n">
        <v>9</v>
      </c>
      <c r="N445" s="154" t="str">
        <f aca="false">IFERROR(VLOOKUP($M445,$M$3:$Q$14,2,0),"")</f>
        <v>In Pcs</v>
      </c>
      <c r="O445" s="154" t="str">
        <f aca="false">IFERROR(VLOOKUP($M445,$M$3:$Q$14,3,0),"")</f>
        <v>Pcs</v>
      </c>
      <c r="P445" s="156" t="n">
        <f aca="false">IFERROR(VLOOKUP($M445,$M$3:$Q$14,4,0),"")</f>
        <v>4</v>
      </c>
      <c r="Q445" s="154" t="str">
        <f aca="false">IFERROR(VLOOKUP($M445,$M$3:$Q$14,5,0),"")</f>
        <v>small</v>
      </c>
      <c r="R445" s="154" t="n">
        <v>80</v>
      </c>
      <c r="S445" s="157" t="n">
        <f aca="false">S444/80</f>
        <v>3438</v>
      </c>
      <c r="T445" s="158" t="n">
        <f aca="false">S445/1.11</f>
        <v>3097.2972972973</v>
      </c>
      <c r="U445" s="159" t="n">
        <v>2741</v>
      </c>
      <c r="V445" s="159" t="n">
        <f aca="false">U445-(U445*11%)</f>
        <v>2439.49</v>
      </c>
      <c r="W445" s="1" t="e">
        <f aca="false">VLOOKUP($G445,#REF!,2,0)</f>
        <v>#VALUE!</v>
      </c>
    </row>
    <row r="446" customFormat="false" ht="22.5" hidden="true" customHeight="true" outlineLevel="0" collapsed="false">
      <c r="A446" s="53"/>
      <c r="B446" s="53"/>
      <c r="C446" s="154" t="n">
        <v>159</v>
      </c>
      <c r="D446" s="154"/>
      <c r="E446" s="155" t="s">
        <v>325</v>
      </c>
      <c r="F446" s="155" t="s">
        <v>310</v>
      </c>
      <c r="G446" s="155" t="s">
        <v>310</v>
      </c>
      <c r="H446" s="154" t="s">
        <v>311</v>
      </c>
      <c r="I446" s="154" t="s">
        <v>311</v>
      </c>
      <c r="J446" s="156" t="n">
        <v>1</v>
      </c>
      <c r="K446" s="154" t="str">
        <f aca="false">IFERROR(VLOOKUP($J446,$J$10:$K$13,2,0),"")</f>
        <v>DISTRIBUTOR</v>
      </c>
      <c r="L446" s="154" t="s">
        <v>26</v>
      </c>
      <c r="M446" s="156" t="n">
        <v>1</v>
      </c>
      <c r="N446" s="154" t="str">
        <f aca="false">IFERROR(VLOOKUP($M446,$M$3:$Q$14,2,0),"")</f>
        <v>In Carton</v>
      </c>
      <c r="O446" s="154" t="str">
        <f aca="false">IFERROR(VLOOKUP($M446,$M$3:$Q$14,3,0),"")</f>
        <v>Carton</v>
      </c>
      <c r="P446" s="156" t="n">
        <f aca="false">IFERROR(VLOOKUP($M446,$M$3:$Q$14,4,0),"")</f>
        <v>1</v>
      </c>
      <c r="Q446" s="154" t="str">
        <f aca="false">IFERROR(VLOOKUP($M446,$M$3:$Q$14,5,0),"")</f>
        <v>large</v>
      </c>
      <c r="R446" s="154" t="n">
        <v>1</v>
      </c>
      <c r="S446" s="157" t="n">
        <f aca="false">2500*24</f>
        <v>60000</v>
      </c>
      <c r="T446" s="158" t="n">
        <f aca="false">S446/1.11</f>
        <v>54054.054054054</v>
      </c>
      <c r="U446" s="159" t="n">
        <v>49000</v>
      </c>
      <c r="V446" s="159" t="n">
        <f aca="false">U446-(U446*11%)</f>
        <v>43610</v>
      </c>
      <c r="W446" s="1" t="e">
        <f aca="false">VLOOKUP($G446,#REF!,2,0)</f>
        <v>#VALUE!</v>
      </c>
    </row>
    <row r="447" customFormat="false" ht="22.5" hidden="true" customHeight="true" outlineLevel="0" collapsed="false">
      <c r="A447" s="53"/>
      <c r="B447" s="53"/>
      <c r="C447" s="154" t="n">
        <v>159</v>
      </c>
      <c r="D447" s="154"/>
      <c r="E447" s="155" t="s">
        <v>325</v>
      </c>
      <c r="F447" s="155" t="s">
        <v>310</v>
      </c>
      <c r="G447" s="155" t="s">
        <v>310</v>
      </c>
      <c r="H447" s="154" t="s">
        <v>311</v>
      </c>
      <c r="I447" s="154" t="s">
        <v>311</v>
      </c>
      <c r="J447" s="156" t="n">
        <v>1</v>
      </c>
      <c r="K447" s="154" t="str">
        <f aca="false">IFERROR(VLOOKUP($J447,$J$10:$K$13,2,0),"")</f>
        <v>DISTRIBUTOR</v>
      </c>
      <c r="L447" s="154" t="s">
        <v>26</v>
      </c>
      <c r="M447" s="156" t="n">
        <v>9</v>
      </c>
      <c r="N447" s="154" t="str">
        <f aca="false">IFERROR(VLOOKUP($M447,$M$3:$Q$14,2,0),"")</f>
        <v>In Pcs</v>
      </c>
      <c r="O447" s="154" t="str">
        <f aca="false">IFERROR(VLOOKUP($M447,$M$3:$Q$14,3,0),"")</f>
        <v>Pcs</v>
      </c>
      <c r="P447" s="156" t="n">
        <f aca="false">IFERROR(VLOOKUP($M447,$M$3:$Q$14,4,0),"")</f>
        <v>4</v>
      </c>
      <c r="Q447" s="154" t="str">
        <f aca="false">IFERROR(VLOOKUP($M447,$M$3:$Q$14,5,0),"")</f>
        <v>small</v>
      </c>
      <c r="R447" s="154" t="n">
        <v>24</v>
      </c>
      <c r="S447" s="157" t="n">
        <f aca="false">S446/24</f>
        <v>2500</v>
      </c>
      <c r="T447" s="158" t="n">
        <f aca="false">S447/1.11</f>
        <v>2252.25225225225</v>
      </c>
      <c r="U447" s="159" t="n">
        <v>2041</v>
      </c>
      <c r="V447" s="159" t="n">
        <f aca="false">U447-(U447*11%)</f>
        <v>1816.49</v>
      </c>
      <c r="W447" s="1" t="e">
        <f aca="false">VLOOKUP($G447,#REF!,2,0)</f>
        <v>#VALUE!</v>
      </c>
    </row>
    <row r="448" customFormat="false" ht="22.5" hidden="true" customHeight="true" outlineLevel="0" collapsed="false">
      <c r="A448" s="53"/>
      <c r="B448" s="53"/>
      <c r="C448" s="154" t="n">
        <v>160</v>
      </c>
      <c r="D448" s="154"/>
      <c r="E448" s="155" t="s">
        <v>326</v>
      </c>
      <c r="F448" s="155" t="s">
        <v>310</v>
      </c>
      <c r="G448" s="155" t="s">
        <v>310</v>
      </c>
      <c r="H448" s="154" t="s">
        <v>311</v>
      </c>
      <c r="I448" s="154" t="s">
        <v>311</v>
      </c>
      <c r="J448" s="156" t="n">
        <v>1</v>
      </c>
      <c r="K448" s="154" t="str">
        <f aca="false">IFERROR(VLOOKUP($J448,$J$10:$K$13,2,0),"")</f>
        <v>DISTRIBUTOR</v>
      </c>
      <c r="L448" s="154" t="s">
        <v>26</v>
      </c>
      <c r="M448" s="156" t="n">
        <v>1</v>
      </c>
      <c r="N448" s="154" t="str">
        <f aca="false">IFERROR(VLOOKUP($M448,$M$3:$Q$14,2,0),"")</f>
        <v>In Carton</v>
      </c>
      <c r="O448" s="154" t="str">
        <f aca="false">IFERROR(VLOOKUP($M448,$M$3:$Q$14,3,0),"")</f>
        <v>Carton</v>
      </c>
      <c r="P448" s="156" t="n">
        <f aca="false">IFERROR(VLOOKUP($M448,$M$3:$Q$14,4,0),"")</f>
        <v>1</v>
      </c>
      <c r="Q448" s="154" t="str">
        <f aca="false">IFERROR(VLOOKUP($M448,$M$3:$Q$14,5,0),"")</f>
        <v>large</v>
      </c>
      <c r="R448" s="154" t="n">
        <v>1</v>
      </c>
      <c r="S448" s="157" t="n">
        <f aca="false">4320*60</f>
        <v>259200</v>
      </c>
      <c r="T448" s="158" t="n">
        <f aca="false">S448/1.11</f>
        <v>233513.513513514</v>
      </c>
      <c r="U448" s="159" t="n">
        <v>213825</v>
      </c>
      <c r="V448" s="159" t="n">
        <f aca="false">U448-(U448*11%)</f>
        <v>190304.25</v>
      </c>
      <c r="W448" s="1" t="e">
        <f aca="false">VLOOKUP($G448,#REF!,2,0)</f>
        <v>#VALUE!</v>
      </c>
    </row>
    <row r="449" customFormat="false" ht="22.5" hidden="true" customHeight="true" outlineLevel="0" collapsed="false">
      <c r="A449" s="53"/>
      <c r="B449" s="53"/>
      <c r="C449" s="154" t="n">
        <v>160</v>
      </c>
      <c r="D449" s="154"/>
      <c r="E449" s="155" t="s">
        <v>326</v>
      </c>
      <c r="F449" s="155" t="s">
        <v>310</v>
      </c>
      <c r="G449" s="155" t="s">
        <v>310</v>
      </c>
      <c r="H449" s="154" t="s">
        <v>311</v>
      </c>
      <c r="I449" s="154" t="s">
        <v>311</v>
      </c>
      <c r="J449" s="156" t="n">
        <v>1</v>
      </c>
      <c r="K449" s="154" t="str">
        <f aca="false">IFERROR(VLOOKUP($J449,$J$10:$K$13,2,0),"")</f>
        <v>DISTRIBUTOR</v>
      </c>
      <c r="L449" s="154" t="s">
        <v>26</v>
      </c>
      <c r="M449" s="156" t="n">
        <v>3</v>
      </c>
      <c r="N449" s="154" t="str">
        <f aca="false">IFERROR(VLOOKUP($M449,$M$3:$Q$14,2,0),"")</f>
        <v>In Pack</v>
      </c>
      <c r="O449" s="154" t="str">
        <f aca="false">IFERROR(VLOOKUP($M449,$M$3:$Q$14,3,0),"")</f>
        <v>Pack</v>
      </c>
      <c r="P449" s="156" t="n">
        <f aca="false">IFERROR(VLOOKUP($M449,$M$3:$Q$14,4,0),"")</f>
        <v>2</v>
      </c>
      <c r="Q449" s="154" t="n">
        <f aca="false">IFERROR(VLOOKUP($M449,$M$3:$Q$14,5,0),"")</f>
        <v>0</v>
      </c>
      <c r="R449" s="154" t="n">
        <v>6</v>
      </c>
      <c r="S449" s="157" t="n">
        <f aca="false">S448/6</f>
        <v>43200</v>
      </c>
      <c r="T449" s="158" t="n">
        <f aca="false">S449/1.11</f>
        <v>38918.9189189189</v>
      </c>
      <c r="U449" s="159" t="n">
        <v>35637</v>
      </c>
      <c r="V449" s="159" t="n">
        <f aca="false">U449-(U449*11%)</f>
        <v>31716.93</v>
      </c>
      <c r="W449" s="1" t="e">
        <f aca="false">VLOOKUP($G449,#REF!,2,0)</f>
        <v>#VALUE!</v>
      </c>
    </row>
    <row r="450" customFormat="false" ht="22.5" hidden="true" customHeight="true" outlineLevel="0" collapsed="false">
      <c r="A450" s="53"/>
      <c r="B450" s="53"/>
      <c r="C450" s="154" t="n">
        <v>160</v>
      </c>
      <c r="D450" s="154"/>
      <c r="E450" s="155" t="s">
        <v>326</v>
      </c>
      <c r="F450" s="155" t="s">
        <v>310</v>
      </c>
      <c r="G450" s="155" t="s">
        <v>310</v>
      </c>
      <c r="H450" s="154" t="s">
        <v>311</v>
      </c>
      <c r="I450" s="154" t="s">
        <v>311</v>
      </c>
      <c r="J450" s="156" t="n">
        <v>1</v>
      </c>
      <c r="K450" s="154" t="str">
        <f aca="false">IFERROR(VLOOKUP($J450,$J$10:$K$13,2,0),"")</f>
        <v>DISTRIBUTOR</v>
      </c>
      <c r="L450" s="154" t="s">
        <v>26</v>
      </c>
      <c r="M450" s="156" t="n">
        <v>8</v>
      </c>
      <c r="N450" s="154" t="str">
        <f aca="false">IFERROR(VLOOKUP($M450,$M$3:$Q$14,2,0),"")</f>
        <v>In Renceng</v>
      </c>
      <c r="O450" s="154" t="str">
        <f aca="false">IFERROR(VLOOKUP($M450,$M$3:$Q$14,3,0),"")</f>
        <v>Renceng</v>
      </c>
      <c r="P450" s="156" t="n">
        <f aca="false">IFERROR(VLOOKUP($M450,$M$3:$Q$14,4,0),"")</f>
        <v>3</v>
      </c>
      <c r="Q450" s="154" t="n">
        <f aca="false">IFERROR(VLOOKUP($M450,$M$3:$Q$14,5,0),"")</f>
        <v>0</v>
      </c>
      <c r="R450" s="154" t="n">
        <v>60</v>
      </c>
      <c r="S450" s="157" t="n">
        <f aca="false">S449/10</f>
        <v>4320</v>
      </c>
      <c r="T450" s="158" t="n">
        <f aca="false">S450/1.11</f>
        <v>3891.89189189189</v>
      </c>
      <c r="U450" s="159" t="n">
        <v>3563</v>
      </c>
      <c r="V450" s="159" t="n">
        <f aca="false">U450-(U450*11%)</f>
        <v>3171.07</v>
      </c>
      <c r="W450" s="1" t="e">
        <f aca="false">VLOOKUP($G450,#REF!,2,0)</f>
        <v>#VALUE!</v>
      </c>
    </row>
    <row r="451" customFormat="false" ht="22.5" hidden="true" customHeight="true" outlineLevel="0" collapsed="false">
      <c r="A451" s="53"/>
      <c r="B451" s="53"/>
      <c r="C451" s="154" t="n">
        <v>160</v>
      </c>
      <c r="D451" s="154"/>
      <c r="E451" s="155" t="s">
        <v>326</v>
      </c>
      <c r="F451" s="155" t="s">
        <v>310</v>
      </c>
      <c r="G451" s="155" t="s">
        <v>310</v>
      </c>
      <c r="H451" s="154" t="s">
        <v>311</v>
      </c>
      <c r="I451" s="154" t="s">
        <v>311</v>
      </c>
      <c r="J451" s="156" t="n">
        <v>1</v>
      </c>
      <c r="K451" s="154" t="str">
        <f aca="false">IFERROR(VLOOKUP($J451,$J$10:$K$13,2,0),"")</f>
        <v>DISTRIBUTOR</v>
      </c>
      <c r="L451" s="154" t="s">
        <v>26</v>
      </c>
      <c r="M451" s="156" t="n">
        <v>9</v>
      </c>
      <c r="N451" s="154" t="str">
        <f aca="false">IFERROR(VLOOKUP($M451,$M$3:$Q$14,2,0),"")</f>
        <v>In Pcs</v>
      </c>
      <c r="O451" s="154" t="str">
        <f aca="false">IFERROR(VLOOKUP($M451,$M$3:$Q$14,3,0),"")</f>
        <v>Pcs</v>
      </c>
      <c r="P451" s="156" t="n">
        <f aca="false">IFERROR(VLOOKUP($M451,$M$3:$Q$14,4,0),"")</f>
        <v>4</v>
      </c>
      <c r="Q451" s="154" t="str">
        <f aca="false">IFERROR(VLOOKUP($M451,$M$3:$Q$14,5,0),"")</f>
        <v>small</v>
      </c>
      <c r="R451" s="154" t="n">
        <v>720</v>
      </c>
      <c r="S451" s="157" t="n">
        <f aca="false">S450/12</f>
        <v>360</v>
      </c>
      <c r="T451" s="158" t="n">
        <f aca="false">S451/1.11</f>
        <v>324.324324324324</v>
      </c>
      <c r="U451" s="159" t="n">
        <v>356</v>
      </c>
      <c r="V451" s="159" t="n">
        <f aca="false">U451-(U451*11%)</f>
        <v>316.84</v>
      </c>
      <c r="W451" s="1" t="e">
        <f aca="false">VLOOKUP($G451,#REF!,2,0)</f>
        <v>#VALUE!</v>
      </c>
    </row>
    <row r="452" customFormat="false" ht="22.5" hidden="true" customHeight="true" outlineLevel="0" collapsed="false">
      <c r="A452" s="53"/>
      <c r="B452" s="53"/>
      <c r="C452" s="154" t="n">
        <v>161</v>
      </c>
      <c r="D452" s="154"/>
      <c r="E452" s="155" t="s">
        <v>327</v>
      </c>
      <c r="F452" s="155" t="s">
        <v>310</v>
      </c>
      <c r="G452" s="155" t="s">
        <v>310</v>
      </c>
      <c r="H452" s="154" t="s">
        <v>311</v>
      </c>
      <c r="I452" s="154" t="s">
        <v>311</v>
      </c>
      <c r="J452" s="156" t="n">
        <v>1</v>
      </c>
      <c r="K452" s="154" t="str">
        <f aca="false">IFERROR(VLOOKUP($J452,$J$10:$K$13,2,0),"")</f>
        <v>DISTRIBUTOR</v>
      </c>
      <c r="L452" s="154" t="s">
        <v>26</v>
      </c>
      <c r="M452" s="156" t="n">
        <v>1</v>
      </c>
      <c r="N452" s="154" t="str">
        <f aca="false">IFERROR(VLOOKUP($M452,$M$3:$Q$14,2,0),"")</f>
        <v>In Carton</v>
      </c>
      <c r="O452" s="154" t="str">
        <f aca="false">IFERROR(VLOOKUP($M452,$M$3:$Q$14,3,0),"")</f>
        <v>Carton</v>
      </c>
      <c r="P452" s="156" t="n">
        <f aca="false">IFERROR(VLOOKUP($M452,$M$3:$Q$14,4,0),"")</f>
        <v>1</v>
      </c>
      <c r="Q452" s="154" t="str">
        <f aca="false">IFERROR(VLOOKUP($M452,$M$3:$Q$14,5,0),"")</f>
        <v>large</v>
      </c>
      <c r="R452" s="154" t="n">
        <v>1</v>
      </c>
      <c r="S452" s="157" t="n">
        <f aca="false">6750*40</f>
        <v>270000</v>
      </c>
      <c r="T452" s="158" t="n">
        <f aca="false">S452/1.11</f>
        <v>243243.243243243</v>
      </c>
      <c r="U452" s="159" t="n">
        <v>227632</v>
      </c>
      <c r="V452" s="159" t="n">
        <f aca="false">U452-(U452*11%)</f>
        <v>202592.48</v>
      </c>
      <c r="W452" s="1" t="e">
        <f aca="false">VLOOKUP($G452,#REF!,2,0)</f>
        <v>#VALUE!</v>
      </c>
    </row>
    <row r="453" customFormat="false" ht="22.5" hidden="true" customHeight="true" outlineLevel="0" collapsed="false">
      <c r="A453" s="53"/>
      <c r="B453" s="53"/>
      <c r="C453" s="154" t="n">
        <v>161</v>
      </c>
      <c r="D453" s="154"/>
      <c r="E453" s="155" t="s">
        <v>327</v>
      </c>
      <c r="F453" s="155" t="s">
        <v>310</v>
      </c>
      <c r="G453" s="155" t="s">
        <v>310</v>
      </c>
      <c r="H453" s="154" t="s">
        <v>311</v>
      </c>
      <c r="I453" s="154" t="s">
        <v>311</v>
      </c>
      <c r="J453" s="156" t="n">
        <v>1</v>
      </c>
      <c r="K453" s="154" t="s">
        <v>21</v>
      </c>
      <c r="L453" s="154" t="s">
        <v>26</v>
      </c>
      <c r="M453" s="156" t="n">
        <v>9</v>
      </c>
      <c r="N453" s="154" t="str">
        <f aca="false">IFERROR(VLOOKUP($M453,$M$3:$Q$14,2,0),"")</f>
        <v>In Pcs</v>
      </c>
      <c r="O453" s="154" t="str">
        <f aca="false">IFERROR(VLOOKUP($M453,$M$3:$Q$14,3,0),"")</f>
        <v>Pcs</v>
      </c>
      <c r="P453" s="156" t="n">
        <f aca="false">IFERROR(VLOOKUP($M453,$M$3:$Q$14,4,0),"")</f>
        <v>4</v>
      </c>
      <c r="Q453" s="154" t="str">
        <f aca="false">IFERROR(VLOOKUP($M453,$M$3:$Q$14,5,0),"")</f>
        <v>small</v>
      </c>
      <c r="R453" s="154" t="n">
        <v>40</v>
      </c>
      <c r="S453" s="157" t="n">
        <f aca="false">S452/40</f>
        <v>6750</v>
      </c>
      <c r="T453" s="158" t="n">
        <f aca="false">S453/1.11</f>
        <v>6081.08108108108</v>
      </c>
      <c r="U453" s="159" t="n">
        <v>5690</v>
      </c>
      <c r="V453" s="159" t="n">
        <f aca="false">U453-(U453*11%)</f>
        <v>5064.1</v>
      </c>
      <c r="W453" s="1" t="e">
        <f aca="false">VLOOKUP($G453,#REF!,2,0)</f>
        <v>#VALUE!</v>
      </c>
    </row>
    <row r="454" customFormat="false" ht="22.5" hidden="true" customHeight="true" outlineLevel="0" collapsed="false">
      <c r="A454" s="53"/>
      <c r="B454" s="53"/>
      <c r="C454" s="154" t="n">
        <v>162</v>
      </c>
      <c r="D454" s="154"/>
      <c r="E454" s="155" t="s">
        <v>328</v>
      </c>
      <c r="F454" s="155" t="s">
        <v>310</v>
      </c>
      <c r="G454" s="155" t="s">
        <v>310</v>
      </c>
      <c r="H454" s="154" t="s">
        <v>311</v>
      </c>
      <c r="I454" s="154" t="s">
        <v>311</v>
      </c>
      <c r="J454" s="156" t="n">
        <v>1</v>
      </c>
      <c r="K454" s="154" t="str">
        <f aca="false">IFERROR(VLOOKUP($J454,$J$10:$K$13,2,0),"")</f>
        <v>DISTRIBUTOR</v>
      </c>
      <c r="L454" s="154" t="s">
        <v>26</v>
      </c>
      <c r="M454" s="156" t="n">
        <v>1</v>
      </c>
      <c r="N454" s="154" t="str">
        <f aca="false">IFERROR(VLOOKUP($M454,$M$3:$Q$14,2,0),"")</f>
        <v>In Carton</v>
      </c>
      <c r="O454" s="154" t="str">
        <f aca="false">IFERROR(VLOOKUP($M454,$M$3:$Q$14,3,0),"")</f>
        <v>Carton</v>
      </c>
      <c r="P454" s="156" t="n">
        <f aca="false">IFERROR(VLOOKUP($M454,$M$3:$Q$14,4,0),"")</f>
        <v>1</v>
      </c>
      <c r="Q454" s="154" t="str">
        <f aca="false">IFERROR(VLOOKUP($M454,$M$3:$Q$14,5,0),"")</f>
        <v>large</v>
      </c>
      <c r="R454" s="154" t="n">
        <v>1</v>
      </c>
      <c r="S454" s="157" t="n">
        <f aca="false">6750*40</f>
        <v>270000</v>
      </c>
      <c r="T454" s="158" t="n">
        <f aca="false">S454/1.11</f>
        <v>243243.243243243</v>
      </c>
      <c r="U454" s="159" t="n">
        <v>227632</v>
      </c>
      <c r="V454" s="159" t="n">
        <f aca="false">U454-(U454*11%)</f>
        <v>202592.48</v>
      </c>
      <c r="W454" s="1" t="e">
        <f aca="false">VLOOKUP($G454,#REF!,2,0)</f>
        <v>#VALUE!</v>
      </c>
    </row>
    <row r="455" customFormat="false" ht="22.5" hidden="true" customHeight="true" outlineLevel="0" collapsed="false">
      <c r="A455" s="53"/>
      <c r="B455" s="53"/>
      <c r="C455" s="154" t="n">
        <v>162</v>
      </c>
      <c r="D455" s="154"/>
      <c r="E455" s="155" t="s">
        <v>328</v>
      </c>
      <c r="F455" s="155" t="s">
        <v>310</v>
      </c>
      <c r="G455" s="155" t="s">
        <v>310</v>
      </c>
      <c r="H455" s="154" t="s">
        <v>311</v>
      </c>
      <c r="I455" s="154" t="s">
        <v>311</v>
      </c>
      <c r="J455" s="156" t="n">
        <v>1</v>
      </c>
      <c r="K455" s="154" t="str">
        <f aca="false">IFERROR(VLOOKUP($J455,$J$10:$K$13,2,0),"")</f>
        <v>DISTRIBUTOR</v>
      </c>
      <c r="L455" s="154" t="s">
        <v>26</v>
      </c>
      <c r="M455" s="156" t="n">
        <v>9</v>
      </c>
      <c r="N455" s="154" t="str">
        <f aca="false">IFERROR(VLOOKUP($M455,$M$3:$Q$14,2,0),"")</f>
        <v>In Pcs</v>
      </c>
      <c r="O455" s="154" t="str">
        <f aca="false">IFERROR(VLOOKUP($M455,$M$3:$Q$14,3,0),"")</f>
        <v>Pcs</v>
      </c>
      <c r="P455" s="156" t="n">
        <f aca="false">IFERROR(VLOOKUP($M455,$M$3:$Q$14,4,0),"")</f>
        <v>4</v>
      </c>
      <c r="Q455" s="154" t="str">
        <f aca="false">IFERROR(VLOOKUP($M455,$M$3:$Q$14,5,0),"")</f>
        <v>small</v>
      </c>
      <c r="R455" s="154" t="n">
        <v>40</v>
      </c>
      <c r="S455" s="157" t="n">
        <f aca="false">S454/40</f>
        <v>6750</v>
      </c>
      <c r="T455" s="158" t="n">
        <f aca="false">S455/1.11</f>
        <v>6081.08108108108</v>
      </c>
      <c r="U455" s="159" t="n">
        <v>5690</v>
      </c>
      <c r="V455" s="159" t="n">
        <f aca="false">U455-(U455*11%)</f>
        <v>5064.1</v>
      </c>
      <c r="W455" s="1" t="e">
        <f aca="false">VLOOKUP($G455,#REF!,2,0)</f>
        <v>#VALUE!</v>
      </c>
    </row>
    <row r="456" customFormat="false" ht="22.5" hidden="true" customHeight="true" outlineLevel="0" collapsed="false">
      <c r="A456" s="53"/>
      <c r="B456" s="53"/>
      <c r="C456" s="168" t="n">
        <v>163</v>
      </c>
      <c r="D456" s="168"/>
      <c r="E456" s="169" t="s">
        <v>329</v>
      </c>
      <c r="F456" s="170" t="s">
        <v>330</v>
      </c>
      <c r="G456" s="170" t="s">
        <v>330</v>
      </c>
      <c r="H456" s="168" t="s">
        <v>331</v>
      </c>
      <c r="I456" s="168" t="s">
        <v>331</v>
      </c>
      <c r="J456" s="171" t="n">
        <v>1</v>
      </c>
      <c r="K456" s="168" t="str">
        <f aca="false">IFERROR(VLOOKUP($J456,$J$10:$K$13,2,0),"")</f>
        <v>DISTRIBUTOR</v>
      </c>
      <c r="L456" s="168" t="s">
        <v>26</v>
      </c>
      <c r="M456" s="171" t="n">
        <v>1</v>
      </c>
      <c r="N456" s="168" t="str">
        <f aca="false">IFERROR(VLOOKUP($M456,$M$3:$Q$14,2,0),"")</f>
        <v>In Carton</v>
      </c>
      <c r="O456" s="168" t="str">
        <f aca="false">IFERROR(VLOOKUP($M456,$M$3:$Q$14,3,0),"")</f>
        <v>Carton</v>
      </c>
      <c r="P456" s="171" t="n">
        <f aca="false">IFERROR(VLOOKUP($M456,$M$3:$Q$14,4,0),"")</f>
        <v>1</v>
      </c>
      <c r="Q456" s="168" t="str">
        <f aca="false">IFERROR(VLOOKUP($M456,$M$3:$Q$14,5,0),"")</f>
        <v>large</v>
      </c>
      <c r="R456" s="168" t="n">
        <v>1</v>
      </c>
      <c r="S456" s="172" t="n">
        <f aca="false">18750*4</f>
        <v>75000</v>
      </c>
      <c r="T456" s="173" t="n">
        <f aca="false">S456/1.11</f>
        <v>67567.5675675676</v>
      </c>
      <c r="U456" s="174" t="n">
        <v>67500</v>
      </c>
      <c r="V456" s="174" t="n">
        <f aca="false">U456-(U456*11%)</f>
        <v>60075</v>
      </c>
      <c r="W456" s="1" t="e">
        <f aca="false">VLOOKUP($G456,#REF!,2,0)</f>
        <v>#VALUE!</v>
      </c>
    </row>
    <row r="457" customFormat="false" ht="22.5" hidden="true" customHeight="true" outlineLevel="0" collapsed="false">
      <c r="A457" s="53"/>
      <c r="B457" s="53"/>
      <c r="C457" s="168" t="n">
        <v>163</v>
      </c>
      <c r="D457" s="168"/>
      <c r="E457" s="169" t="s">
        <v>329</v>
      </c>
      <c r="F457" s="170" t="s">
        <v>330</v>
      </c>
      <c r="G457" s="170" t="s">
        <v>330</v>
      </c>
      <c r="H457" s="168" t="s">
        <v>331</v>
      </c>
      <c r="I457" s="168" t="s">
        <v>331</v>
      </c>
      <c r="J457" s="171" t="n">
        <v>1</v>
      </c>
      <c r="K457" s="168" t="str">
        <f aca="false">IFERROR(VLOOKUP($J457,$J$10:$K$13,2,0),"")</f>
        <v>DISTRIBUTOR</v>
      </c>
      <c r="L457" s="168" t="s">
        <v>26</v>
      </c>
      <c r="M457" s="171" t="n">
        <v>5</v>
      </c>
      <c r="N457" s="168" t="str">
        <f aca="false">IFERROR(VLOOKUP($M457,$M$3:$Q$14,2,0),"")</f>
        <v>In Pack</v>
      </c>
      <c r="O457" s="168" t="str">
        <f aca="false">IFERROR(VLOOKUP($M457,$M$3:$Q$14,3,0),"")</f>
        <v>Toples</v>
      </c>
      <c r="P457" s="171" t="n">
        <f aca="false">IFERROR(VLOOKUP($M457,$M$3:$Q$14,4,0),"")</f>
        <v>2</v>
      </c>
      <c r="Q457" s="168" t="n">
        <f aca="false">IFERROR(VLOOKUP($M457,$M$3:$Q$14,5,0),"")</f>
        <v>0</v>
      </c>
      <c r="R457" s="168" t="n">
        <v>4</v>
      </c>
      <c r="S457" s="172" t="n">
        <f aca="false">S456/4</f>
        <v>18750</v>
      </c>
      <c r="T457" s="173" t="n">
        <f aca="false">S457/1.11</f>
        <v>16891.8918918919</v>
      </c>
      <c r="U457" s="174" t="n">
        <v>16875</v>
      </c>
      <c r="V457" s="174" t="n">
        <f aca="false">U457-(U457*11%)</f>
        <v>15018.75</v>
      </c>
      <c r="W457" s="1" t="e">
        <f aca="false">VLOOKUP($G457,#REF!,2,0)</f>
        <v>#VALUE!</v>
      </c>
    </row>
    <row r="458" customFormat="false" ht="22.5" hidden="true" customHeight="true" outlineLevel="0" collapsed="false">
      <c r="A458" s="53"/>
      <c r="B458" s="53"/>
      <c r="C458" s="168" t="n">
        <v>163</v>
      </c>
      <c r="D458" s="168"/>
      <c r="E458" s="169" t="s">
        <v>329</v>
      </c>
      <c r="F458" s="170" t="s">
        <v>330</v>
      </c>
      <c r="G458" s="170" t="s">
        <v>330</v>
      </c>
      <c r="H458" s="168" t="s">
        <v>331</v>
      </c>
      <c r="I458" s="168" t="s">
        <v>331</v>
      </c>
      <c r="J458" s="171" t="n">
        <v>1</v>
      </c>
      <c r="K458" s="168" t="str">
        <f aca="false">IFERROR(VLOOKUP($J458,$J$10:$K$13,2,0),"")</f>
        <v>DISTRIBUTOR</v>
      </c>
      <c r="L458" s="168" t="s">
        <v>26</v>
      </c>
      <c r="M458" s="171" t="n">
        <v>9</v>
      </c>
      <c r="N458" s="168" t="str">
        <f aca="false">IFERROR(VLOOKUP($M458,$M$3:$Q$14,2,0),"")</f>
        <v>In Pcs</v>
      </c>
      <c r="O458" s="168" t="str">
        <f aca="false">IFERROR(VLOOKUP($M458,$M$3:$Q$14,3,0),"")</f>
        <v>Pcs</v>
      </c>
      <c r="P458" s="171" t="n">
        <f aca="false">IFERROR(VLOOKUP($M458,$M$3:$Q$14,4,0),"")</f>
        <v>4</v>
      </c>
      <c r="Q458" s="168" t="str">
        <f aca="false">IFERROR(VLOOKUP($M458,$M$3:$Q$14,5,0),"")</f>
        <v>small</v>
      </c>
      <c r="R458" s="168" t="n">
        <v>200</v>
      </c>
      <c r="S458" s="172" t="n">
        <f aca="false">S457/50</f>
        <v>375</v>
      </c>
      <c r="T458" s="173" t="n">
        <f aca="false">S458/1.11</f>
        <v>337.837837837838</v>
      </c>
      <c r="U458" s="174" t="n">
        <v>337</v>
      </c>
      <c r="V458" s="174" t="n">
        <f aca="false">U458-(U458*11%)</f>
        <v>299.93</v>
      </c>
      <c r="W458" s="1" t="e">
        <f aca="false">VLOOKUP($G458,#REF!,2,0)</f>
        <v>#VALUE!</v>
      </c>
    </row>
    <row r="459" customFormat="false" ht="22.5" hidden="true" customHeight="true" outlineLevel="0" collapsed="false">
      <c r="A459" s="53"/>
      <c r="B459" s="53"/>
      <c r="C459" s="168" t="n">
        <v>164</v>
      </c>
      <c r="D459" s="168"/>
      <c r="E459" s="169" t="s">
        <v>332</v>
      </c>
      <c r="F459" s="170" t="s">
        <v>330</v>
      </c>
      <c r="G459" s="170" t="s">
        <v>330</v>
      </c>
      <c r="H459" s="168" t="s">
        <v>331</v>
      </c>
      <c r="I459" s="168" t="s">
        <v>331</v>
      </c>
      <c r="J459" s="171" t="n">
        <v>1</v>
      </c>
      <c r="K459" s="168" t="str">
        <f aca="false">IFERROR(VLOOKUP($J459,$J$10:$K$13,2,0),"")</f>
        <v>DISTRIBUTOR</v>
      </c>
      <c r="L459" s="168" t="s">
        <v>26</v>
      </c>
      <c r="M459" s="171" t="n">
        <v>1</v>
      </c>
      <c r="N459" s="168" t="str">
        <f aca="false">IFERROR(VLOOKUP($M459,$M$3:$Q$14,2,0),"")</f>
        <v>In Carton</v>
      </c>
      <c r="O459" s="168" t="str">
        <f aca="false">IFERROR(VLOOKUP($M459,$M$3:$Q$14,3,0),"")</f>
        <v>Carton</v>
      </c>
      <c r="P459" s="171" t="n">
        <f aca="false">IFERROR(VLOOKUP($M459,$M$3:$Q$14,4,0),"")</f>
        <v>1</v>
      </c>
      <c r="Q459" s="168" t="str">
        <f aca="false">IFERROR(VLOOKUP($M459,$M$3:$Q$14,5,0),"")</f>
        <v>large</v>
      </c>
      <c r="R459" s="168" t="n">
        <v>1</v>
      </c>
      <c r="S459" s="172" t="n">
        <f aca="false">14400*6</f>
        <v>86400</v>
      </c>
      <c r="T459" s="173" t="n">
        <f aca="false">S459/1.11</f>
        <v>77837.8378378378</v>
      </c>
      <c r="U459" s="174" t="n">
        <v>77760</v>
      </c>
      <c r="V459" s="174" t="n">
        <f aca="false">U459-(U459*11%)</f>
        <v>69206.4</v>
      </c>
      <c r="W459" s="1" t="e">
        <f aca="false">VLOOKUP($G459,#REF!,2,0)</f>
        <v>#VALUE!</v>
      </c>
    </row>
    <row r="460" customFormat="false" ht="22.5" hidden="true" customHeight="true" outlineLevel="0" collapsed="false">
      <c r="A460" s="53"/>
      <c r="B460" s="53"/>
      <c r="C460" s="168" t="n">
        <v>164</v>
      </c>
      <c r="D460" s="168"/>
      <c r="E460" s="169" t="s">
        <v>332</v>
      </c>
      <c r="F460" s="170" t="s">
        <v>330</v>
      </c>
      <c r="G460" s="170" t="s">
        <v>330</v>
      </c>
      <c r="H460" s="168" t="s">
        <v>331</v>
      </c>
      <c r="I460" s="168" t="s">
        <v>331</v>
      </c>
      <c r="J460" s="171" t="n">
        <v>1</v>
      </c>
      <c r="K460" s="168" t="str">
        <f aca="false">IFERROR(VLOOKUP($J460,$J$10:$K$13,2,0),"")</f>
        <v>DISTRIBUTOR</v>
      </c>
      <c r="L460" s="168" t="s">
        <v>26</v>
      </c>
      <c r="M460" s="171" t="n">
        <v>3</v>
      </c>
      <c r="N460" s="168" t="str">
        <f aca="false">IFERROR(VLOOKUP($M460,$M$3:$Q$14,2,0),"")</f>
        <v>In Pack</v>
      </c>
      <c r="O460" s="168" t="str">
        <f aca="false">IFERROR(VLOOKUP($M460,$M$3:$Q$14,3,0),"")</f>
        <v>Pack</v>
      </c>
      <c r="P460" s="171" t="n">
        <f aca="false">IFERROR(VLOOKUP($M460,$M$3:$Q$14,4,0),"")</f>
        <v>2</v>
      </c>
      <c r="Q460" s="168" t="n">
        <f aca="false">IFERROR(VLOOKUP($M460,$M$3:$Q$14,5,0),"")</f>
        <v>0</v>
      </c>
      <c r="R460" s="168" t="n">
        <v>6</v>
      </c>
      <c r="S460" s="172" t="n">
        <f aca="false">S459/6</f>
        <v>14400</v>
      </c>
      <c r="T460" s="173" t="n">
        <f aca="false">S460/1.11</f>
        <v>12972.972972973</v>
      </c>
      <c r="U460" s="174" t="n">
        <v>12960</v>
      </c>
      <c r="V460" s="174" t="n">
        <f aca="false">U460-(U460*11%)</f>
        <v>11534.4</v>
      </c>
      <c r="W460" s="1" t="e">
        <f aca="false">VLOOKUP($G460,#REF!,2,0)</f>
        <v>#VALUE!</v>
      </c>
    </row>
    <row r="461" customFormat="false" ht="22.5" hidden="true" customHeight="true" outlineLevel="0" collapsed="false">
      <c r="A461" s="53"/>
      <c r="B461" s="53"/>
      <c r="C461" s="168" t="n">
        <v>164</v>
      </c>
      <c r="D461" s="168"/>
      <c r="E461" s="169" t="s">
        <v>332</v>
      </c>
      <c r="F461" s="170" t="s">
        <v>330</v>
      </c>
      <c r="G461" s="170" t="s">
        <v>330</v>
      </c>
      <c r="H461" s="168" t="s">
        <v>331</v>
      </c>
      <c r="I461" s="168" t="s">
        <v>331</v>
      </c>
      <c r="J461" s="171" t="n">
        <v>1</v>
      </c>
      <c r="K461" s="168" t="str">
        <f aca="false">IFERROR(VLOOKUP($J461,$J$10:$K$13,2,0),"")</f>
        <v>DISTRIBUTOR</v>
      </c>
      <c r="L461" s="168" t="s">
        <v>26</v>
      </c>
      <c r="M461" s="171" t="n">
        <v>9</v>
      </c>
      <c r="N461" s="168" t="str">
        <f aca="false">IFERROR(VLOOKUP($M461,$M$3:$Q$14,2,0),"")</f>
        <v>In Pcs</v>
      </c>
      <c r="O461" s="168" t="str">
        <f aca="false">IFERROR(VLOOKUP($M461,$M$3:$Q$14,3,0),"")</f>
        <v>Pcs</v>
      </c>
      <c r="P461" s="171" t="n">
        <f aca="false">IFERROR(VLOOKUP($M461,$M$3:$Q$14,4,0),"")</f>
        <v>4</v>
      </c>
      <c r="Q461" s="168" t="str">
        <f aca="false">IFERROR(VLOOKUP($M461,$M$3:$Q$14,5,0),"")</f>
        <v>small</v>
      </c>
      <c r="R461" s="168" t="n">
        <v>240</v>
      </c>
      <c r="S461" s="172" t="n">
        <f aca="false">S460/40</f>
        <v>360</v>
      </c>
      <c r="T461" s="173" t="n">
        <f aca="false">S461/1.11</f>
        <v>324.324324324324</v>
      </c>
      <c r="U461" s="174" t="n">
        <v>324</v>
      </c>
      <c r="V461" s="174" t="n">
        <f aca="false">U461-(U461*11%)</f>
        <v>288.36</v>
      </c>
      <c r="W461" s="1" t="e">
        <f aca="false">VLOOKUP($G461,#REF!,2,0)</f>
        <v>#VALUE!</v>
      </c>
    </row>
    <row r="462" customFormat="false" ht="22.5" hidden="true" customHeight="true" outlineLevel="0" collapsed="false">
      <c r="A462" s="53"/>
      <c r="B462" s="53"/>
      <c r="C462" s="168" t="n">
        <v>165</v>
      </c>
      <c r="D462" s="168"/>
      <c r="E462" s="169" t="s">
        <v>333</v>
      </c>
      <c r="F462" s="170" t="s">
        <v>330</v>
      </c>
      <c r="G462" s="170" t="s">
        <v>330</v>
      </c>
      <c r="H462" s="168" t="s">
        <v>331</v>
      </c>
      <c r="I462" s="168" t="s">
        <v>331</v>
      </c>
      <c r="J462" s="171" t="n">
        <v>1</v>
      </c>
      <c r="K462" s="168" t="str">
        <f aca="false">IFERROR(VLOOKUP($J462,$J$10:$K$13,2,0),"")</f>
        <v>DISTRIBUTOR</v>
      </c>
      <c r="L462" s="168" t="s">
        <v>26</v>
      </c>
      <c r="M462" s="171" t="n">
        <v>1</v>
      </c>
      <c r="N462" s="168" t="str">
        <f aca="false">IFERROR(VLOOKUP($M462,$M$3:$Q$14,2,0),"")</f>
        <v>In Carton</v>
      </c>
      <c r="O462" s="168" t="str">
        <f aca="false">IFERROR(VLOOKUP($M462,$M$3:$Q$14,3,0),"")</f>
        <v>Carton</v>
      </c>
      <c r="P462" s="171" t="n">
        <f aca="false">IFERROR(VLOOKUP($M462,$M$3:$Q$14,4,0),"")</f>
        <v>1</v>
      </c>
      <c r="Q462" s="168" t="str">
        <f aca="false">IFERROR(VLOOKUP($M462,$M$3:$Q$14,5,0),"")</f>
        <v>large</v>
      </c>
      <c r="R462" s="168" t="n">
        <v>1</v>
      </c>
      <c r="S462" s="172" t="n">
        <f aca="false">14000*6</f>
        <v>84000</v>
      </c>
      <c r="T462" s="173" t="n">
        <f aca="false">S462/1.11</f>
        <v>75675.6756756757</v>
      </c>
      <c r="U462" s="174" t="n">
        <v>75600</v>
      </c>
      <c r="V462" s="174" t="n">
        <f aca="false">U462-(U462*11%)</f>
        <v>67284</v>
      </c>
      <c r="W462" s="1" t="e">
        <f aca="false">VLOOKUP($G462,#REF!,2,0)</f>
        <v>#VALUE!</v>
      </c>
    </row>
    <row r="463" customFormat="false" ht="22.5" hidden="true" customHeight="true" outlineLevel="0" collapsed="false">
      <c r="A463" s="53"/>
      <c r="B463" s="53"/>
      <c r="C463" s="168" t="n">
        <v>165</v>
      </c>
      <c r="D463" s="168"/>
      <c r="E463" s="169" t="s">
        <v>333</v>
      </c>
      <c r="F463" s="170" t="s">
        <v>330</v>
      </c>
      <c r="G463" s="170" t="s">
        <v>330</v>
      </c>
      <c r="H463" s="168" t="s">
        <v>331</v>
      </c>
      <c r="I463" s="168" t="s">
        <v>331</v>
      </c>
      <c r="J463" s="171" t="n">
        <v>1</v>
      </c>
      <c r="K463" s="168" t="str">
        <f aca="false">IFERROR(VLOOKUP($J463,$J$10:$K$13,2,0),"")</f>
        <v>DISTRIBUTOR</v>
      </c>
      <c r="L463" s="168" t="s">
        <v>26</v>
      </c>
      <c r="M463" s="171" t="n">
        <v>3</v>
      </c>
      <c r="N463" s="168" t="str">
        <f aca="false">IFERROR(VLOOKUP($M463,$M$3:$Q$14,2,0),"")</f>
        <v>In Pack</v>
      </c>
      <c r="O463" s="168" t="str">
        <f aca="false">IFERROR(VLOOKUP($M463,$M$3:$Q$14,3,0),"")</f>
        <v>Pack</v>
      </c>
      <c r="P463" s="171" t="n">
        <f aca="false">IFERROR(VLOOKUP($M463,$M$3:$Q$14,4,0),"")</f>
        <v>2</v>
      </c>
      <c r="Q463" s="168" t="n">
        <f aca="false">IFERROR(VLOOKUP($M463,$M$3:$Q$14,5,0),"")</f>
        <v>0</v>
      </c>
      <c r="R463" s="168" t="n">
        <v>6</v>
      </c>
      <c r="S463" s="172" t="n">
        <f aca="false">S462/6</f>
        <v>14000</v>
      </c>
      <c r="T463" s="173" t="n">
        <f aca="false">S463/1.11</f>
        <v>12612.6126126126</v>
      </c>
      <c r="U463" s="174" t="n">
        <v>12600</v>
      </c>
      <c r="V463" s="174" t="n">
        <f aca="false">U463-(U463*11%)</f>
        <v>11214</v>
      </c>
      <c r="W463" s="1" t="e">
        <f aca="false">VLOOKUP($G463,#REF!,2,0)</f>
        <v>#VALUE!</v>
      </c>
    </row>
    <row r="464" customFormat="false" ht="22.5" hidden="true" customHeight="true" outlineLevel="0" collapsed="false">
      <c r="A464" s="53"/>
      <c r="B464" s="53"/>
      <c r="C464" s="168" t="n">
        <v>165</v>
      </c>
      <c r="D464" s="168"/>
      <c r="E464" s="169" t="s">
        <v>333</v>
      </c>
      <c r="F464" s="170" t="s">
        <v>330</v>
      </c>
      <c r="G464" s="170" t="s">
        <v>330</v>
      </c>
      <c r="H464" s="168" t="s">
        <v>331</v>
      </c>
      <c r="I464" s="168" t="s">
        <v>331</v>
      </c>
      <c r="J464" s="171" t="n">
        <v>1</v>
      </c>
      <c r="K464" s="168" t="str">
        <f aca="false">IFERROR(VLOOKUP($J464,$J$10:$K$13,2,0),"")</f>
        <v>DISTRIBUTOR</v>
      </c>
      <c r="L464" s="168" t="s">
        <v>26</v>
      </c>
      <c r="M464" s="171" t="n">
        <v>9</v>
      </c>
      <c r="N464" s="168" t="str">
        <f aca="false">IFERROR(VLOOKUP($M464,$M$3:$Q$14,2,0),"")</f>
        <v>In Pcs</v>
      </c>
      <c r="O464" s="168" t="str">
        <f aca="false">IFERROR(VLOOKUP($M464,$M$3:$Q$14,3,0),"")</f>
        <v>Pcs</v>
      </c>
      <c r="P464" s="171" t="n">
        <f aca="false">IFERROR(VLOOKUP($M464,$M$3:$Q$14,4,0),"")</f>
        <v>4</v>
      </c>
      <c r="Q464" s="168" t="str">
        <f aca="false">IFERROR(VLOOKUP($M464,$M$3:$Q$14,5,0),"")</f>
        <v>small</v>
      </c>
      <c r="R464" s="168" t="n">
        <v>120</v>
      </c>
      <c r="S464" s="172" t="n">
        <f aca="false">S463/20</f>
        <v>700</v>
      </c>
      <c r="T464" s="173" t="n">
        <f aca="false">S464/1.11</f>
        <v>630.630630630631</v>
      </c>
      <c r="U464" s="174" t="n">
        <v>630</v>
      </c>
      <c r="V464" s="174" t="n">
        <f aca="false">U464-(U464*11%)</f>
        <v>560.7</v>
      </c>
      <c r="W464" s="1" t="e">
        <f aca="false">VLOOKUP($G464,#REF!,2,0)</f>
        <v>#VALUE!</v>
      </c>
    </row>
    <row r="465" customFormat="false" ht="22.5" hidden="true" customHeight="true" outlineLevel="0" collapsed="false">
      <c r="A465" s="53"/>
      <c r="B465" s="53"/>
      <c r="C465" s="168" t="n">
        <v>166</v>
      </c>
      <c r="D465" s="168"/>
      <c r="E465" s="169" t="s">
        <v>334</v>
      </c>
      <c r="F465" s="170" t="s">
        <v>330</v>
      </c>
      <c r="G465" s="170" t="s">
        <v>330</v>
      </c>
      <c r="H465" s="168" t="s">
        <v>331</v>
      </c>
      <c r="I465" s="168" t="s">
        <v>331</v>
      </c>
      <c r="J465" s="171" t="n">
        <v>1</v>
      </c>
      <c r="K465" s="168" t="str">
        <f aca="false">IFERROR(VLOOKUP($J465,$J$10:$K$13,2,0),"")</f>
        <v>DISTRIBUTOR</v>
      </c>
      <c r="L465" s="168" t="s">
        <v>26</v>
      </c>
      <c r="M465" s="171" t="n">
        <v>1</v>
      </c>
      <c r="N465" s="168" t="str">
        <f aca="false">IFERROR(VLOOKUP($M465,$M$3:$Q$14,2,0),"")</f>
        <v>In Carton</v>
      </c>
      <c r="O465" s="168" t="str">
        <f aca="false">IFERROR(VLOOKUP($M465,$M$3:$Q$14,3,0),"")</f>
        <v>Carton</v>
      </c>
      <c r="P465" s="171" t="n">
        <f aca="false">IFERROR(VLOOKUP($M465,$M$3:$Q$14,4,0),"")</f>
        <v>1</v>
      </c>
      <c r="Q465" s="168" t="str">
        <f aca="false">IFERROR(VLOOKUP($M465,$M$3:$Q$14,5,0),"")</f>
        <v>large</v>
      </c>
      <c r="R465" s="168" t="n">
        <v>1</v>
      </c>
      <c r="S465" s="172" t="n">
        <f aca="false">14000*6</f>
        <v>84000</v>
      </c>
      <c r="T465" s="173" t="n">
        <f aca="false">S465/1.11</f>
        <v>75675.6756756757</v>
      </c>
      <c r="U465" s="174" t="n">
        <v>75600</v>
      </c>
      <c r="V465" s="174" t="n">
        <f aca="false">U465-(U465*11%)</f>
        <v>67284</v>
      </c>
      <c r="W465" s="1" t="e">
        <f aca="false">VLOOKUP($G465,#REF!,2,0)</f>
        <v>#VALUE!</v>
      </c>
    </row>
    <row r="466" customFormat="false" ht="22.5" hidden="true" customHeight="true" outlineLevel="0" collapsed="false">
      <c r="A466" s="53"/>
      <c r="B466" s="53"/>
      <c r="C466" s="168" t="n">
        <v>166</v>
      </c>
      <c r="D466" s="168"/>
      <c r="E466" s="169" t="s">
        <v>334</v>
      </c>
      <c r="F466" s="170" t="s">
        <v>330</v>
      </c>
      <c r="G466" s="170" t="s">
        <v>330</v>
      </c>
      <c r="H466" s="168" t="s">
        <v>331</v>
      </c>
      <c r="I466" s="168" t="s">
        <v>331</v>
      </c>
      <c r="J466" s="171" t="n">
        <v>1</v>
      </c>
      <c r="K466" s="168" t="str">
        <f aca="false">IFERROR(VLOOKUP($J466,$J$10:$K$13,2,0),"")</f>
        <v>DISTRIBUTOR</v>
      </c>
      <c r="L466" s="168" t="s">
        <v>26</v>
      </c>
      <c r="M466" s="171" t="n">
        <v>4</v>
      </c>
      <c r="N466" s="168" t="str">
        <f aca="false">IFERROR(VLOOKUP($M466,$M$3:$Q$14,2,0),"")</f>
        <v>In Pack</v>
      </c>
      <c r="O466" s="168" t="str">
        <f aca="false">IFERROR(VLOOKUP($M466,$M$3:$Q$14,3,0),"")</f>
        <v>Box</v>
      </c>
      <c r="P466" s="171" t="n">
        <f aca="false">IFERROR(VLOOKUP($M466,$M$3:$Q$14,4,0),"")</f>
        <v>2</v>
      </c>
      <c r="Q466" s="168" t="n">
        <f aca="false">IFERROR(VLOOKUP($M466,$M$3:$Q$14,5,0),"")</f>
        <v>0</v>
      </c>
      <c r="R466" s="168" t="n">
        <v>6</v>
      </c>
      <c r="S466" s="172" t="n">
        <f aca="false">S465/6</f>
        <v>14000</v>
      </c>
      <c r="T466" s="173" t="n">
        <f aca="false">S466/1.11</f>
        <v>12612.6126126126</v>
      </c>
      <c r="U466" s="174" t="n">
        <v>12600</v>
      </c>
      <c r="V466" s="174" t="n">
        <f aca="false">U466-(U466*11%)</f>
        <v>11214</v>
      </c>
      <c r="W466" s="1" t="e">
        <f aca="false">VLOOKUP($G466,#REF!,2,0)</f>
        <v>#VALUE!</v>
      </c>
    </row>
    <row r="467" customFormat="false" ht="22.5" hidden="true" customHeight="true" outlineLevel="0" collapsed="false">
      <c r="A467" s="53"/>
      <c r="B467" s="53"/>
      <c r="C467" s="168" t="n">
        <v>166</v>
      </c>
      <c r="D467" s="168"/>
      <c r="E467" s="169" t="s">
        <v>334</v>
      </c>
      <c r="F467" s="170" t="s">
        <v>330</v>
      </c>
      <c r="G467" s="170" t="s">
        <v>330</v>
      </c>
      <c r="H467" s="168" t="s">
        <v>331</v>
      </c>
      <c r="I467" s="168" t="s">
        <v>331</v>
      </c>
      <c r="J467" s="171" t="n">
        <v>1</v>
      </c>
      <c r="K467" s="168" t="str">
        <f aca="false">IFERROR(VLOOKUP($J467,$J$10:$K$13,2,0),"")</f>
        <v>DISTRIBUTOR</v>
      </c>
      <c r="L467" s="168" t="s">
        <v>26</v>
      </c>
      <c r="M467" s="171" t="n">
        <v>9</v>
      </c>
      <c r="N467" s="168" t="str">
        <f aca="false">IFERROR(VLOOKUP($M467,$M$3:$Q$14,2,0),"")</f>
        <v>In Pcs</v>
      </c>
      <c r="O467" s="168" t="str">
        <f aca="false">IFERROR(VLOOKUP($M467,$M$3:$Q$14,3,0),"")</f>
        <v>Pcs</v>
      </c>
      <c r="P467" s="171" t="n">
        <f aca="false">IFERROR(VLOOKUP($M467,$M$3:$Q$14,4,0),"")</f>
        <v>4</v>
      </c>
      <c r="Q467" s="168" t="str">
        <f aca="false">IFERROR(VLOOKUP($M467,$M$3:$Q$14,5,0),"")</f>
        <v>small</v>
      </c>
      <c r="R467" s="168" t="n">
        <v>120</v>
      </c>
      <c r="S467" s="172" t="n">
        <f aca="false">S466/20</f>
        <v>700</v>
      </c>
      <c r="T467" s="173" t="n">
        <f aca="false">S467/1.11</f>
        <v>630.630630630631</v>
      </c>
      <c r="U467" s="174" t="n">
        <v>630</v>
      </c>
      <c r="V467" s="174" t="n">
        <f aca="false">U467-(U467*11%)</f>
        <v>560.7</v>
      </c>
      <c r="W467" s="1" t="e">
        <f aca="false">VLOOKUP($G467,#REF!,2,0)</f>
        <v>#VALUE!</v>
      </c>
    </row>
    <row r="468" customFormat="false" ht="22.5" hidden="true" customHeight="true" outlineLevel="0" collapsed="false">
      <c r="A468" s="53"/>
      <c r="B468" s="53"/>
      <c r="C468" s="168" t="n">
        <v>167</v>
      </c>
      <c r="D468" s="168"/>
      <c r="E468" s="169" t="s">
        <v>335</v>
      </c>
      <c r="F468" s="170" t="s">
        <v>330</v>
      </c>
      <c r="G468" s="170" t="s">
        <v>330</v>
      </c>
      <c r="H468" s="168" t="s">
        <v>331</v>
      </c>
      <c r="I468" s="168" t="s">
        <v>331</v>
      </c>
      <c r="J468" s="171" t="n">
        <v>1</v>
      </c>
      <c r="K468" s="168" t="str">
        <f aca="false">IFERROR(VLOOKUP($J468,$J$10:$K$13,2,0),"")</f>
        <v>DISTRIBUTOR</v>
      </c>
      <c r="L468" s="168" t="s">
        <v>26</v>
      </c>
      <c r="M468" s="171" t="n">
        <v>1</v>
      </c>
      <c r="N468" s="168" t="str">
        <f aca="false">IFERROR(VLOOKUP($M468,$M$3:$Q$14,2,0),"")</f>
        <v>In Carton</v>
      </c>
      <c r="O468" s="168" t="str">
        <f aca="false">IFERROR(VLOOKUP($M468,$M$3:$Q$14,3,0),"")</f>
        <v>Carton</v>
      </c>
      <c r="P468" s="171" t="n">
        <f aca="false">IFERROR(VLOOKUP($M468,$M$3:$Q$14,4,0),"")</f>
        <v>1</v>
      </c>
      <c r="Q468" s="168" t="str">
        <f aca="false">IFERROR(VLOOKUP($M468,$M$3:$Q$14,5,0),"")</f>
        <v>large</v>
      </c>
      <c r="R468" s="168" t="n">
        <v>1</v>
      </c>
      <c r="S468" s="172" t="n">
        <f aca="false">12000*6</f>
        <v>72000</v>
      </c>
      <c r="T468" s="173" t="n">
        <f aca="false">S468/1.11</f>
        <v>64864.8648648649</v>
      </c>
      <c r="U468" s="174" t="n">
        <v>75600</v>
      </c>
      <c r="V468" s="174" t="n">
        <f aca="false">U468-(U468*11%)</f>
        <v>67284</v>
      </c>
      <c r="W468" s="1" t="e">
        <f aca="false">VLOOKUP($G468,#REF!,2,0)</f>
        <v>#VALUE!</v>
      </c>
    </row>
    <row r="469" customFormat="false" ht="22.5" hidden="true" customHeight="true" outlineLevel="0" collapsed="false">
      <c r="A469" s="53"/>
      <c r="B469" s="53"/>
      <c r="C469" s="168" t="n">
        <v>167</v>
      </c>
      <c r="D469" s="168"/>
      <c r="E469" s="169" t="s">
        <v>335</v>
      </c>
      <c r="F469" s="170" t="s">
        <v>330</v>
      </c>
      <c r="G469" s="170" t="s">
        <v>330</v>
      </c>
      <c r="H469" s="168" t="s">
        <v>331</v>
      </c>
      <c r="I469" s="168" t="s">
        <v>331</v>
      </c>
      <c r="J469" s="171" t="n">
        <v>1</v>
      </c>
      <c r="K469" s="168" t="str">
        <f aca="false">IFERROR(VLOOKUP($J469,$J$10:$K$13,2,0),"")</f>
        <v>DISTRIBUTOR</v>
      </c>
      <c r="L469" s="168" t="s">
        <v>26</v>
      </c>
      <c r="M469" s="171" t="n">
        <v>5</v>
      </c>
      <c r="N469" s="168" t="str">
        <f aca="false">IFERROR(VLOOKUP($M469,$M$3:$Q$14,2,0),"")</f>
        <v>In Pack</v>
      </c>
      <c r="O469" s="168" t="str">
        <f aca="false">IFERROR(VLOOKUP($M469,$M$3:$Q$14,3,0),"")</f>
        <v>Toples</v>
      </c>
      <c r="P469" s="171" t="n">
        <f aca="false">IFERROR(VLOOKUP($M469,$M$3:$Q$14,4,0),"")</f>
        <v>2</v>
      </c>
      <c r="Q469" s="168" t="n">
        <f aca="false">IFERROR(VLOOKUP($M469,$M$3:$Q$14,5,0),"")</f>
        <v>0</v>
      </c>
      <c r="R469" s="168" t="n">
        <v>6</v>
      </c>
      <c r="S469" s="172" t="n">
        <f aca="false">S468/6</f>
        <v>12000</v>
      </c>
      <c r="T469" s="173" t="n">
        <f aca="false">S469/1.11</f>
        <v>10810.8108108108</v>
      </c>
      <c r="U469" s="174" t="n">
        <v>12600</v>
      </c>
      <c r="V469" s="174" t="n">
        <f aca="false">U469-(U469*11%)</f>
        <v>11214</v>
      </c>
      <c r="W469" s="1" t="e">
        <f aca="false">VLOOKUP($G469,#REF!,2,0)</f>
        <v>#VALUE!</v>
      </c>
    </row>
    <row r="470" customFormat="false" ht="22.5" hidden="true" customHeight="true" outlineLevel="0" collapsed="false">
      <c r="A470" s="53"/>
      <c r="B470" s="53"/>
      <c r="C470" s="168" t="n">
        <v>167</v>
      </c>
      <c r="D470" s="168"/>
      <c r="E470" s="169" t="s">
        <v>335</v>
      </c>
      <c r="F470" s="170" t="s">
        <v>330</v>
      </c>
      <c r="G470" s="170" t="s">
        <v>330</v>
      </c>
      <c r="H470" s="168" t="s">
        <v>331</v>
      </c>
      <c r="I470" s="168" t="s">
        <v>331</v>
      </c>
      <c r="J470" s="171" t="n">
        <v>1</v>
      </c>
      <c r="K470" s="168" t="str">
        <f aca="false">IFERROR(VLOOKUP($J470,$J$10:$K$13,2,0),"")</f>
        <v>DISTRIBUTOR</v>
      </c>
      <c r="L470" s="168" t="s">
        <v>26</v>
      </c>
      <c r="M470" s="171" t="n">
        <v>9</v>
      </c>
      <c r="N470" s="168" t="str">
        <f aca="false">IFERROR(VLOOKUP($M470,$M$3:$Q$14,2,0),"")</f>
        <v>In Pcs</v>
      </c>
      <c r="O470" s="168" t="str">
        <f aca="false">IFERROR(VLOOKUP($M470,$M$3:$Q$14,3,0),"")</f>
        <v>Pcs</v>
      </c>
      <c r="P470" s="171" t="n">
        <f aca="false">IFERROR(VLOOKUP($M470,$M$3:$Q$14,4,0),"")</f>
        <v>4</v>
      </c>
      <c r="Q470" s="168" t="str">
        <f aca="false">IFERROR(VLOOKUP($M470,$M$3:$Q$14,5,0),"")</f>
        <v>small</v>
      </c>
      <c r="R470" s="168" t="n">
        <v>120</v>
      </c>
      <c r="S470" s="172" t="n">
        <f aca="false">S469/20</f>
        <v>600</v>
      </c>
      <c r="T470" s="173" t="n">
        <f aca="false">S470/1.11</f>
        <v>540.540540540541</v>
      </c>
      <c r="U470" s="174" t="n">
        <v>630</v>
      </c>
      <c r="V470" s="174" t="n">
        <f aca="false">U470-(U470*11%)</f>
        <v>560.7</v>
      </c>
      <c r="W470" s="1" t="e">
        <f aca="false">VLOOKUP($G470,#REF!,2,0)</f>
        <v>#VALUE!</v>
      </c>
    </row>
    <row r="471" customFormat="false" ht="22.5" hidden="true" customHeight="true" outlineLevel="0" collapsed="false">
      <c r="A471" s="53"/>
      <c r="B471" s="53"/>
      <c r="C471" s="168" t="n">
        <v>168</v>
      </c>
      <c r="D471" s="168"/>
      <c r="E471" s="169" t="s">
        <v>336</v>
      </c>
      <c r="F471" s="170" t="s">
        <v>330</v>
      </c>
      <c r="G471" s="170" t="s">
        <v>330</v>
      </c>
      <c r="H471" s="168" t="s">
        <v>331</v>
      </c>
      <c r="I471" s="168" t="s">
        <v>331</v>
      </c>
      <c r="J471" s="171" t="n">
        <v>1</v>
      </c>
      <c r="K471" s="168" t="str">
        <f aca="false">IFERROR(VLOOKUP($J471,$J$10:$K$13,2,0),"")</f>
        <v>DISTRIBUTOR</v>
      </c>
      <c r="L471" s="168" t="s">
        <v>26</v>
      </c>
      <c r="M471" s="171" t="n">
        <v>1</v>
      </c>
      <c r="N471" s="168" t="str">
        <f aca="false">IFERROR(VLOOKUP($M471,$M$3:$Q$14,2,0),"")</f>
        <v>In Carton</v>
      </c>
      <c r="O471" s="168" t="str">
        <f aca="false">IFERROR(VLOOKUP($M471,$M$3:$Q$14,3,0),"")</f>
        <v>Carton</v>
      </c>
      <c r="P471" s="171" t="n">
        <f aca="false">IFERROR(VLOOKUP($M471,$M$3:$Q$14,4,0),"")</f>
        <v>1</v>
      </c>
      <c r="Q471" s="168" t="str">
        <f aca="false">IFERROR(VLOOKUP($M471,$M$3:$Q$14,5,0),"")</f>
        <v>large</v>
      </c>
      <c r="R471" s="168" t="n">
        <v>1</v>
      </c>
      <c r="S471" s="172" t="n">
        <f aca="false">14000*6</f>
        <v>84000</v>
      </c>
      <c r="T471" s="173" t="n">
        <f aca="false">S471/1.11</f>
        <v>75675.6756756757</v>
      </c>
      <c r="U471" s="174" t="n">
        <v>75600</v>
      </c>
      <c r="V471" s="174" t="n">
        <f aca="false">U471-(U471*11%)</f>
        <v>67284</v>
      </c>
      <c r="W471" s="1" t="e">
        <f aca="false">VLOOKUP($G471,#REF!,2,0)</f>
        <v>#VALUE!</v>
      </c>
    </row>
    <row r="472" customFormat="false" ht="22.5" hidden="true" customHeight="true" outlineLevel="0" collapsed="false">
      <c r="A472" s="53"/>
      <c r="B472" s="53"/>
      <c r="C472" s="168" t="n">
        <v>168</v>
      </c>
      <c r="D472" s="168"/>
      <c r="E472" s="169" t="s">
        <v>336</v>
      </c>
      <c r="F472" s="170" t="s">
        <v>330</v>
      </c>
      <c r="G472" s="170" t="s">
        <v>330</v>
      </c>
      <c r="H472" s="168" t="s">
        <v>331</v>
      </c>
      <c r="I472" s="168" t="s">
        <v>331</v>
      </c>
      <c r="J472" s="171" t="n">
        <v>1</v>
      </c>
      <c r="K472" s="168" t="str">
        <f aca="false">IFERROR(VLOOKUP($J472,$J$10:$K$13,2,0),"")</f>
        <v>DISTRIBUTOR</v>
      </c>
      <c r="L472" s="168" t="s">
        <v>26</v>
      </c>
      <c r="M472" s="171" t="n">
        <v>4</v>
      </c>
      <c r="N472" s="168" t="str">
        <f aca="false">IFERROR(VLOOKUP($M472,$M$3:$Q$14,2,0),"")</f>
        <v>In Pack</v>
      </c>
      <c r="O472" s="168" t="str">
        <f aca="false">IFERROR(VLOOKUP($M472,$M$3:$Q$14,3,0),"")</f>
        <v>Box</v>
      </c>
      <c r="P472" s="171" t="n">
        <f aca="false">IFERROR(VLOOKUP($M472,$M$3:$Q$14,4,0),"")</f>
        <v>2</v>
      </c>
      <c r="Q472" s="168" t="n">
        <f aca="false">IFERROR(VLOOKUP($M472,$M$3:$Q$14,5,0),"")</f>
        <v>0</v>
      </c>
      <c r="R472" s="168" t="n">
        <v>6</v>
      </c>
      <c r="S472" s="172" t="n">
        <f aca="false">S471/6</f>
        <v>14000</v>
      </c>
      <c r="T472" s="173" t="n">
        <f aca="false">S472/1.11</f>
        <v>12612.6126126126</v>
      </c>
      <c r="U472" s="174" t="n">
        <v>12600</v>
      </c>
      <c r="V472" s="174" t="n">
        <f aca="false">U472-(U472*11%)</f>
        <v>11214</v>
      </c>
      <c r="W472" s="1" t="e">
        <f aca="false">VLOOKUP($G472,#REF!,2,0)</f>
        <v>#VALUE!</v>
      </c>
    </row>
    <row r="473" customFormat="false" ht="22.5" hidden="true" customHeight="true" outlineLevel="0" collapsed="false">
      <c r="A473" s="53"/>
      <c r="B473" s="53"/>
      <c r="C473" s="168" t="n">
        <v>168</v>
      </c>
      <c r="D473" s="168"/>
      <c r="E473" s="169" t="s">
        <v>336</v>
      </c>
      <c r="F473" s="170" t="s">
        <v>330</v>
      </c>
      <c r="G473" s="170" t="s">
        <v>330</v>
      </c>
      <c r="H473" s="168" t="s">
        <v>331</v>
      </c>
      <c r="I473" s="168" t="s">
        <v>331</v>
      </c>
      <c r="J473" s="171" t="n">
        <v>1</v>
      </c>
      <c r="K473" s="168" t="str">
        <f aca="false">IFERROR(VLOOKUP($J473,$J$10:$K$13,2,0),"")</f>
        <v>DISTRIBUTOR</v>
      </c>
      <c r="L473" s="168" t="s">
        <v>26</v>
      </c>
      <c r="M473" s="171" t="n">
        <v>9</v>
      </c>
      <c r="N473" s="168" t="str">
        <f aca="false">IFERROR(VLOOKUP($M473,$M$3:$Q$14,2,0),"")</f>
        <v>In Pcs</v>
      </c>
      <c r="O473" s="168" t="str">
        <f aca="false">IFERROR(VLOOKUP($M473,$M$3:$Q$14,3,0),"")</f>
        <v>Pcs</v>
      </c>
      <c r="P473" s="171" t="n">
        <f aca="false">IFERROR(VLOOKUP($M473,$M$3:$Q$14,4,0),"")</f>
        <v>4</v>
      </c>
      <c r="Q473" s="168" t="str">
        <f aca="false">IFERROR(VLOOKUP($M473,$M$3:$Q$14,5,0),"")</f>
        <v>small</v>
      </c>
      <c r="R473" s="168" t="n">
        <v>120</v>
      </c>
      <c r="S473" s="172" t="n">
        <f aca="false">S472/20</f>
        <v>700</v>
      </c>
      <c r="T473" s="173" t="n">
        <f aca="false">S473/1.11</f>
        <v>630.630630630631</v>
      </c>
      <c r="U473" s="174" t="n">
        <v>630</v>
      </c>
      <c r="V473" s="174" t="n">
        <f aca="false">U473-(U473*11%)</f>
        <v>560.7</v>
      </c>
      <c r="W473" s="1" t="e">
        <f aca="false">VLOOKUP($G473,#REF!,2,0)</f>
        <v>#VALUE!</v>
      </c>
    </row>
    <row r="474" customFormat="false" ht="22.5" hidden="true" customHeight="true" outlineLevel="0" collapsed="false">
      <c r="A474" s="53"/>
      <c r="B474" s="53"/>
      <c r="C474" s="168" t="n">
        <v>169</v>
      </c>
      <c r="D474" s="168"/>
      <c r="E474" s="169" t="s">
        <v>337</v>
      </c>
      <c r="F474" s="170" t="s">
        <v>330</v>
      </c>
      <c r="G474" s="170" t="s">
        <v>330</v>
      </c>
      <c r="H474" s="168" t="s">
        <v>331</v>
      </c>
      <c r="I474" s="168" t="s">
        <v>331</v>
      </c>
      <c r="J474" s="171" t="n">
        <v>1</v>
      </c>
      <c r="K474" s="168" t="str">
        <f aca="false">IFERROR(VLOOKUP($J474,$J$10:$K$13,2,0),"")</f>
        <v>DISTRIBUTOR</v>
      </c>
      <c r="L474" s="168" t="s">
        <v>26</v>
      </c>
      <c r="M474" s="171" t="n">
        <v>1</v>
      </c>
      <c r="N474" s="168" t="str">
        <f aca="false">IFERROR(VLOOKUP($M474,$M$3:$Q$14,2,0),"")</f>
        <v>In Carton</v>
      </c>
      <c r="O474" s="168" t="str">
        <f aca="false">IFERROR(VLOOKUP($M474,$M$3:$Q$14,3,0),"")</f>
        <v>Carton</v>
      </c>
      <c r="P474" s="171" t="n">
        <f aca="false">IFERROR(VLOOKUP($M474,$M$3:$Q$14,4,0),"")</f>
        <v>1</v>
      </c>
      <c r="Q474" s="168" t="str">
        <f aca="false">IFERROR(VLOOKUP($M474,$M$3:$Q$14,5,0),"")</f>
        <v>large</v>
      </c>
      <c r="R474" s="168" t="n">
        <v>1</v>
      </c>
      <c r="S474" s="172" t="n">
        <f aca="false">14000*6</f>
        <v>84000</v>
      </c>
      <c r="T474" s="173" t="n">
        <f aca="false">S474/1.11</f>
        <v>75675.6756756757</v>
      </c>
      <c r="U474" s="174" t="n">
        <v>75600</v>
      </c>
      <c r="V474" s="174" t="n">
        <f aca="false">U474-(U474*11%)</f>
        <v>67284</v>
      </c>
      <c r="W474" s="1" t="e">
        <f aca="false">VLOOKUP($G474,#REF!,2,0)</f>
        <v>#VALUE!</v>
      </c>
    </row>
    <row r="475" customFormat="false" ht="22.5" hidden="true" customHeight="true" outlineLevel="0" collapsed="false">
      <c r="A475" s="53"/>
      <c r="B475" s="53"/>
      <c r="C475" s="168" t="n">
        <v>169</v>
      </c>
      <c r="D475" s="168"/>
      <c r="E475" s="169" t="s">
        <v>337</v>
      </c>
      <c r="F475" s="170" t="s">
        <v>330</v>
      </c>
      <c r="G475" s="170" t="s">
        <v>330</v>
      </c>
      <c r="H475" s="168" t="s">
        <v>331</v>
      </c>
      <c r="I475" s="168" t="s">
        <v>331</v>
      </c>
      <c r="J475" s="171" t="n">
        <v>1</v>
      </c>
      <c r="K475" s="168" t="str">
        <f aca="false">IFERROR(VLOOKUP($J475,$J$10:$K$13,2,0),"")</f>
        <v>DISTRIBUTOR</v>
      </c>
      <c r="L475" s="168" t="s">
        <v>26</v>
      </c>
      <c r="M475" s="171" t="n">
        <v>4</v>
      </c>
      <c r="N475" s="168" t="str">
        <f aca="false">IFERROR(VLOOKUP($M475,$M$3:$Q$14,2,0),"")</f>
        <v>In Pack</v>
      </c>
      <c r="O475" s="168" t="str">
        <f aca="false">IFERROR(VLOOKUP($M475,$M$3:$Q$14,3,0),"")</f>
        <v>Box</v>
      </c>
      <c r="P475" s="171" t="n">
        <f aca="false">IFERROR(VLOOKUP($M475,$M$3:$Q$14,4,0),"")</f>
        <v>2</v>
      </c>
      <c r="Q475" s="168" t="n">
        <f aca="false">IFERROR(VLOOKUP($M475,$M$3:$Q$14,5,0),"")</f>
        <v>0</v>
      </c>
      <c r="R475" s="168" t="n">
        <v>6</v>
      </c>
      <c r="S475" s="172" t="n">
        <f aca="false">S474/6</f>
        <v>14000</v>
      </c>
      <c r="T475" s="173" t="n">
        <f aca="false">S475/1.11</f>
        <v>12612.6126126126</v>
      </c>
      <c r="U475" s="174" t="n">
        <v>12600</v>
      </c>
      <c r="V475" s="174" t="n">
        <f aca="false">U475-(U475*11%)</f>
        <v>11214</v>
      </c>
      <c r="W475" s="1" t="e">
        <f aca="false">VLOOKUP($G475,#REF!,2,0)</f>
        <v>#VALUE!</v>
      </c>
    </row>
    <row r="476" customFormat="false" ht="22.5" hidden="true" customHeight="true" outlineLevel="0" collapsed="false">
      <c r="A476" s="53"/>
      <c r="B476" s="53"/>
      <c r="C476" s="168" t="n">
        <v>169</v>
      </c>
      <c r="D476" s="168"/>
      <c r="E476" s="169" t="s">
        <v>337</v>
      </c>
      <c r="F476" s="170" t="s">
        <v>330</v>
      </c>
      <c r="G476" s="170" t="s">
        <v>330</v>
      </c>
      <c r="H476" s="168" t="s">
        <v>331</v>
      </c>
      <c r="I476" s="168" t="s">
        <v>331</v>
      </c>
      <c r="J476" s="171" t="n">
        <v>1</v>
      </c>
      <c r="K476" s="168" t="str">
        <f aca="false">IFERROR(VLOOKUP($J476,$J$10:$K$13,2,0),"")</f>
        <v>DISTRIBUTOR</v>
      </c>
      <c r="L476" s="168" t="s">
        <v>26</v>
      </c>
      <c r="M476" s="171" t="n">
        <v>9</v>
      </c>
      <c r="N476" s="168" t="str">
        <f aca="false">IFERROR(VLOOKUP($M476,$M$3:$Q$14,2,0),"")</f>
        <v>In Pcs</v>
      </c>
      <c r="O476" s="168" t="str">
        <f aca="false">IFERROR(VLOOKUP($M476,$M$3:$Q$14,3,0),"")</f>
        <v>Pcs</v>
      </c>
      <c r="P476" s="171" t="n">
        <f aca="false">IFERROR(VLOOKUP($M476,$M$3:$Q$14,4,0),"")</f>
        <v>4</v>
      </c>
      <c r="Q476" s="168" t="str">
        <f aca="false">IFERROR(VLOOKUP($M476,$M$3:$Q$14,5,0),"")</f>
        <v>small</v>
      </c>
      <c r="R476" s="168" t="n">
        <v>120</v>
      </c>
      <c r="S476" s="172" t="n">
        <f aca="false">S475/20</f>
        <v>700</v>
      </c>
      <c r="T476" s="173" t="n">
        <f aca="false">S476/1.11</f>
        <v>630.630630630631</v>
      </c>
      <c r="U476" s="174" t="n">
        <v>630</v>
      </c>
      <c r="V476" s="174" t="n">
        <f aca="false">U476-(U476*11%)</f>
        <v>560.7</v>
      </c>
      <c r="W476" s="1" t="e">
        <f aca="false">VLOOKUP($G476,#REF!,2,0)</f>
        <v>#VALUE!</v>
      </c>
    </row>
    <row r="477" customFormat="false" ht="22.5" hidden="true" customHeight="true" outlineLevel="0" collapsed="false">
      <c r="A477" s="53"/>
      <c r="B477" s="53"/>
      <c r="C477" s="175" t="n">
        <v>170</v>
      </c>
      <c r="D477" s="175"/>
      <c r="E477" s="176" t="s">
        <v>338</v>
      </c>
      <c r="F477" s="176" t="s">
        <v>339</v>
      </c>
      <c r="G477" s="176" t="s">
        <v>339</v>
      </c>
      <c r="H477" s="176" t="s">
        <v>90</v>
      </c>
      <c r="I477" s="176" t="s">
        <v>90</v>
      </c>
      <c r="J477" s="177" t="n">
        <v>2</v>
      </c>
      <c r="K477" s="175" t="str">
        <f aca="false">IFERROR(VLOOKUP($J477,$J$10:$K$13,2,0),"")</f>
        <v>SUB DISTRIBUTOR</v>
      </c>
      <c r="L477" s="175" t="s">
        <v>26</v>
      </c>
      <c r="M477" s="177" t="n">
        <v>1</v>
      </c>
      <c r="N477" s="175" t="str">
        <f aca="false">IFERROR(VLOOKUP($M477,$M$3:$Q$14,2,0),"")</f>
        <v>In Carton</v>
      </c>
      <c r="O477" s="175" t="str">
        <f aca="false">IFERROR(VLOOKUP($M477,$M$3:$Q$14,3,0),"")</f>
        <v>Carton</v>
      </c>
      <c r="P477" s="177" t="n">
        <f aca="false">IFERROR(VLOOKUP($M477,$M$3:$Q$14,4,0),"")</f>
        <v>1</v>
      </c>
      <c r="Q477" s="175" t="str">
        <f aca="false">IFERROR(VLOOKUP($M477,$M$3:$Q$14,5,0),"")</f>
        <v>large</v>
      </c>
      <c r="R477" s="175" t="n">
        <v>1</v>
      </c>
      <c r="S477" s="178" t="n">
        <f aca="false">260000*4</f>
        <v>1040000</v>
      </c>
      <c r="T477" s="179" t="n">
        <f aca="false">S477/1.11</f>
        <v>936936.936936937</v>
      </c>
      <c r="U477" s="153" t="n">
        <f aca="false">V477+(V477*11%)</f>
        <v>249989.76</v>
      </c>
      <c r="V477" s="180" t="n">
        <v>225216</v>
      </c>
      <c r="W477" s="1" t="e">
        <f aca="false">VLOOKUP($G477,#REF!,2,0)</f>
        <v>#VALUE!</v>
      </c>
    </row>
    <row r="478" customFormat="false" ht="22.5" hidden="true" customHeight="true" outlineLevel="0" collapsed="false">
      <c r="A478" s="53"/>
      <c r="B478" s="53"/>
      <c r="C478" s="175" t="n">
        <v>170</v>
      </c>
      <c r="D478" s="175"/>
      <c r="E478" s="176" t="s">
        <v>338</v>
      </c>
      <c r="F478" s="176" t="s">
        <v>339</v>
      </c>
      <c r="G478" s="176" t="s">
        <v>339</v>
      </c>
      <c r="H478" s="176" t="s">
        <v>90</v>
      </c>
      <c r="I478" s="176" t="s">
        <v>90</v>
      </c>
      <c r="J478" s="177" t="n">
        <v>2</v>
      </c>
      <c r="K478" s="175" t="str">
        <f aca="false">IFERROR(VLOOKUP($J478,$J$10:$K$13,2,0),"")</f>
        <v>SUB DISTRIBUTOR</v>
      </c>
      <c r="L478" s="175" t="s">
        <v>26</v>
      </c>
      <c r="M478" s="177" t="n">
        <v>4</v>
      </c>
      <c r="N478" s="175" t="str">
        <f aca="false">IFERROR(VLOOKUP($M478,$M$3:$Q$14,2,0),"")</f>
        <v>In Pack</v>
      </c>
      <c r="O478" s="175" t="str">
        <f aca="false">IFERROR(VLOOKUP($M478,$M$3:$Q$14,3,0),"")</f>
        <v>Box</v>
      </c>
      <c r="P478" s="177" t="n">
        <f aca="false">IFERROR(VLOOKUP($M478,$M$3:$Q$14,4,0),"")</f>
        <v>2</v>
      </c>
      <c r="Q478" s="175" t="n">
        <f aca="false">IFERROR(VLOOKUP($M478,$M$3:$Q$14,5,0),"")</f>
        <v>0</v>
      </c>
      <c r="R478" s="175" t="n">
        <v>4</v>
      </c>
      <c r="S478" s="178" t="n">
        <f aca="false">S477/4</f>
        <v>260000</v>
      </c>
      <c r="T478" s="179" t="n">
        <f aca="false">S478/1.11</f>
        <v>234234.234234234</v>
      </c>
      <c r="U478" s="153" t="n">
        <f aca="false">V478+(V478*11%)</f>
        <v>62497.44</v>
      </c>
      <c r="V478" s="180" t="n">
        <v>56304</v>
      </c>
      <c r="W478" s="1" t="e">
        <f aca="false">VLOOKUP($G478,#REF!,2,0)</f>
        <v>#VALUE!</v>
      </c>
    </row>
    <row r="479" customFormat="false" ht="22.5" hidden="true" customHeight="true" outlineLevel="0" collapsed="false">
      <c r="A479" s="53"/>
      <c r="B479" s="53"/>
      <c r="C479" s="175" t="n">
        <v>170</v>
      </c>
      <c r="D479" s="175"/>
      <c r="E479" s="176" t="s">
        <v>338</v>
      </c>
      <c r="F479" s="176" t="s">
        <v>339</v>
      </c>
      <c r="G479" s="176" t="s">
        <v>339</v>
      </c>
      <c r="H479" s="176" t="s">
        <v>90</v>
      </c>
      <c r="I479" s="176" t="s">
        <v>90</v>
      </c>
      <c r="J479" s="177" t="n">
        <v>2</v>
      </c>
      <c r="K479" s="175" t="str">
        <f aca="false">IFERROR(VLOOKUP($J479,$J$10:$K$13,2,0),"")</f>
        <v>SUB DISTRIBUTOR</v>
      </c>
      <c r="L479" s="175" t="s">
        <v>26</v>
      </c>
      <c r="M479" s="177" t="n">
        <v>9</v>
      </c>
      <c r="N479" s="175" t="str">
        <f aca="false">IFERROR(VLOOKUP($M479,$M$3:$Q$14,2,0),"")</f>
        <v>In Pcs</v>
      </c>
      <c r="O479" s="175" t="str">
        <f aca="false">IFERROR(VLOOKUP($M479,$M$3:$Q$14,3,0),"")</f>
        <v>Pcs</v>
      </c>
      <c r="P479" s="177" t="n">
        <f aca="false">IFERROR(VLOOKUP($M479,$M$3:$Q$14,4,0),"")</f>
        <v>4</v>
      </c>
      <c r="Q479" s="175" t="str">
        <f aca="false">IFERROR(VLOOKUP($M479,$M$3:$Q$14,5,0),"")</f>
        <v>small</v>
      </c>
      <c r="R479" s="175" t="n">
        <v>144</v>
      </c>
      <c r="S479" s="178" t="n">
        <f aca="false">S478/36</f>
        <v>7222.22222222222</v>
      </c>
      <c r="T479" s="179" t="n">
        <f aca="false">S479/1.11</f>
        <v>6506.50650650651</v>
      </c>
      <c r="U479" s="153" t="n">
        <f aca="false">V479+(V479*11%)</f>
        <v>1736.04</v>
      </c>
      <c r="V479" s="180" t="n">
        <v>1564</v>
      </c>
      <c r="W479" s="1" t="e">
        <f aca="false">VLOOKUP($G479,#REF!,2,0)</f>
        <v>#VALUE!</v>
      </c>
    </row>
    <row r="480" customFormat="false" ht="13.5" hidden="true" customHeight="false" outlineLevel="0" collapsed="false">
      <c r="A480" s="53"/>
      <c r="B480" s="53"/>
      <c r="C480" s="123" t="n">
        <v>171</v>
      </c>
      <c r="D480" s="123"/>
      <c r="E480" s="181" t="s">
        <v>340</v>
      </c>
      <c r="F480" s="181" t="s">
        <v>341</v>
      </c>
      <c r="G480" s="181" t="s">
        <v>341</v>
      </c>
      <c r="H480" s="181" t="s">
        <v>90</v>
      </c>
      <c r="I480" s="181" t="s">
        <v>90</v>
      </c>
      <c r="J480" s="124" t="n">
        <v>2</v>
      </c>
      <c r="K480" s="123" t="str">
        <f aca="false">IFERROR(VLOOKUP($J480,$J$10:$K$13,2,0),"")</f>
        <v>SUB DISTRIBUTOR</v>
      </c>
      <c r="L480" s="123" t="s">
        <v>26</v>
      </c>
      <c r="M480" s="124" t="n">
        <v>1</v>
      </c>
      <c r="N480" s="123" t="str">
        <f aca="false">IFERROR(VLOOKUP($M480,$M$3:$Q$14,2,0),"")</f>
        <v>In Carton</v>
      </c>
      <c r="O480" s="123" t="str">
        <f aca="false">IFERROR(VLOOKUP($M480,$M$3:$Q$14,3,0),"")</f>
        <v>Carton</v>
      </c>
      <c r="P480" s="124" t="n">
        <f aca="false">IFERROR(VLOOKUP($M480,$M$3:$Q$14,4,0),"")</f>
        <v>1</v>
      </c>
      <c r="Q480" s="123" t="str">
        <f aca="false">IFERROR(VLOOKUP($M480,$M$3:$Q$14,5,0),"")</f>
        <v>large</v>
      </c>
      <c r="R480" s="123" t="n">
        <v>1</v>
      </c>
      <c r="S480" s="125" t="n">
        <f aca="false">25530*12</f>
        <v>306360</v>
      </c>
      <c r="T480" s="126" t="n">
        <f aca="false">S480/1.11</f>
        <v>276000</v>
      </c>
      <c r="U480" s="153" t="n">
        <f aca="false">V480+(V480*11%)</f>
        <v>223030.08</v>
      </c>
      <c r="V480" s="127" t="n">
        <v>200928</v>
      </c>
      <c r="W480" s="1" t="e">
        <f aca="false">VLOOKUP($G480,#REF!,2,0)</f>
        <v>#VALUE!</v>
      </c>
    </row>
    <row r="481" customFormat="false" ht="13.5" hidden="true" customHeight="false" outlineLevel="0" collapsed="false">
      <c r="A481" s="53"/>
      <c r="B481" s="53"/>
      <c r="C481" s="123" t="n">
        <v>171</v>
      </c>
      <c r="D481" s="123"/>
      <c r="E481" s="181" t="s">
        <v>340</v>
      </c>
      <c r="F481" s="181" t="s">
        <v>341</v>
      </c>
      <c r="G481" s="181" t="s">
        <v>341</v>
      </c>
      <c r="H481" s="181" t="s">
        <v>90</v>
      </c>
      <c r="I481" s="181" t="s">
        <v>90</v>
      </c>
      <c r="J481" s="124" t="n">
        <v>2</v>
      </c>
      <c r="K481" s="123" t="str">
        <f aca="false">IFERROR(VLOOKUP($J481,$J$10:$K$13,2,0),"")</f>
        <v>SUB DISTRIBUTOR</v>
      </c>
      <c r="L481" s="123" t="s">
        <v>26</v>
      </c>
      <c r="M481" s="124" t="n">
        <v>8</v>
      </c>
      <c r="N481" s="123" t="str">
        <f aca="false">IFERROR(VLOOKUP($M481,$M$3:$Q$14,2,0),"")</f>
        <v>In Renceng</v>
      </c>
      <c r="O481" s="123" t="str">
        <f aca="false">IFERROR(VLOOKUP($M481,$M$3:$Q$14,3,0),"")</f>
        <v>Renceng</v>
      </c>
      <c r="P481" s="124" t="n">
        <f aca="false">IFERROR(VLOOKUP($M481,$M$3:$Q$14,4,0),"")</f>
        <v>3</v>
      </c>
      <c r="Q481" s="123" t="n">
        <f aca="false">IFERROR(VLOOKUP($M481,$M$3:$Q$14,5,0),"")</f>
        <v>0</v>
      </c>
      <c r="R481" s="123" t="n">
        <v>12</v>
      </c>
      <c r="S481" s="125" t="n">
        <f aca="false">S480/12</f>
        <v>25530</v>
      </c>
      <c r="T481" s="126" t="n">
        <f aca="false">S481/1.11</f>
        <v>23000</v>
      </c>
      <c r="U481" s="153" t="n">
        <f aca="false">V481+(V481*11%)</f>
        <v>18585.84</v>
      </c>
      <c r="V481" s="127" t="n">
        <v>16744</v>
      </c>
      <c r="W481" s="1" t="e">
        <f aca="false">VLOOKUP($G481,#REF!,2,0)</f>
        <v>#VALUE!</v>
      </c>
    </row>
    <row r="482" customFormat="false" ht="13.5" hidden="true" customHeight="false" outlineLevel="0" collapsed="false">
      <c r="A482" s="53"/>
      <c r="B482" s="53"/>
      <c r="C482" s="123" t="n">
        <v>171</v>
      </c>
      <c r="D482" s="123"/>
      <c r="E482" s="181" t="s">
        <v>340</v>
      </c>
      <c r="F482" s="181" t="s">
        <v>341</v>
      </c>
      <c r="G482" s="181" t="s">
        <v>341</v>
      </c>
      <c r="H482" s="181" t="s">
        <v>90</v>
      </c>
      <c r="I482" s="181" t="s">
        <v>90</v>
      </c>
      <c r="J482" s="124" t="n">
        <v>2</v>
      </c>
      <c r="K482" s="123" t="str">
        <f aca="false">IFERROR(VLOOKUP($J482,$J$10:$K$13,2,0),"")</f>
        <v>SUB DISTRIBUTOR</v>
      </c>
      <c r="L482" s="123" t="s">
        <v>26</v>
      </c>
      <c r="M482" s="124" t="n">
        <v>9</v>
      </c>
      <c r="N482" s="123" t="str">
        <f aca="false">IFERROR(VLOOKUP($M482,$M$3:$Q$14,2,0),"")</f>
        <v>In Pcs</v>
      </c>
      <c r="O482" s="123" t="str">
        <f aca="false">IFERROR(VLOOKUP($M482,$M$3:$Q$14,3,0),"")</f>
        <v>Pcs</v>
      </c>
      <c r="P482" s="124" t="n">
        <f aca="false">IFERROR(VLOOKUP($M482,$M$3:$Q$14,4,0),"")</f>
        <v>4</v>
      </c>
      <c r="Q482" s="123" t="str">
        <f aca="false">IFERROR(VLOOKUP($M482,$M$3:$Q$14,5,0),"")</f>
        <v>small</v>
      </c>
      <c r="R482" s="123" t="n">
        <v>120</v>
      </c>
      <c r="S482" s="125" t="n">
        <f aca="false">S481/10</f>
        <v>2553</v>
      </c>
      <c r="T482" s="126" t="n">
        <f aca="false">S482/1.11</f>
        <v>2300</v>
      </c>
      <c r="U482" s="153" t="n">
        <f aca="false">V482+(V482*11%)</f>
        <v>1858.14</v>
      </c>
      <c r="V482" s="127" t="n">
        <v>1674</v>
      </c>
      <c r="W482" s="1" t="e">
        <f aca="false">VLOOKUP($G482,#REF!,2,0)</f>
        <v>#VALUE!</v>
      </c>
    </row>
    <row r="483" customFormat="false" ht="13.5" hidden="true" customHeight="false" outlineLevel="0" collapsed="false">
      <c r="A483" s="53"/>
      <c r="B483" s="53"/>
      <c r="C483" s="123" t="n">
        <v>172</v>
      </c>
      <c r="D483" s="123"/>
      <c r="E483" s="181" t="s">
        <v>342</v>
      </c>
      <c r="F483" s="181" t="s">
        <v>341</v>
      </c>
      <c r="G483" s="181" t="s">
        <v>341</v>
      </c>
      <c r="H483" s="181" t="s">
        <v>90</v>
      </c>
      <c r="I483" s="181" t="s">
        <v>90</v>
      </c>
      <c r="J483" s="124" t="n">
        <v>2</v>
      </c>
      <c r="K483" s="123" t="str">
        <f aca="false">IFERROR(VLOOKUP($J483,$J$10:$K$13,2,0),"")</f>
        <v>SUB DISTRIBUTOR</v>
      </c>
      <c r="L483" s="123" t="s">
        <v>26</v>
      </c>
      <c r="M483" s="124" t="n">
        <v>1</v>
      </c>
      <c r="N483" s="123" t="str">
        <f aca="false">IFERROR(VLOOKUP($M483,$M$3:$Q$14,2,0),"")</f>
        <v>In Carton</v>
      </c>
      <c r="O483" s="123" t="str">
        <f aca="false">IFERROR(VLOOKUP($M483,$M$3:$Q$14,3,0),"")</f>
        <v>Carton</v>
      </c>
      <c r="P483" s="124" t="n">
        <f aca="false">IFERROR(VLOOKUP($M483,$M$3:$Q$14,4,0),"")</f>
        <v>1</v>
      </c>
      <c r="Q483" s="123" t="str">
        <f aca="false">IFERROR(VLOOKUP($M483,$M$3:$Q$14,5,0),"")</f>
        <v>large</v>
      </c>
      <c r="R483" s="123" t="n">
        <v>1</v>
      </c>
      <c r="S483" s="125" t="n">
        <f aca="false">51100*6</f>
        <v>306600</v>
      </c>
      <c r="T483" s="126" t="n">
        <f aca="false">S483/1.11</f>
        <v>276216.216216216</v>
      </c>
      <c r="U483" s="153" t="n">
        <f aca="false">V483+(V483*11%)</f>
        <v>223030.08</v>
      </c>
      <c r="V483" s="127" t="n">
        <v>200928</v>
      </c>
      <c r="W483" s="1" t="e">
        <f aca="false">VLOOKUP($G483,#REF!,2,0)</f>
        <v>#VALUE!</v>
      </c>
    </row>
    <row r="484" customFormat="false" ht="13.5" hidden="true" customHeight="false" outlineLevel="0" collapsed="false">
      <c r="A484" s="53"/>
      <c r="B484" s="53"/>
      <c r="C484" s="123" t="n">
        <v>172</v>
      </c>
      <c r="D484" s="123"/>
      <c r="E484" s="181" t="s">
        <v>342</v>
      </c>
      <c r="F484" s="181" t="s">
        <v>341</v>
      </c>
      <c r="G484" s="181" t="s">
        <v>341</v>
      </c>
      <c r="H484" s="181" t="s">
        <v>90</v>
      </c>
      <c r="I484" s="181" t="s">
        <v>90</v>
      </c>
      <c r="J484" s="124" t="n">
        <v>2</v>
      </c>
      <c r="K484" s="123" t="str">
        <f aca="false">IFERROR(VLOOKUP($J484,$J$10:$K$13,2,0),"")</f>
        <v>SUB DISTRIBUTOR</v>
      </c>
      <c r="L484" s="123" t="s">
        <v>26</v>
      </c>
      <c r="M484" s="124" t="n">
        <v>4</v>
      </c>
      <c r="N484" s="123" t="str">
        <f aca="false">IFERROR(VLOOKUP($M484,$M$3:$Q$14,2,0),"")</f>
        <v>In Pack</v>
      </c>
      <c r="O484" s="123" t="str">
        <f aca="false">IFERROR(VLOOKUP($M484,$M$3:$Q$14,3,0),"")</f>
        <v>Box</v>
      </c>
      <c r="P484" s="124" t="n">
        <f aca="false">IFERROR(VLOOKUP($M484,$M$3:$Q$14,4,0),"")</f>
        <v>2</v>
      </c>
      <c r="Q484" s="123" t="n">
        <f aca="false">IFERROR(VLOOKUP($M484,$M$3:$Q$14,5,0),"")</f>
        <v>0</v>
      </c>
      <c r="R484" s="123" t="n">
        <v>6</v>
      </c>
      <c r="S484" s="125" t="n">
        <f aca="false">S483/6</f>
        <v>51100</v>
      </c>
      <c r="T484" s="126" t="n">
        <f aca="false">S484/1.11</f>
        <v>46036.036036036</v>
      </c>
      <c r="U484" s="153" t="n">
        <f aca="false">V484+(V484*11%)</f>
        <v>37171.68</v>
      </c>
      <c r="V484" s="127" t="n">
        <v>33488</v>
      </c>
      <c r="W484" s="1" t="e">
        <f aca="false">VLOOKUP($G484,#REF!,2,0)</f>
        <v>#VALUE!</v>
      </c>
    </row>
    <row r="485" customFormat="false" ht="13.5" hidden="true" customHeight="false" outlineLevel="0" collapsed="false">
      <c r="A485" s="53"/>
      <c r="B485" s="53"/>
      <c r="C485" s="123" t="n">
        <v>172</v>
      </c>
      <c r="D485" s="123"/>
      <c r="E485" s="181" t="s">
        <v>342</v>
      </c>
      <c r="F485" s="181" t="s">
        <v>341</v>
      </c>
      <c r="G485" s="181" t="s">
        <v>341</v>
      </c>
      <c r="H485" s="181" t="s">
        <v>90</v>
      </c>
      <c r="I485" s="181" t="s">
        <v>90</v>
      </c>
      <c r="J485" s="124" t="n">
        <v>2</v>
      </c>
      <c r="K485" s="123" t="str">
        <f aca="false">IFERROR(VLOOKUP($J485,$J$10:$K$13,2,0),"")</f>
        <v>SUB DISTRIBUTOR</v>
      </c>
      <c r="L485" s="123" t="s">
        <v>26</v>
      </c>
      <c r="M485" s="124" t="n">
        <v>9</v>
      </c>
      <c r="N485" s="123" t="str">
        <f aca="false">IFERROR(VLOOKUP($M485,$M$3:$Q$14,2,0),"")</f>
        <v>In Pcs</v>
      </c>
      <c r="O485" s="123" t="str">
        <f aca="false">IFERROR(VLOOKUP($M485,$M$3:$Q$14,3,0),"")</f>
        <v>Pcs</v>
      </c>
      <c r="P485" s="124" t="n">
        <f aca="false">IFERROR(VLOOKUP($M485,$M$3:$Q$14,4,0),"")</f>
        <v>4</v>
      </c>
      <c r="Q485" s="123" t="str">
        <f aca="false">IFERROR(VLOOKUP($M485,$M$3:$Q$14,5,0),"")</f>
        <v>small</v>
      </c>
      <c r="R485" s="123" t="n">
        <v>120</v>
      </c>
      <c r="S485" s="125" t="n">
        <f aca="false">S484/20</f>
        <v>2555</v>
      </c>
      <c r="T485" s="126" t="n">
        <f aca="false">S485/1.11</f>
        <v>2301.8018018018</v>
      </c>
      <c r="U485" s="153" t="n">
        <f aca="false">V485+(V485*11%)</f>
        <v>3716.28</v>
      </c>
      <c r="V485" s="127" t="n">
        <v>3348</v>
      </c>
      <c r="W485" s="1" t="e">
        <f aca="false">VLOOKUP($G485,#REF!,2,0)</f>
        <v>#VALUE!</v>
      </c>
    </row>
    <row r="486" customFormat="false" ht="13.5" hidden="true" customHeight="false" outlineLevel="0" collapsed="false">
      <c r="A486" s="53"/>
      <c r="B486" s="53"/>
      <c r="C486" s="123" t="n">
        <v>173</v>
      </c>
      <c r="D486" s="123"/>
      <c r="E486" s="181" t="s">
        <v>343</v>
      </c>
      <c r="F486" s="181" t="s">
        <v>341</v>
      </c>
      <c r="G486" s="181" t="s">
        <v>341</v>
      </c>
      <c r="H486" s="181" t="s">
        <v>90</v>
      </c>
      <c r="I486" s="181" t="s">
        <v>90</v>
      </c>
      <c r="J486" s="124" t="n">
        <v>2</v>
      </c>
      <c r="K486" s="123" t="str">
        <f aca="false">IFERROR(VLOOKUP($J486,$J$10:$K$13,2,0),"")</f>
        <v>SUB DISTRIBUTOR</v>
      </c>
      <c r="L486" s="123" t="s">
        <v>26</v>
      </c>
      <c r="M486" s="124" t="n">
        <v>1</v>
      </c>
      <c r="N486" s="123" t="str">
        <f aca="false">IFERROR(VLOOKUP($M486,$M$3:$Q$14,2,0),"")</f>
        <v>In Carton</v>
      </c>
      <c r="O486" s="123" t="str">
        <f aca="false">IFERROR(VLOOKUP($M486,$M$3:$Q$14,3,0),"")</f>
        <v>Carton</v>
      </c>
      <c r="P486" s="124" t="n">
        <f aca="false">IFERROR(VLOOKUP($M486,$M$3:$Q$14,4,0),"")</f>
        <v>1</v>
      </c>
      <c r="Q486" s="123" t="str">
        <f aca="false">IFERROR(VLOOKUP($M486,$M$3:$Q$14,5,0),"")</f>
        <v>large</v>
      </c>
      <c r="R486" s="123" t="n">
        <v>1</v>
      </c>
      <c r="S486" s="125" t="n">
        <f aca="false">42624*6</f>
        <v>255744</v>
      </c>
      <c r="T486" s="126" t="n">
        <f aca="false">S486/1.11</f>
        <v>230400</v>
      </c>
      <c r="U486" s="153" t="n">
        <f aca="false">V486+(V486*11%)</f>
        <v>116363.52</v>
      </c>
      <c r="V486" s="127" t="n">
        <v>104832</v>
      </c>
      <c r="W486" s="1" t="e">
        <f aca="false">VLOOKUP($G486,#REF!,2,0)</f>
        <v>#VALUE!</v>
      </c>
    </row>
    <row r="487" customFormat="false" ht="13.5" hidden="true" customHeight="false" outlineLevel="0" collapsed="false">
      <c r="A487" s="53"/>
      <c r="B487" s="53"/>
      <c r="C487" s="123" t="n">
        <v>173</v>
      </c>
      <c r="D487" s="123"/>
      <c r="E487" s="181" t="s">
        <v>343</v>
      </c>
      <c r="F487" s="181" t="s">
        <v>341</v>
      </c>
      <c r="G487" s="181" t="s">
        <v>341</v>
      </c>
      <c r="H487" s="181" t="s">
        <v>90</v>
      </c>
      <c r="I487" s="181" t="s">
        <v>90</v>
      </c>
      <c r="J487" s="124" t="n">
        <v>2</v>
      </c>
      <c r="K487" s="123" t="str">
        <f aca="false">IFERROR(VLOOKUP($J487,$J$10:$K$13,2,0),"")</f>
        <v>SUB DISTRIBUTOR</v>
      </c>
      <c r="L487" s="123" t="s">
        <v>26</v>
      </c>
      <c r="M487" s="124" t="n">
        <v>4</v>
      </c>
      <c r="N487" s="123" t="str">
        <f aca="false">IFERROR(VLOOKUP($M487,$M$3:$Q$14,2,0),"")</f>
        <v>In Pack</v>
      </c>
      <c r="O487" s="123" t="str">
        <f aca="false">IFERROR(VLOOKUP($M487,$M$3:$Q$14,3,0),"")</f>
        <v>Box</v>
      </c>
      <c r="P487" s="124" t="n">
        <f aca="false">IFERROR(VLOOKUP($M487,$M$3:$Q$14,4,0),"")</f>
        <v>2</v>
      </c>
      <c r="Q487" s="123" t="n">
        <f aca="false">IFERROR(VLOOKUP($M487,$M$3:$Q$14,5,0),"")</f>
        <v>0</v>
      </c>
      <c r="R487" s="123" t="n">
        <v>6</v>
      </c>
      <c r="S487" s="125" t="n">
        <f aca="false">S486/6</f>
        <v>42624</v>
      </c>
      <c r="T487" s="126" t="n">
        <f aca="false">S487/1.11</f>
        <v>38400</v>
      </c>
      <c r="U487" s="153" t="n">
        <f aca="false">V487+(V487*11%)</f>
        <v>19393.92</v>
      </c>
      <c r="V487" s="127" t="n">
        <v>17472</v>
      </c>
      <c r="W487" s="1" t="e">
        <f aca="false">VLOOKUP($G487,#REF!,2,0)</f>
        <v>#VALUE!</v>
      </c>
    </row>
    <row r="488" customFormat="false" ht="13.5" hidden="true" customHeight="false" outlineLevel="0" collapsed="false">
      <c r="A488" s="53"/>
      <c r="B488" s="53"/>
      <c r="C488" s="123" t="n">
        <v>173</v>
      </c>
      <c r="D488" s="123"/>
      <c r="E488" s="181" t="s">
        <v>343</v>
      </c>
      <c r="F488" s="181" t="s">
        <v>341</v>
      </c>
      <c r="G488" s="181" t="s">
        <v>341</v>
      </c>
      <c r="H488" s="181" t="s">
        <v>90</v>
      </c>
      <c r="I488" s="181" t="s">
        <v>90</v>
      </c>
      <c r="J488" s="124" t="n">
        <v>2</v>
      </c>
      <c r="K488" s="123" t="str">
        <f aca="false">IFERROR(VLOOKUP($J488,$J$10:$K$13,2,0),"")</f>
        <v>SUB DISTRIBUTOR</v>
      </c>
      <c r="L488" s="123" t="s">
        <v>26</v>
      </c>
      <c r="M488" s="124" t="n">
        <v>9</v>
      </c>
      <c r="N488" s="123" t="str">
        <f aca="false">IFERROR(VLOOKUP($M488,$M$3:$Q$14,2,0),"")</f>
        <v>In Pcs</v>
      </c>
      <c r="O488" s="123" t="str">
        <f aca="false">IFERROR(VLOOKUP($M488,$M$3:$Q$14,3,0),"")</f>
        <v>Pcs</v>
      </c>
      <c r="P488" s="124" t="n">
        <f aca="false">IFERROR(VLOOKUP($M488,$M$3:$Q$14,4,0),"")</f>
        <v>4</v>
      </c>
      <c r="Q488" s="123" t="str">
        <f aca="false">IFERROR(VLOOKUP($M488,$M$3:$Q$14,5,0),"")</f>
        <v>small</v>
      </c>
      <c r="R488" s="123" t="n">
        <v>120</v>
      </c>
      <c r="S488" s="182" t="n">
        <v>4262</v>
      </c>
      <c r="T488" s="126" t="n">
        <f aca="false">S488/1.11</f>
        <v>3839.63963963964</v>
      </c>
      <c r="U488" s="153" t="n">
        <f aca="false">V488+(V488*11%)</f>
        <v>969.03</v>
      </c>
      <c r="V488" s="127" t="n">
        <v>873</v>
      </c>
      <c r="W488" s="1" t="e">
        <f aca="false">VLOOKUP($G488,#REF!,2,0)</f>
        <v>#VALUE!</v>
      </c>
    </row>
    <row r="489" customFormat="false" ht="13.5" hidden="true" customHeight="false" outlineLevel="0" collapsed="false">
      <c r="A489" s="53"/>
      <c r="B489" s="53"/>
      <c r="C489" s="123" t="n">
        <v>174</v>
      </c>
      <c r="D489" s="123"/>
      <c r="E489" s="181" t="s">
        <v>344</v>
      </c>
      <c r="F489" s="181" t="s">
        <v>341</v>
      </c>
      <c r="G489" s="181" t="s">
        <v>341</v>
      </c>
      <c r="H489" s="181" t="s">
        <v>90</v>
      </c>
      <c r="I489" s="181" t="s">
        <v>90</v>
      </c>
      <c r="J489" s="124" t="n">
        <v>2</v>
      </c>
      <c r="K489" s="123" t="str">
        <f aca="false">IFERROR(VLOOKUP($J489,$J$10:$K$13,2,0),"")</f>
        <v>SUB DISTRIBUTOR</v>
      </c>
      <c r="L489" s="123" t="s">
        <v>26</v>
      </c>
      <c r="M489" s="124" t="n">
        <v>1</v>
      </c>
      <c r="N489" s="123" t="str">
        <f aca="false">IFERROR(VLOOKUP($M489,$M$3:$Q$14,2,0),"")</f>
        <v>In Carton</v>
      </c>
      <c r="O489" s="123" t="str">
        <f aca="false">IFERROR(VLOOKUP($M489,$M$3:$Q$14,3,0),"")</f>
        <v>Carton</v>
      </c>
      <c r="P489" s="124" t="n">
        <f aca="false">IFERROR(VLOOKUP($M489,$M$3:$Q$14,4,0),"")</f>
        <v>1</v>
      </c>
      <c r="Q489" s="123" t="str">
        <f aca="false">IFERROR(VLOOKUP($M489,$M$3:$Q$14,5,0),"")</f>
        <v>large</v>
      </c>
      <c r="R489" s="123" t="n">
        <v>1</v>
      </c>
      <c r="S489" s="125" t="n">
        <f aca="false">21312*6</f>
        <v>127872</v>
      </c>
      <c r="T489" s="126" t="n">
        <f aca="false">S489/1.11</f>
        <v>115200</v>
      </c>
      <c r="U489" s="153" t="n">
        <f aca="false">V489+(V489*11%)</f>
        <v>116363.52</v>
      </c>
      <c r="V489" s="127" t="n">
        <v>104832</v>
      </c>
      <c r="W489" s="1" t="e">
        <f aca="false">VLOOKUP($G489,#REF!,2,0)</f>
        <v>#VALUE!</v>
      </c>
    </row>
    <row r="490" customFormat="false" ht="13.5" hidden="true" customHeight="false" outlineLevel="0" collapsed="false">
      <c r="A490" s="53"/>
      <c r="B490" s="53"/>
      <c r="C490" s="123" t="n">
        <v>174</v>
      </c>
      <c r="D490" s="123"/>
      <c r="E490" s="181" t="s">
        <v>344</v>
      </c>
      <c r="F490" s="181" t="s">
        <v>341</v>
      </c>
      <c r="G490" s="181" t="s">
        <v>341</v>
      </c>
      <c r="H490" s="181" t="s">
        <v>90</v>
      </c>
      <c r="I490" s="181" t="s">
        <v>90</v>
      </c>
      <c r="J490" s="124" t="n">
        <v>2</v>
      </c>
      <c r="K490" s="123" t="str">
        <f aca="false">IFERROR(VLOOKUP($J490,$J$10:$K$13,2,0),"")</f>
        <v>SUB DISTRIBUTOR</v>
      </c>
      <c r="L490" s="123" t="s">
        <v>26</v>
      </c>
      <c r="M490" s="124" t="n">
        <v>8</v>
      </c>
      <c r="N490" s="123" t="str">
        <f aca="false">IFERROR(VLOOKUP($M490,$M$3:$Q$14,2,0),"")</f>
        <v>In Renceng</v>
      </c>
      <c r="O490" s="123" t="str">
        <f aca="false">IFERROR(VLOOKUP($M490,$M$3:$Q$14,3,0),"")</f>
        <v>Renceng</v>
      </c>
      <c r="P490" s="124" t="n">
        <f aca="false">IFERROR(VLOOKUP($M490,$M$3:$Q$14,4,0),"")</f>
        <v>3</v>
      </c>
      <c r="Q490" s="123" t="n">
        <f aca="false">IFERROR(VLOOKUP($M490,$M$3:$Q$14,5,0),"")</f>
        <v>0</v>
      </c>
      <c r="R490" s="123" t="n">
        <v>12</v>
      </c>
      <c r="S490" s="125" t="n">
        <f aca="false">S489/6</f>
        <v>21312</v>
      </c>
      <c r="T490" s="126" t="n">
        <f aca="false">S490/1.11</f>
        <v>19200</v>
      </c>
      <c r="U490" s="153" t="n">
        <f aca="false">V490+(V490*11%)</f>
        <v>9696.96</v>
      </c>
      <c r="V490" s="127" t="n">
        <v>8736</v>
      </c>
      <c r="W490" s="1" t="e">
        <f aca="false">VLOOKUP($G490,#REF!,2,0)</f>
        <v>#VALUE!</v>
      </c>
    </row>
    <row r="491" customFormat="false" ht="13.5" hidden="true" customHeight="false" outlineLevel="0" collapsed="false">
      <c r="A491" s="53"/>
      <c r="B491" s="53"/>
      <c r="C491" s="123" t="n">
        <v>174</v>
      </c>
      <c r="D491" s="123"/>
      <c r="E491" s="181" t="s">
        <v>344</v>
      </c>
      <c r="F491" s="181" t="s">
        <v>341</v>
      </c>
      <c r="G491" s="181" t="s">
        <v>341</v>
      </c>
      <c r="H491" s="181" t="s">
        <v>90</v>
      </c>
      <c r="I491" s="181" t="s">
        <v>90</v>
      </c>
      <c r="J491" s="124" t="n">
        <v>2</v>
      </c>
      <c r="K491" s="123" t="str">
        <f aca="false">IFERROR(VLOOKUP($J491,$J$10:$K$13,2,0),"")</f>
        <v>SUB DISTRIBUTOR</v>
      </c>
      <c r="L491" s="123" t="s">
        <v>26</v>
      </c>
      <c r="M491" s="124" t="n">
        <v>9</v>
      </c>
      <c r="N491" s="123" t="str">
        <f aca="false">IFERROR(VLOOKUP($M491,$M$3:$Q$14,2,0),"")</f>
        <v>In Pcs</v>
      </c>
      <c r="O491" s="123" t="str">
        <f aca="false">IFERROR(VLOOKUP($M491,$M$3:$Q$14,3,0),"")</f>
        <v>Pcs</v>
      </c>
      <c r="P491" s="124" t="n">
        <f aca="false">IFERROR(VLOOKUP($M491,$M$3:$Q$14,4,0),"")</f>
        <v>4</v>
      </c>
      <c r="Q491" s="123" t="str">
        <f aca="false">IFERROR(VLOOKUP($M491,$M$3:$Q$14,5,0),"")</f>
        <v>small</v>
      </c>
      <c r="R491" s="123" t="n">
        <v>120</v>
      </c>
      <c r="S491" s="182" t="n">
        <v>2131</v>
      </c>
      <c r="T491" s="126" t="n">
        <f aca="false">S491/1.11</f>
        <v>1919.81981981982</v>
      </c>
      <c r="U491" s="153" t="n">
        <f aca="false">V491+(V491*11%)</f>
        <v>969.03</v>
      </c>
      <c r="V491" s="127" t="n">
        <v>873</v>
      </c>
      <c r="W491" s="1" t="e">
        <f aca="false">VLOOKUP($G491,#REF!,2,0)</f>
        <v>#VALUE!</v>
      </c>
    </row>
    <row r="492" customFormat="false" ht="13.5" hidden="true" customHeight="false" outlineLevel="0" collapsed="false">
      <c r="A492" s="53"/>
      <c r="B492" s="53"/>
      <c r="C492" s="73" t="n">
        <v>175</v>
      </c>
      <c r="D492" s="73"/>
      <c r="E492" s="183" t="s">
        <v>345</v>
      </c>
      <c r="F492" s="183" t="s">
        <v>346</v>
      </c>
      <c r="G492" s="183" t="s">
        <v>346</v>
      </c>
      <c r="H492" s="183" t="s">
        <v>90</v>
      </c>
      <c r="I492" s="183" t="s">
        <v>90</v>
      </c>
      <c r="J492" s="76" t="n">
        <v>2</v>
      </c>
      <c r="K492" s="73" t="str">
        <f aca="false">IFERROR(VLOOKUP($J492,$J$10:$K$13,2,0),"")</f>
        <v>SUB DISTRIBUTOR</v>
      </c>
      <c r="L492" s="73" t="s">
        <v>26</v>
      </c>
      <c r="M492" s="76" t="n">
        <v>1</v>
      </c>
      <c r="N492" s="73" t="str">
        <f aca="false">IFERROR(VLOOKUP($M492,$M$3:$Q$14,2,0),"")</f>
        <v>In Carton</v>
      </c>
      <c r="O492" s="73" t="str">
        <f aca="false">IFERROR(VLOOKUP($M492,$M$3:$Q$14,3,0),"")</f>
        <v>Carton</v>
      </c>
      <c r="P492" s="76" t="n">
        <f aca="false">IFERROR(VLOOKUP($M492,$M$3:$Q$14,4,0),"")</f>
        <v>1</v>
      </c>
      <c r="Q492" s="73" t="str">
        <f aca="false">IFERROR(VLOOKUP($M492,$M$3:$Q$14,5,0),"")</f>
        <v>large</v>
      </c>
      <c r="R492" s="73" t="n">
        <v>1</v>
      </c>
      <c r="S492" s="77" t="n">
        <f aca="false">51500*10</f>
        <v>515000</v>
      </c>
      <c r="T492" s="78" t="n">
        <f aca="false">S492/1.11</f>
        <v>463963.963963964</v>
      </c>
      <c r="U492" s="79" t="n">
        <f aca="false">V492+(V492*11%)</f>
        <v>469752</v>
      </c>
      <c r="V492" s="79" t="n">
        <v>423200</v>
      </c>
      <c r="W492" s="1" t="e">
        <f aca="false">VLOOKUP($G492,#REF!,2,0)</f>
        <v>#VALUE!</v>
      </c>
    </row>
    <row r="493" customFormat="false" ht="13.5" hidden="true" customHeight="false" outlineLevel="0" collapsed="false">
      <c r="A493" s="53"/>
      <c r="B493" s="53"/>
      <c r="C493" s="73" t="n">
        <v>175</v>
      </c>
      <c r="D493" s="73"/>
      <c r="E493" s="183" t="s">
        <v>345</v>
      </c>
      <c r="F493" s="183" t="s">
        <v>346</v>
      </c>
      <c r="G493" s="183" t="s">
        <v>346</v>
      </c>
      <c r="H493" s="183" t="s">
        <v>90</v>
      </c>
      <c r="I493" s="183" t="s">
        <v>90</v>
      </c>
      <c r="J493" s="76" t="n">
        <v>2</v>
      </c>
      <c r="K493" s="73" t="str">
        <f aca="false">IFERROR(VLOOKUP($J493,$J$10:$K$13,2,0),"")</f>
        <v>SUB DISTRIBUTOR</v>
      </c>
      <c r="L493" s="73" t="s">
        <v>26</v>
      </c>
      <c r="M493" s="76" t="n">
        <v>4</v>
      </c>
      <c r="N493" s="73" t="str">
        <f aca="false">IFERROR(VLOOKUP($M493,$M$3:$Q$14,2,0),"")</f>
        <v>In Pack</v>
      </c>
      <c r="O493" s="73" t="str">
        <f aca="false">IFERROR(VLOOKUP($M493,$M$3:$Q$14,3,0),"")</f>
        <v>Box</v>
      </c>
      <c r="P493" s="76" t="n">
        <f aca="false">IFERROR(VLOOKUP($M493,$M$3:$Q$14,4,0),"")</f>
        <v>2</v>
      </c>
      <c r="Q493" s="73" t="n">
        <f aca="false">IFERROR(VLOOKUP($M493,$M$3:$Q$14,5,0),"")</f>
        <v>0</v>
      </c>
      <c r="R493" s="73" t="n">
        <v>10</v>
      </c>
      <c r="S493" s="77" t="n">
        <f aca="false">S492/10</f>
        <v>51500</v>
      </c>
      <c r="T493" s="78" t="n">
        <f aca="false">S493/1.11</f>
        <v>46396.3963963964</v>
      </c>
      <c r="U493" s="79" t="n">
        <f aca="false">V493+(V493*11%)</f>
        <v>46975.2</v>
      </c>
      <c r="V493" s="79" t="n">
        <v>42320</v>
      </c>
      <c r="W493" s="1" t="e">
        <f aca="false">VLOOKUP($G493,#REF!,2,0)</f>
        <v>#VALUE!</v>
      </c>
    </row>
    <row r="494" customFormat="false" ht="13.5" hidden="true" customHeight="false" outlineLevel="0" collapsed="false">
      <c r="A494" s="53"/>
      <c r="B494" s="53"/>
      <c r="C494" s="73" t="n">
        <v>175</v>
      </c>
      <c r="D494" s="73"/>
      <c r="E494" s="183" t="s">
        <v>345</v>
      </c>
      <c r="F494" s="183" t="s">
        <v>346</v>
      </c>
      <c r="G494" s="183" t="s">
        <v>346</v>
      </c>
      <c r="H494" s="183" t="s">
        <v>90</v>
      </c>
      <c r="I494" s="183" t="s">
        <v>90</v>
      </c>
      <c r="J494" s="76" t="n">
        <v>2</v>
      </c>
      <c r="K494" s="73" t="str">
        <f aca="false">IFERROR(VLOOKUP($J494,$J$10:$K$13,2,0),"")</f>
        <v>SUB DISTRIBUTOR</v>
      </c>
      <c r="L494" s="73" t="s">
        <v>26</v>
      </c>
      <c r="M494" s="76" t="n">
        <v>9</v>
      </c>
      <c r="N494" s="73" t="str">
        <f aca="false">IFERROR(VLOOKUP($M494,$M$3:$Q$14,2,0),"")</f>
        <v>In Pcs</v>
      </c>
      <c r="O494" s="73" t="str">
        <f aca="false">IFERROR(VLOOKUP($M494,$M$3:$Q$14,3,0),"")</f>
        <v>Pcs</v>
      </c>
      <c r="P494" s="76" t="n">
        <f aca="false">IFERROR(VLOOKUP($M494,$M$3:$Q$14,4,0),"")</f>
        <v>4</v>
      </c>
      <c r="Q494" s="73" t="str">
        <f aca="false">IFERROR(VLOOKUP($M494,$M$3:$Q$14,5,0),"")</f>
        <v>small</v>
      </c>
      <c r="R494" s="73" t="n">
        <v>120</v>
      </c>
      <c r="S494" s="77" t="n">
        <f aca="false">S493/12</f>
        <v>4291.66666666667</v>
      </c>
      <c r="T494" s="78" t="n">
        <f aca="false">S494/1.11</f>
        <v>3866.36636636637</v>
      </c>
      <c r="U494" s="79" t="n">
        <f aca="false">V494+(V494*11%)</f>
        <v>3913.86</v>
      </c>
      <c r="V494" s="79" t="n">
        <v>3526</v>
      </c>
      <c r="W494" s="1" t="e">
        <f aca="false">VLOOKUP($G494,#REF!,2,0)</f>
        <v>#VALUE!</v>
      </c>
    </row>
    <row r="495" customFormat="false" ht="13.5" hidden="true" customHeight="false" outlineLevel="0" collapsed="false">
      <c r="A495" s="53"/>
      <c r="B495" s="53"/>
      <c r="C495" s="73" t="n">
        <v>176</v>
      </c>
      <c r="D495" s="73"/>
      <c r="E495" s="183" t="s">
        <v>347</v>
      </c>
      <c r="F495" s="183" t="s">
        <v>346</v>
      </c>
      <c r="G495" s="183" t="s">
        <v>346</v>
      </c>
      <c r="H495" s="183" t="s">
        <v>90</v>
      </c>
      <c r="I495" s="183" t="s">
        <v>90</v>
      </c>
      <c r="J495" s="76" t="n">
        <v>2</v>
      </c>
      <c r="K495" s="73" t="str">
        <f aca="false">IFERROR(VLOOKUP($J495,$J$10:$K$13,2,0),"")</f>
        <v>SUB DISTRIBUTOR</v>
      </c>
      <c r="L495" s="73" t="s">
        <v>26</v>
      </c>
      <c r="M495" s="76" t="n">
        <v>1</v>
      </c>
      <c r="N495" s="73" t="str">
        <f aca="false">IFERROR(VLOOKUP($M495,$M$3:$Q$14,2,0),"")</f>
        <v>In Carton</v>
      </c>
      <c r="O495" s="73" t="str">
        <f aca="false">IFERROR(VLOOKUP($M495,$M$3:$Q$14,3,0),"")</f>
        <v>Carton</v>
      </c>
      <c r="P495" s="76" t="n">
        <f aca="false">IFERROR(VLOOKUP($M495,$M$3:$Q$14,4,0),"")</f>
        <v>1</v>
      </c>
      <c r="Q495" s="73" t="str">
        <f aca="false">IFERROR(VLOOKUP($M495,$M$3:$Q$14,5,0),"")</f>
        <v>large</v>
      </c>
      <c r="R495" s="73" t="n">
        <v>1</v>
      </c>
      <c r="S495" s="77" t="n">
        <f aca="false">51500*10</f>
        <v>515000</v>
      </c>
      <c r="T495" s="78" t="n">
        <f aca="false">S495/1.11</f>
        <v>463963.963963964</v>
      </c>
      <c r="U495" s="79" t="n">
        <f aca="false">V495+(V495*11%)</f>
        <v>469752</v>
      </c>
      <c r="V495" s="79" t="n">
        <v>423200</v>
      </c>
      <c r="W495" s="1" t="e">
        <f aca="false">VLOOKUP($G495,#REF!,2,0)</f>
        <v>#VALUE!</v>
      </c>
    </row>
    <row r="496" customFormat="false" ht="13.5" hidden="true" customHeight="false" outlineLevel="0" collapsed="false">
      <c r="A496" s="53"/>
      <c r="B496" s="53"/>
      <c r="C496" s="73" t="n">
        <v>176</v>
      </c>
      <c r="D496" s="73"/>
      <c r="E496" s="183" t="s">
        <v>347</v>
      </c>
      <c r="F496" s="183" t="s">
        <v>346</v>
      </c>
      <c r="G496" s="183" t="s">
        <v>346</v>
      </c>
      <c r="H496" s="183" t="s">
        <v>90</v>
      </c>
      <c r="I496" s="183" t="s">
        <v>90</v>
      </c>
      <c r="J496" s="76" t="n">
        <v>2</v>
      </c>
      <c r="K496" s="73" t="str">
        <f aca="false">IFERROR(VLOOKUP($J496,$J$10:$K$13,2,0),"")</f>
        <v>SUB DISTRIBUTOR</v>
      </c>
      <c r="L496" s="73" t="s">
        <v>26</v>
      </c>
      <c r="M496" s="76" t="n">
        <v>4</v>
      </c>
      <c r="N496" s="73" t="str">
        <f aca="false">IFERROR(VLOOKUP($M496,$M$3:$Q$14,2,0),"")</f>
        <v>In Pack</v>
      </c>
      <c r="O496" s="73" t="str">
        <f aca="false">IFERROR(VLOOKUP($M496,$M$3:$Q$14,3,0),"")</f>
        <v>Box</v>
      </c>
      <c r="P496" s="76" t="n">
        <f aca="false">IFERROR(VLOOKUP($M496,$M$3:$Q$14,4,0),"")</f>
        <v>2</v>
      </c>
      <c r="Q496" s="73" t="n">
        <f aca="false">IFERROR(VLOOKUP($M496,$M$3:$Q$14,5,0),"")</f>
        <v>0</v>
      </c>
      <c r="R496" s="73" t="n">
        <v>10</v>
      </c>
      <c r="S496" s="77" t="n">
        <f aca="false">S495/10</f>
        <v>51500</v>
      </c>
      <c r="T496" s="78" t="n">
        <f aca="false">S496/1.11</f>
        <v>46396.3963963964</v>
      </c>
      <c r="U496" s="79" t="n">
        <f aca="false">V496+(V496*11%)</f>
        <v>46975.2</v>
      </c>
      <c r="V496" s="79" t="n">
        <v>42320</v>
      </c>
      <c r="W496" s="1" t="e">
        <f aca="false">VLOOKUP($G496,#REF!,2,0)</f>
        <v>#VALUE!</v>
      </c>
    </row>
    <row r="497" customFormat="false" ht="13.5" hidden="true" customHeight="false" outlineLevel="0" collapsed="false">
      <c r="A497" s="53"/>
      <c r="B497" s="53"/>
      <c r="C497" s="73" t="n">
        <v>176</v>
      </c>
      <c r="D497" s="73"/>
      <c r="E497" s="183" t="s">
        <v>347</v>
      </c>
      <c r="F497" s="183" t="s">
        <v>346</v>
      </c>
      <c r="G497" s="183" t="s">
        <v>346</v>
      </c>
      <c r="H497" s="183" t="s">
        <v>90</v>
      </c>
      <c r="I497" s="183" t="s">
        <v>90</v>
      </c>
      <c r="J497" s="76" t="n">
        <v>2</v>
      </c>
      <c r="K497" s="73" t="str">
        <f aca="false">IFERROR(VLOOKUP($J497,$J$10:$K$13,2,0),"")</f>
        <v>SUB DISTRIBUTOR</v>
      </c>
      <c r="L497" s="73" t="s">
        <v>26</v>
      </c>
      <c r="M497" s="76" t="n">
        <v>9</v>
      </c>
      <c r="N497" s="73" t="str">
        <f aca="false">IFERROR(VLOOKUP($M497,$M$3:$Q$14,2,0),"")</f>
        <v>In Pcs</v>
      </c>
      <c r="O497" s="73" t="str">
        <f aca="false">IFERROR(VLOOKUP($M497,$M$3:$Q$14,3,0),"")</f>
        <v>Pcs</v>
      </c>
      <c r="P497" s="76" t="n">
        <f aca="false">IFERROR(VLOOKUP($M497,$M$3:$Q$14,4,0),"")</f>
        <v>4</v>
      </c>
      <c r="Q497" s="73" t="str">
        <f aca="false">IFERROR(VLOOKUP($M497,$M$3:$Q$14,5,0),"")</f>
        <v>small</v>
      </c>
      <c r="R497" s="73" t="n">
        <v>120</v>
      </c>
      <c r="S497" s="77" t="n">
        <f aca="false">S496/12</f>
        <v>4291.66666666667</v>
      </c>
      <c r="T497" s="78" t="n">
        <f aca="false">S497/1.11</f>
        <v>3866.36636636637</v>
      </c>
      <c r="U497" s="79" t="n">
        <f aca="false">V497+(V497*11%)</f>
        <v>3913.86</v>
      </c>
      <c r="V497" s="79" t="n">
        <v>3526</v>
      </c>
      <c r="W497" s="1" t="e">
        <f aca="false">VLOOKUP($G497,#REF!,2,0)</f>
        <v>#VALUE!</v>
      </c>
    </row>
    <row r="498" customFormat="false" ht="13.5" hidden="true" customHeight="false" outlineLevel="0" collapsed="false">
      <c r="A498" s="53"/>
      <c r="B498" s="53"/>
      <c r="C498" s="73" t="n">
        <v>177</v>
      </c>
      <c r="D498" s="73"/>
      <c r="E498" s="183" t="s">
        <v>348</v>
      </c>
      <c r="F498" s="183" t="s">
        <v>346</v>
      </c>
      <c r="G498" s="183" t="s">
        <v>346</v>
      </c>
      <c r="H498" s="183" t="s">
        <v>90</v>
      </c>
      <c r="I498" s="183" t="s">
        <v>90</v>
      </c>
      <c r="J498" s="76" t="n">
        <v>2</v>
      </c>
      <c r="K498" s="73" t="str">
        <f aca="false">IFERROR(VLOOKUP($J498,$J$10:$K$13,2,0),"")</f>
        <v>SUB DISTRIBUTOR</v>
      </c>
      <c r="L498" s="73" t="s">
        <v>26</v>
      </c>
      <c r="M498" s="76" t="n">
        <v>1</v>
      </c>
      <c r="N498" s="73" t="str">
        <f aca="false">IFERROR(VLOOKUP($M498,$M$3:$Q$14,2,0),"")</f>
        <v>In Carton</v>
      </c>
      <c r="O498" s="73" t="str">
        <f aca="false">IFERROR(VLOOKUP($M498,$M$3:$Q$14,3,0),"")</f>
        <v>Carton</v>
      </c>
      <c r="P498" s="76" t="n">
        <f aca="false">IFERROR(VLOOKUP($M498,$M$3:$Q$14,4,0),"")</f>
        <v>1</v>
      </c>
      <c r="Q498" s="73" t="str">
        <f aca="false">IFERROR(VLOOKUP($M498,$M$3:$Q$14,5,0),"")</f>
        <v>large</v>
      </c>
      <c r="R498" s="73" t="n">
        <v>1</v>
      </c>
      <c r="S498" s="77" t="n">
        <f aca="false">51500*10</f>
        <v>515000</v>
      </c>
      <c r="T498" s="78" t="n">
        <f aca="false">S498/1.11</f>
        <v>463963.963963964</v>
      </c>
      <c r="U498" s="79" t="n">
        <f aca="false">V498+(V498*11%)</f>
        <v>469752</v>
      </c>
      <c r="V498" s="79" t="n">
        <v>423200</v>
      </c>
      <c r="W498" s="1" t="e">
        <f aca="false">VLOOKUP($G498,#REF!,2,0)</f>
        <v>#VALUE!</v>
      </c>
    </row>
    <row r="499" customFormat="false" ht="13.5" hidden="true" customHeight="false" outlineLevel="0" collapsed="false">
      <c r="A499" s="53"/>
      <c r="B499" s="53"/>
      <c r="C499" s="73" t="n">
        <v>177</v>
      </c>
      <c r="D499" s="73"/>
      <c r="E499" s="183" t="s">
        <v>349</v>
      </c>
      <c r="F499" s="183" t="s">
        <v>346</v>
      </c>
      <c r="G499" s="183" t="s">
        <v>346</v>
      </c>
      <c r="H499" s="183" t="s">
        <v>90</v>
      </c>
      <c r="I499" s="183" t="s">
        <v>90</v>
      </c>
      <c r="J499" s="76" t="n">
        <v>2</v>
      </c>
      <c r="K499" s="73" t="str">
        <f aca="false">IFERROR(VLOOKUP($J499,$J$10:$K$13,2,0),"")</f>
        <v>SUB DISTRIBUTOR</v>
      </c>
      <c r="L499" s="73" t="s">
        <v>26</v>
      </c>
      <c r="M499" s="76" t="n">
        <v>4</v>
      </c>
      <c r="N499" s="73" t="str">
        <f aca="false">IFERROR(VLOOKUP($M499,$M$3:$Q$14,2,0),"")</f>
        <v>In Pack</v>
      </c>
      <c r="O499" s="73" t="str">
        <f aca="false">IFERROR(VLOOKUP($M499,$M$3:$Q$14,3,0),"")</f>
        <v>Box</v>
      </c>
      <c r="P499" s="76" t="n">
        <f aca="false">IFERROR(VLOOKUP($M499,$M$3:$Q$14,4,0),"")</f>
        <v>2</v>
      </c>
      <c r="Q499" s="73" t="n">
        <f aca="false">IFERROR(VLOOKUP($M499,$M$3:$Q$14,5,0),"")</f>
        <v>0</v>
      </c>
      <c r="R499" s="73" t="n">
        <v>10</v>
      </c>
      <c r="S499" s="77" t="n">
        <f aca="false">S498/10</f>
        <v>51500</v>
      </c>
      <c r="T499" s="78" t="n">
        <f aca="false">S499/1.11</f>
        <v>46396.3963963964</v>
      </c>
      <c r="U499" s="79" t="n">
        <f aca="false">V499+(V499*11%)</f>
        <v>46975.2</v>
      </c>
      <c r="V499" s="79" t="n">
        <v>42320</v>
      </c>
      <c r="W499" s="1" t="e">
        <f aca="false">VLOOKUP($G499,#REF!,2,0)</f>
        <v>#VALUE!</v>
      </c>
    </row>
    <row r="500" customFormat="false" ht="13.5" hidden="true" customHeight="false" outlineLevel="0" collapsed="false">
      <c r="A500" s="53"/>
      <c r="B500" s="53"/>
      <c r="C500" s="73" t="n">
        <v>177</v>
      </c>
      <c r="D500" s="73"/>
      <c r="E500" s="183" t="s">
        <v>350</v>
      </c>
      <c r="F500" s="183" t="s">
        <v>346</v>
      </c>
      <c r="G500" s="183" t="s">
        <v>346</v>
      </c>
      <c r="H500" s="183" t="s">
        <v>90</v>
      </c>
      <c r="I500" s="183" t="s">
        <v>90</v>
      </c>
      <c r="J500" s="76" t="n">
        <v>2</v>
      </c>
      <c r="K500" s="73" t="str">
        <f aca="false">IFERROR(VLOOKUP($J500,$J$10:$K$13,2,0),"")</f>
        <v>SUB DISTRIBUTOR</v>
      </c>
      <c r="L500" s="73" t="s">
        <v>26</v>
      </c>
      <c r="M500" s="76" t="n">
        <v>9</v>
      </c>
      <c r="N500" s="73" t="str">
        <f aca="false">IFERROR(VLOOKUP($M500,$M$3:$Q$14,2,0),"")</f>
        <v>In Pcs</v>
      </c>
      <c r="O500" s="73" t="str">
        <f aca="false">IFERROR(VLOOKUP($M500,$M$3:$Q$14,3,0),"")</f>
        <v>Pcs</v>
      </c>
      <c r="P500" s="76" t="n">
        <f aca="false">IFERROR(VLOOKUP($M500,$M$3:$Q$14,4,0),"")</f>
        <v>4</v>
      </c>
      <c r="Q500" s="73" t="str">
        <f aca="false">IFERROR(VLOOKUP($M500,$M$3:$Q$14,5,0),"")</f>
        <v>small</v>
      </c>
      <c r="R500" s="73" t="n">
        <v>120</v>
      </c>
      <c r="S500" s="77" t="n">
        <f aca="false">S499/12</f>
        <v>4291.66666666667</v>
      </c>
      <c r="T500" s="78" t="n">
        <f aca="false">S500/1.11</f>
        <v>3866.36636636637</v>
      </c>
      <c r="U500" s="79" t="n">
        <f aca="false">V500+(V500*11%)</f>
        <v>3913.86</v>
      </c>
      <c r="V500" s="79" t="n">
        <v>3526</v>
      </c>
      <c r="W500" s="1" t="e">
        <f aca="false">VLOOKUP($G500,#REF!,2,0)</f>
        <v>#VALUE!</v>
      </c>
    </row>
    <row r="501" customFormat="false" ht="13.5" hidden="true" customHeight="false" outlineLevel="0" collapsed="false">
      <c r="A501" s="53"/>
      <c r="B501" s="53"/>
      <c r="C501" s="73" t="n">
        <v>178</v>
      </c>
      <c r="D501" s="73"/>
      <c r="E501" s="183" t="s">
        <v>351</v>
      </c>
      <c r="F501" s="183" t="s">
        <v>346</v>
      </c>
      <c r="G501" s="183" t="s">
        <v>346</v>
      </c>
      <c r="H501" s="183" t="s">
        <v>90</v>
      </c>
      <c r="I501" s="183" t="s">
        <v>90</v>
      </c>
      <c r="J501" s="76" t="n">
        <v>2</v>
      </c>
      <c r="K501" s="73" t="str">
        <f aca="false">IFERROR(VLOOKUP($J501,$J$10:$K$13,2,0),"")</f>
        <v>SUB DISTRIBUTOR</v>
      </c>
      <c r="L501" s="73" t="s">
        <v>26</v>
      </c>
      <c r="M501" s="76" t="n">
        <v>1</v>
      </c>
      <c r="N501" s="73" t="str">
        <f aca="false">IFERROR(VLOOKUP($M501,$M$3:$Q$14,2,0),"")</f>
        <v>In Carton</v>
      </c>
      <c r="O501" s="73" t="str">
        <f aca="false">IFERROR(VLOOKUP($M501,$M$3:$Q$14,3,0),"")</f>
        <v>Carton</v>
      </c>
      <c r="P501" s="76" t="n">
        <f aca="false">IFERROR(VLOOKUP($M501,$M$3:$Q$14,4,0),"")</f>
        <v>1</v>
      </c>
      <c r="Q501" s="73" t="str">
        <f aca="false">IFERROR(VLOOKUP($M501,$M$3:$Q$14,5,0),"")</f>
        <v>large</v>
      </c>
      <c r="R501" s="73" t="n">
        <v>1</v>
      </c>
      <c r="S501" s="77" t="n">
        <f aca="false">51500*10</f>
        <v>515000</v>
      </c>
      <c r="T501" s="78" t="n">
        <f aca="false">S501/1.11</f>
        <v>463963.963963964</v>
      </c>
      <c r="U501" s="79" t="n">
        <f aca="false">V501+(V501*11%)</f>
        <v>469752</v>
      </c>
      <c r="V501" s="79" t="n">
        <v>423200</v>
      </c>
      <c r="W501" s="1" t="e">
        <f aca="false">VLOOKUP($G501,#REF!,2,0)</f>
        <v>#VALUE!</v>
      </c>
    </row>
    <row r="502" customFormat="false" ht="13.5" hidden="true" customHeight="false" outlineLevel="0" collapsed="false">
      <c r="A502" s="53"/>
      <c r="B502" s="53"/>
      <c r="C502" s="73" t="n">
        <v>178</v>
      </c>
      <c r="D502" s="73"/>
      <c r="E502" s="183" t="s">
        <v>351</v>
      </c>
      <c r="F502" s="183" t="s">
        <v>346</v>
      </c>
      <c r="G502" s="183" t="s">
        <v>346</v>
      </c>
      <c r="H502" s="183" t="s">
        <v>90</v>
      </c>
      <c r="I502" s="183" t="s">
        <v>90</v>
      </c>
      <c r="J502" s="76" t="n">
        <v>2</v>
      </c>
      <c r="K502" s="73" t="str">
        <f aca="false">IFERROR(VLOOKUP($J502,$J$10:$K$13,2,0),"")</f>
        <v>SUB DISTRIBUTOR</v>
      </c>
      <c r="L502" s="73" t="s">
        <v>26</v>
      </c>
      <c r="M502" s="76" t="n">
        <v>4</v>
      </c>
      <c r="N502" s="73" t="str">
        <f aca="false">IFERROR(VLOOKUP($M502,$M$3:$Q$14,2,0),"")</f>
        <v>In Pack</v>
      </c>
      <c r="O502" s="73" t="str">
        <f aca="false">IFERROR(VLOOKUP($M502,$M$3:$Q$14,3,0),"")</f>
        <v>Box</v>
      </c>
      <c r="P502" s="76" t="n">
        <f aca="false">IFERROR(VLOOKUP($M502,$M$3:$Q$14,4,0),"")</f>
        <v>2</v>
      </c>
      <c r="Q502" s="73" t="n">
        <f aca="false">IFERROR(VLOOKUP($M502,$M$3:$Q$14,5,0),"")</f>
        <v>0</v>
      </c>
      <c r="R502" s="73" t="n">
        <v>10</v>
      </c>
      <c r="S502" s="77" t="n">
        <f aca="false">S501/10</f>
        <v>51500</v>
      </c>
      <c r="T502" s="78" t="n">
        <f aca="false">S502/1.11</f>
        <v>46396.3963963964</v>
      </c>
      <c r="U502" s="79" t="n">
        <f aca="false">V502+(V502*11%)</f>
        <v>46975.2</v>
      </c>
      <c r="V502" s="79" t="n">
        <v>42320</v>
      </c>
      <c r="W502" s="1" t="e">
        <f aca="false">VLOOKUP($G502,#REF!,2,0)</f>
        <v>#VALUE!</v>
      </c>
    </row>
    <row r="503" customFormat="false" ht="13.5" hidden="true" customHeight="false" outlineLevel="0" collapsed="false">
      <c r="A503" s="53"/>
      <c r="B503" s="53"/>
      <c r="C503" s="73" t="n">
        <v>178</v>
      </c>
      <c r="D503" s="73"/>
      <c r="E503" s="183" t="s">
        <v>351</v>
      </c>
      <c r="F503" s="183" t="s">
        <v>346</v>
      </c>
      <c r="G503" s="183" t="s">
        <v>346</v>
      </c>
      <c r="H503" s="183" t="s">
        <v>90</v>
      </c>
      <c r="I503" s="183" t="s">
        <v>90</v>
      </c>
      <c r="J503" s="76" t="n">
        <v>2</v>
      </c>
      <c r="K503" s="73" t="str">
        <f aca="false">IFERROR(VLOOKUP($J503,$J$10:$K$13,2,0),"")</f>
        <v>SUB DISTRIBUTOR</v>
      </c>
      <c r="L503" s="73" t="s">
        <v>26</v>
      </c>
      <c r="M503" s="76" t="n">
        <v>9</v>
      </c>
      <c r="N503" s="73" t="str">
        <f aca="false">IFERROR(VLOOKUP($M503,$M$3:$Q$14,2,0),"")</f>
        <v>In Pcs</v>
      </c>
      <c r="O503" s="73" t="str">
        <f aca="false">IFERROR(VLOOKUP($M503,$M$3:$Q$14,3,0),"")</f>
        <v>Pcs</v>
      </c>
      <c r="P503" s="76" t="n">
        <f aca="false">IFERROR(VLOOKUP($M503,$M$3:$Q$14,4,0),"")</f>
        <v>4</v>
      </c>
      <c r="Q503" s="73" t="str">
        <f aca="false">IFERROR(VLOOKUP($M503,$M$3:$Q$14,5,0),"")</f>
        <v>small</v>
      </c>
      <c r="R503" s="73" t="n">
        <v>120</v>
      </c>
      <c r="S503" s="77" t="n">
        <f aca="false">S502/12</f>
        <v>4291.66666666667</v>
      </c>
      <c r="T503" s="78" t="n">
        <f aca="false">S503/1.11</f>
        <v>3866.36636636637</v>
      </c>
      <c r="U503" s="79" t="n">
        <f aca="false">V503+(V503*11%)</f>
        <v>3913.86</v>
      </c>
      <c r="V503" s="79" t="n">
        <v>3526</v>
      </c>
      <c r="W503" s="1" t="e">
        <f aca="false">VLOOKUP($G503,#REF!,2,0)</f>
        <v>#VALUE!</v>
      </c>
    </row>
    <row r="504" customFormat="false" ht="13.5" hidden="true" customHeight="false" outlineLevel="0" collapsed="false">
      <c r="A504" s="53"/>
      <c r="B504" s="53"/>
      <c r="C504" s="73" t="n">
        <v>179</v>
      </c>
      <c r="D504" s="73"/>
      <c r="E504" s="183" t="s">
        <v>352</v>
      </c>
      <c r="F504" s="183" t="s">
        <v>346</v>
      </c>
      <c r="G504" s="183" t="s">
        <v>346</v>
      </c>
      <c r="H504" s="183" t="s">
        <v>90</v>
      </c>
      <c r="I504" s="183" t="s">
        <v>90</v>
      </c>
      <c r="J504" s="76" t="n">
        <v>2</v>
      </c>
      <c r="K504" s="73" t="str">
        <f aca="false">IFERROR(VLOOKUP($J504,$J$10:$K$13,2,0),"")</f>
        <v>SUB DISTRIBUTOR</v>
      </c>
      <c r="L504" s="73" t="s">
        <v>26</v>
      </c>
      <c r="M504" s="76" t="n">
        <v>1</v>
      </c>
      <c r="N504" s="73" t="str">
        <f aca="false">IFERROR(VLOOKUP($M504,$M$3:$Q$14,2,0),"")</f>
        <v>In Carton</v>
      </c>
      <c r="O504" s="73" t="str">
        <f aca="false">IFERROR(VLOOKUP($M504,$M$3:$Q$14,3,0),"")</f>
        <v>Carton</v>
      </c>
      <c r="P504" s="76" t="n">
        <f aca="false">IFERROR(VLOOKUP($M504,$M$3:$Q$14,4,0),"")</f>
        <v>1</v>
      </c>
      <c r="Q504" s="73" t="str">
        <f aca="false">IFERROR(VLOOKUP($M504,$M$3:$Q$14,5,0),"")</f>
        <v>large</v>
      </c>
      <c r="R504" s="73" t="n">
        <v>1</v>
      </c>
      <c r="S504" s="77" t="n">
        <f aca="false">35100*12</f>
        <v>421200</v>
      </c>
      <c r="T504" s="78" t="n">
        <f aca="false">S504/1.11</f>
        <v>379459.459459459</v>
      </c>
      <c r="U504" s="79" t="n">
        <f aca="false">V504+(V504*11%)</f>
        <v>387239.04</v>
      </c>
      <c r="V504" s="79" t="n">
        <v>348864</v>
      </c>
      <c r="W504" s="1" t="e">
        <f aca="false">VLOOKUP($G504,#REF!,2,0)</f>
        <v>#VALUE!</v>
      </c>
    </row>
    <row r="505" customFormat="false" ht="13.5" hidden="true" customHeight="false" outlineLevel="0" collapsed="false">
      <c r="A505" s="53"/>
      <c r="B505" s="53"/>
      <c r="C505" s="73" t="n">
        <v>179</v>
      </c>
      <c r="D505" s="73"/>
      <c r="E505" s="183" t="s">
        <v>352</v>
      </c>
      <c r="F505" s="183" t="s">
        <v>346</v>
      </c>
      <c r="G505" s="183" t="s">
        <v>346</v>
      </c>
      <c r="H505" s="183" t="s">
        <v>90</v>
      </c>
      <c r="I505" s="183" t="s">
        <v>90</v>
      </c>
      <c r="J505" s="76" t="n">
        <v>2</v>
      </c>
      <c r="K505" s="73" t="str">
        <f aca="false">IFERROR(VLOOKUP($J505,$J$10:$K$13,2,0),"")</f>
        <v>SUB DISTRIBUTOR</v>
      </c>
      <c r="L505" s="73" t="s">
        <v>26</v>
      </c>
      <c r="M505" s="76" t="n">
        <v>4</v>
      </c>
      <c r="N505" s="73" t="str">
        <f aca="false">IFERROR(VLOOKUP($M505,$M$3:$Q$14,2,0),"")</f>
        <v>In Pack</v>
      </c>
      <c r="O505" s="73" t="str">
        <f aca="false">IFERROR(VLOOKUP($M505,$M$3:$Q$14,3,0),"")</f>
        <v>Box</v>
      </c>
      <c r="P505" s="76" t="n">
        <f aca="false">IFERROR(VLOOKUP($M505,$M$3:$Q$14,4,0),"")</f>
        <v>2</v>
      </c>
      <c r="Q505" s="73" t="n">
        <f aca="false">IFERROR(VLOOKUP($M505,$M$3:$Q$14,5,0),"")</f>
        <v>0</v>
      </c>
      <c r="R505" s="73" t="n">
        <v>12</v>
      </c>
      <c r="S505" s="77" t="n">
        <f aca="false">S504/12</f>
        <v>35100</v>
      </c>
      <c r="T505" s="78" t="n">
        <f aca="false">S505/1.11</f>
        <v>31621.6216216216</v>
      </c>
      <c r="U505" s="79" t="n">
        <f aca="false">V505+(V505*11%)</f>
        <v>32269.92</v>
      </c>
      <c r="V505" s="79" t="n">
        <v>29072</v>
      </c>
      <c r="W505" s="1" t="e">
        <f aca="false">VLOOKUP($G505,#REF!,2,0)</f>
        <v>#VALUE!</v>
      </c>
    </row>
    <row r="506" customFormat="false" ht="13.5" hidden="true" customHeight="false" outlineLevel="0" collapsed="false">
      <c r="A506" s="53"/>
      <c r="B506" s="53"/>
      <c r="C506" s="73" t="n">
        <v>179</v>
      </c>
      <c r="D506" s="73"/>
      <c r="E506" s="183" t="s">
        <v>352</v>
      </c>
      <c r="F506" s="183" t="s">
        <v>346</v>
      </c>
      <c r="G506" s="183" t="s">
        <v>346</v>
      </c>
      <c r="H506" s="183" t="s">
        <v>90</v>
      </c>
      <c r="I506" s="183" t="s">
        <v>90</v>
      </c>
      <c r="J506" s="76" t="n">
        <v>2</v>
      </c>
      <c r="K506" s="73" t="str">
        <f aca="false">IFERROR(VLOOKUP($J506,$J$10:$K$13,2,0),"")</f>
        <v>SUB DISTRIBUTOR</v>
      </c>
      <c r="L506" s="73" t="s">
        <v>26</v>
      </c>
      <c r="M506" s="76" t="n">
        <v>9</v>
      </c>
      <c r="N506" s="73" t="str">
        <f aca="false">IFERROR(VLOOKUP($M506,$M$3:$Q$14,2,0),"")</f>
        <v>In Pcs</v>
      </c>
      <c r="O506" s="73" t="str">
        <f aca="false">IFERROR(VLOOKUP($M506,$M$3:$Q$14,3,0),"")</f>
        <v>Pcs</v>
      </c>
      <c r="P506" s="76" t="n">
        <f aca="false">IFERROR(VLOOKUP($M506,$M$3:$Q$14,4,0),"")</f>
        <v>4</v>
      </c>
      <c r="Q506" s="73" t="str">
        <f aca="false">IFERROR(VLOOKUP($M506,$M$3:$Q$14,5,0),"")</f>
        <v>small</v>
      </c>
      <c r="R506" s="73" t="n">
        <v>240</v>
      </c>
      <c r="S506" s="77" t="n">
        <f aca="false">S505/20</f>
        <v>1755</v>
      </c>
      <c r="T506" s="78" t="n">
        <f aca="false">S506/1.11</f>
        <v>1581.08108108108</v>
      </c>
      <c r="U506" s="79" t="n">
        <f aca="false">V506+(V506*11%)</f>
        <v>1612.83</v>
      </c>
      <c r="V506" s="79" t="n">
        <v>1453</v>
      </c>
      <c r="W506" s="1" t="e">
        <f aca="false">VLOOKUP($G506,#REF!,2,0)</f>
        <v>#VALUE!</v>
      </c>
    </row>
    <row r="507" customFormat="false" ht="13.5" hidden="true" customHeight="false" outlineLevel="0" collapsed="false">
      <c r="A507" s="53"/>
      <c r="B507" s="53"/>
      <c r="C507" s="73" t="n">
        <v>180</v>
      </c>
      <c r="D507" s="73"/>
      <c r="E507" s="183" t="s">
        <v>353</v>
      </c>
      <c r="F507" s="183" t="s">
        <v>346</v>
      </c>
      <c r="G507" s="183" t="s">
        <v>346</v>
      </c>
      <c r="H507" s="183" t="s">
        <v>90</v>
      </c>
      <c r="I507" s="183" t="s">
        <v>90</v>
      </c>
      <c r="J507" s="76" t="n">
        <v>2</v>
      </c>
      <c r="K507" s="73" t="str">
        <f aca="false">IFERROR(VLOOKUP($J507,$J$10:$K$13,2,0),"")</f>
        <v>SUB DISTRIBUTOR</v>
      </c>
      <c r="L507" s="73" t="s">
        <v>26</v>
      </c>
      <c r="M507" s="76" t="n">
        <v>1</v>
      </c>
      <c r="N507" s="73" t="str">
        <f aca="false">IFERROR(VLOOKUP($M507,$M$3:$Q$14,2,0),"")</f>
        <v>In Carton</v>
      </c>
      <c r="O507" s="73" t="str">
        <f aca="false">IFERROR(VLOOKUP($M507,$M$3:$Q$14,3,0),"")</f>
        <v>Carton</v>
      </c>
      <c r="P507" s="76" t="n">
        <f aca="false">IFERROR(VLOOKUP($M507,$M$3:$Q$14,4,0),"")</f>
        <v>1</v>
      </c>
      <c r="Q507" s="73" t="str">
        <f aca="false">IFERROR(VLOOKUP($M507,$M$3:$Q$14,5,0),"")</f>
        <v>large</v>
      </c>
      <c r="R507" s="73" t="n">
        <v>1</v>
      </c>
      <c r="S507" s="77" t="n">
        <f aca="false">35100*12</f>
        <v>421200</v>
      </c>
      <c r="T507" s="78" t="n">
        <f aca="false">S507/1.11</f>
        <v>379459.459459459</v>
      </c>
      <c r="U507" s="79" t="n">
        <f aca="false">V507+(V507*11%)</f>
        <v>387239.04</v>
      </c>
      <c r="V507" s="79" t="n">
        <v>348864</v>
      </c>
      <c r="W507" s="1" t="e">
        <f aca="false">VLOOKUP($G507,#REF!,2,0)</f>
        <v>#VALUE!</v>
      </c>
    </row>
    <row r="508" customFormat="false" ht="13.5" hidden="true" customHeight="false" outlineLevel="0" collapsed="false">
      <c r="A508" s="53"/>
      <c r="B508" s="53"/>
      <c r="C508" s="73" t="n">
        <v>180</v>
      </c>
      <c r="D508" s="73"/>
      <c r="E508" s="183" t="s">
        <v>353</v>
      </c>
      <c r="F508" s="183" t="s">
        <v>346</v>
      </c>
      <c r="G508" s="183" t="s">
        <v>346</v>
      </c>
      <c r="H508" s="183" t="s">
        <v>90</v>
      </c>
      <c r="I508" s="183" t="s">
        <v>90</v>
      </c>
      <c r="J508" s="76" t="n">
        <v>2</v>
      </c>
      <c r="K508" s="73" t="str">
        <f aca="false">IFERROR(VLOOKUP($J508,$J$10:$K$13,2,0),"")</f>
        <v>SUB DISTRIBUTOR</v>
      </c>
      <c r="L508" s="73" t="s">
        <v>26</v>
      </c>
      <c r="M508" s="76" t="n">
        <v>4</v>
      </c>
      <c r="N508" s="73" t="str">
        <f aca="false">IFERROR(VLOOKUP($M508,$M$3:$Q$14,2,0),"")</f>
        <v>In Pack</v>
      </c>
      <c r="O508" s="73" t="str">
        <f aca="false">IFERROR(VLOOKUP($M508,$M$3:$Q$14,3,0),"")</f>
        <v>Box</v>
      </c>
      <c r="P508" s="76" t="n">
        <f aca="false">IFERROR(VLOOKUP($M508,$M$3:$Q$14,4,0),"")</f>
        <v>2</v>
      </c>
      <c r="Q508" s="73" t="n">
        <f aca="false">IFERROR(VLOOKUP($M508,$M$3:$Q$14,5,0),"")</f>
        <v>0</v>
      </c>
      <c r="R508" s="73" t="n">
        <v>12</v>
      </c>
      <c r="S508" s="77" t="n">
        <f aca="false">S507/12</f>
        <v>35100</v>
      </c>
      <c r="T508" s="78" t="n">
        <f aca="false">S508/1.11</f>
        <v>31621.6216216216</v>
      </c>
      <c r="U508" s="79" t="n">
        <f aca="false">V508+(V508*11%)</f>
        <v>32269.92</v>
      </c>
      <c r="V508" s="79" t="n">
        <v>29072</v>
      </c>
      <c r="W508" s="1" t="e">
        <f aca="false">VLOOKUP($G508,#REF!,2,0)</f>
        <v>#VALUE!</v>
      </c>
    </row>
    <row r="509" customFormat="false" ht="13.5" hidden="true" customHeight="false" outlineLevel="0" collapsed="false">
      <c r="A509" s="53"/>
      <c r="B509" s="53"/>
      <c r="C509" s="73" t="n">
        <v>180</v>
      </c>
      <c r="D509" s="73"/>
      <c r="E509" s="183" t="s">
        <v>353</v>
      </c>
      <c r="F509" s="183" t="s">
        <v>346</v>
      </c>
      <c r="G509" s="183" t="s">
        <v>346</v>
      </c>
      <c r="H509" s="183" t="s">
        <v>90</v>
      </c>
      <c r="I509" s="183" t="s">
        <v>90</v>
      </c>
      <c r="J509" s="76" t="n">
        <v>2</v>
      </c>
      <c r="K509" s="73" t="str">
        <f aca="false">IFERROR(VLOOKUP($J509,$J$10:$K$13,2,0),"")</f>
        <v>SUB DISTRIBUTOR</v>
      </c>
      <c r="L509" s="73" t="s">
        <v>26</v>
      </c>
      <c r="M509" s="76" t="n">
        <v>9</v>
      </c>
      <c r="N509" s="73" t="str">
        <f aca="false">IFERROR(VLOOKUP($M509,$M$3:$Q$14,2,0),"")</f>
        <v>In Pcs</v>
      </c>
      <c r="O509" s="73" t="str">
        <f aca="false">IFERROR(VLOOKUP($M509,$M$3:$Q$14,3,0),"")</f>
        <v>Pcs</v>
      </c>
      <c r="P509" s="76" t="n">
        <f aca="false">IFERROR(VLOOKUP($M509,$M$3:$Q$14,4,0),"")</f>
        <v>4</v>
      </c>
      <c r="Q509" s="73" t="str">
        <f aca="false">IFERROR(VLOOKUP($M509,$M$3:$Q$14,5,0),"")</f>
        <v>small</v>
      </c>
      <c r="R509" s="73" t="n">
        <v>240</v>
      </c>
      <c r="S509" s="77" t="n">
        <f aca="false">S508/20</f>
        <v>1755</v>
      </c>
      <c r="T509" s="78" t="n">
        <f aca="false">S509/1.11</f>
        <v>1581.08108108108</v>
      </c>
      <c r="U509" s="79" t="n">
        <f aca="false">V509+(V509*11%)</f>
        <v>1612.83</v>
      </c>
      <c r="V509" s="79" t="n">
        <v>1453</v>
      </c>
      <c r="W509" s="1" t="e">
        <f aca="false">VLOOKUP($G509,#REF!,2,0)</f>
        <v>#VALUE!</v>
      </c>
    </row>
    <row r="510" customFormat="false" ht="12" hidden="true" customHeight="false" outlineLevel="0" collapsed="false">
      <c r="K510" s="184" t="str">
        <f aca="false">IFERROR(VLOOKUP($J510,$J$10:$K$13,2,0),"")</f>
        <v/>
      </c>
      <c r="L510" s="184" t="s">
        <v>26</v>
      </c>
      <c r="M510" s="185"/>
      <c r="N510" s="184" t="str">
        <f aca="false">IFERROR(VLOOKUP($M510,$M$3:$Q$14,2,0),"")</f>
        <v/>
      </c>
      <c r="O510" s="184" t="str">
        <f aca="false">IFERROR(VLOOKUP($M510,$M$3:$Q$14,3,0),"")</f>
        <v/>
      </c>
      <c r="P510" s="185" t="str">
        <f aca="false">IFERROR(VLOOKUP($M510,$M$3:$Q$14,4,0),"")</f>
        <v/>
      </c>
      <c r="Q510" s="184" t="str">
        <f aca="false">IFERROR(VLOOKUP($M510,$M$3:$Q$14,5,0),"")</f>
        <v/>
      </c>
      <c r="T510" s="186" t="n">
        <f aca="false">S510/1.11</f>
        <v>0</v>
      </c>
    </row>
    <row r="511" customFormat="false" ht="12" hidden="true" customHeight="false" outlineLevel="0" collapsed="false">
      <c r="K511" s="184" t="str">
        <f aca="false">IFERROR(VLOOKUP($J511,$J$10:$K$13,2,0),"")</f>
        <v/>
      </c>
      <c r="L511" s="184" t="s">
        <v>26</v>
      </c>
      <c r="M511" s="185"/>
      <c r="N511" s="184" t="str">
        <f aca="false">IFERROR(VLOOKUP($M511,$M$3:$Q$14,2,0),"")</f>
        <v/>
      </c>
      <c r="O511" s="184" t="str">
        <f aca="false">IFERROR(VLOOKUP($M511,$M$3:$Q$14,3,0),"")</f>
        <v/>
      </c>
      <c r="P511" s="185" t="str">
        <f aca="false">IFERROR(VLOOKUP($M511,$M$3:$Q$14,4,0),"")</f>
        <v/>
      </c>
      <c r="Q511" s="184" t="str">
        <f aca="false">IFERROR(VLOOKUP($M511,$M$3:$Q$14,5,0),"")</f>
        <v/>
      </c>
      <c r="T511" s="186" t="n">
        <f aca="false">S511/1.11</f>
        <v>0</v>
      </c>
    </row>
    <row r="512" customFormat="false" ht="12" hidden="true" customHeight="false" outlineLevel="0" collapsed="false">
      <c r="K512" s="184" t="str">
        <f aca="false">IFERROR(VLOOKUP($J512,$J$10:$K$13,2,0),"")</f>
        <v/>
      </c>
      <c r="L512" s="184" t="s">
        <v>26</v>
      </c>
      <c r="M512" s="185"/>
      <c r="N512" s="184" t="str">
        <f aca="false">IFERROR(VLOOKUP($M512,$M$3:$Q$14,2,0),"")</f>
        <v/>
      </c>
      <c r="O512" s="184" t="str">
        <f aca="false">IFERROR(VLOOKUP($M512,$M$3:$Q$14,3,0),"")</f>
        <v/>
      </c>
      <c r="P512" s="185" t="str">
        <f aca="false">IFERROR(VLOOKUP($M512,$M$3:$Q$14,4,0),"")</f>
        <v/>
      </c>
      <c r="Q512" s="184" t="str">
        <f aca="false">IFERROR(VLOOKUP($M512,$M$3:$Q$14,5,0),"")</f>
        <v/>
      </c>
      <c r="T512" s="186" t="n">
        <f aca="false">S512/1.11</f>
        <v>0</v>
      </c>
    </row>
    <row r="513" customFormat="false" ht="12" hidden="true" customHeight="false" outlineLevel="0" collapsed="false">
      <c r="K513" s="184" t="str">
        <f aca="false">IFERROR(VLOOKUP($J513,$J$10:$K$13,2,0),"")</f>
        <v/>
      </c>
      <c r="L513" s="184" t="s">
        <v>26</v>
      </c>
      <c r="M513" s="185"/>
      <c r="N513" s="184" t="str">
        <f aca="false">IFERROR(VLOOKUP($M513,$M$3:$Q$14,2,0),"")</f>
        <v/>
      </c>
      <c r="O513" s="184" t="str">
        <f aca="false">IFERROR(VLOOKUP($M513,$M$3:$Q$14,3,0),"")</f>
        <v/>
      </c>
      <c r="P513" s="185" t="str">
        <f aca="false">IFERROR(VLOOKUP($M513,$M$3:$Q$14,4,0),"")</f>
        <v/>
      </c>
      <c r="Q513" s="184" t="str">
        <f aca="false">IFERROR(VLOOKUP($M513,$M$3:$Q$14,5,0),"")</f>
        <v/>
      </c>
      <c r="T513" s="186" t="n">
        <f aca="false">S513/1.11</f>
        <v>0</v>
      </c>
    </row>
    <row r="514" customFormat="false" ht="12" hidden="true" customHeight="false" outlineLevel="0" collapsed="false">
      <c r="K514" s="184" t="str">
        <f aca="false">IFERROR(VLOOKUP($J514,$J$10:$K$13,2,0),"")</f>
        <v/>
      </c>
      <c r="L514" s="184" t="s">
        <v>26</v>
      </c>
      <c r="M514" s="185"/>
      <c r="N514" s="184" t="str">
        <f aca="false">IFERROR(VLOOKUP($M514,$M$3:$Q$14,2,0),"")</f>
        <v/>
      </c>
      <c r="O514" s="184" t="str">
        <f aca="false">IFERROR(VLOOKUP($M514,$M$3:$Q$14,3,0),"")</f>
        <v/>
      </c>
      <c r="P514" s="185" t="str">
        <f aca="false">IFERROR(VLOOKUP($M514,$M$3:$Q$14,4,0),"")</f>
        <v/>
      </c>
      <c r="Q514" s="184" t="str">
        <f aca="false">IFERROR(VLOOKUP($M514,$M$3:$Q$14,5,0),"")</f>
        <v/>
      </c>
      <c r="T514" s="186" t="n">
        <f aca="false">S514/1.11</f>
        <v>0</v>
      </c>
    </row>
    <row r="515" customFormat="false" ht="12" hidden="true" customHeight="false" outlineLevel="0" collapsed="false">
      <c r="K515" s="184" t="str">
        <f aca="false">IFERROR(VLOOKUP($J515,$J$10:$K$13,2,0),"")</f>
        <v/>
      </c>
      <c r="L515" s="184" t="s">
        <v>26</v>
      </c>
      <c r="M515" s="185"/>
      <c r="N515" s="184" t="str">
        <f aca="false">IFERROR(VLOOKUP($M515,$M$3:$Q$14,2,0),"")</f>
        <v/>
      </c>
      <c r="O515" s="184" t="str">
        <f aca="false">IFERROR(VLOOKUP($M515,$M$3:$Q$14,3,0),"")</f>
        <v/>
      </c>
      <c r="P515" s="185" t="str">
        <f aca="false">IFERROR(VLOOKUP($M515,$M$3:$Q$14,4,0),"")</f>
        <v/>
      </c>
      <c r="Q515" s="184" t="str">
        <f aca="false">IFERROR(VLOOKUP($M515,$M$3:$Q$14,5,0),"")</f>
        <v/>
      </c>
      <c r="T515" s="186" t="n">
        <f aca="false">S515/1.11</f>
        <v>0</v>
      </c>
    </row>
    <row r="516" customFormat="false" ht="12" hidden="true" customHeight="false" outlineLevel="0" collapsed="false">
      <c r="K516" s="184" t="str">
        <f aca="false">IFERROR(VLOOKUP($J516,$J$10:$K$13,2,0),"")</f>
        <v/>
      </c>
      <c r="L516" s="184" t="s">
        <v>26</v>
      </c>
      <c r="M516" s="185"/>
      <c r="N516" s="184" t="str">
        <f aca="false">IFERROR(VLOOKUP($M516,$M$3:$Q$14,2,0),"")</f>
        <v/>
      </c>
      <c r="O516" s="184" t="str">
        <f aca="false">IFERROR(VLOOKUP($M516,$M$3:$Q$14,3,0),"")</f>
        <v/>
      </c>
      <c r="P516" s="185" t="str">
        <f aca="false">IFERROR(VLOOKUP($M516,$M$3:$Q$14,4,0),"")</f>
        <v/>
      </c>
      <c r="Q516" s="184" t="str">
        <f aca="false">IFERROR(VLOOKUP($M516,$M$3:$Q$14,5,0),"")</f>
        <v/>
      </c>
      <c r="T516" s="186" t="n">
        <f aca="false">S516/1.11</f>
        <v>0</v>
      </c>
    </row>
    <row r="517" customFormat="false" ht="12" hidden="true" customHeight="false" outlineLevel="0" collapsed="false">
      <c r="K517" s="184" t="str">
        <f aca="false">IFERROR(VLOOKUP($J517,$J$10:$K$13,2,0),"")</f>
        <v/>
      </c>
      <c r="L517" s="184" t="s">
        <v>26</v>
      </c>
      <c r="M517" s="185"/>
      <c r="N517" s="184" t="str">
        <f aca="false">IFERROR(VLOOKUP($M517,$M$3:$Q$14,2,0),"")</f>
        <v/>
      </c>
      <c r="O517" s="184" t="str">
        <f aca="false">IFERROR(VLOOKUP($M517,$M$3:$Q$14,3,0),"")</f>
        <v/>
      </c>
      <c r="P517" s="185" t="str">
        <f aca="false">IFERROR(VLOOKUP($M517,$M$3:$Q$14,4,0),"")</f>
        <v/>
      </c>
      <c r="Q517" s="184" t="str">
        <f aca="false">IFERROR(VLOOKUP($M517,$M$3:$Q$14,5,0),"")</f>
        <v/>
      </c>
      <c r="T517" s="186" t="n">
        <f aca="false">S517/1.11</f>
        <v>0</v>
      </c>
    </row>
    <row r="518" customFormat="false" ht="12" hidden="true" customHeight="false" outlineLevel="0" collapsed="false">
      <c r="K518" s="184" t="str">
        <f aca="false">IFERROR(VLOOKUP($J518,$J$10:$K$13,2,0),"")</f>
        <v/>
      </c>
      <c r="L518" s="184" t="s">
        <v>26</v>
      </c>
      <c r="M518" s="185"/>
      <c r="N518" s="184" t="str">
        <f aca="false">IFERROR(VLOOKUP($M518,$M$3:$Q$14,2,0),"")</f>
        <v/>
      </c>
      <c r="O518" s="184" t="str">
        <f aca="false">IFERROR(VLOOKUP($M518,$M$3:$Q$14,3,0),"")</f>
        <v/>
      </c>
      <c r="P518" s="185" t="str">
        <f aca="false">IFERROR(VLOOKUP($M518,$M$3:$Q$14,4,0),"")</f>
        <v/>
      </c>
      <c r="Q518" s="184" t="str">
        <f aca="false">IFERROR(VLOOKUP($M518,$M$3:$Q$14,5,0),"")</f>
        <v/>
      </c>
      <c r="T518" s="186" t="n">
        <f aca="false">S518/1.11</f>
        <v>0</v>
      </c>
    </row>
    <row r="519" customFormat="false" ht="12" hidden="true" customHeight="false" outlineLevel="0" collapsed="false">
      <c r="K519" s="184" t="str">
        <f aca="false">IFERROR(VLOOKUP($J519,$J$10:$K$13,2,0),"")</f>
        <v/>
      </c>
      <c r="L519" s="184" t="s">
        <v>26</v>
      </c>
      <c r="M519" s="185"/>
      <c r="N519" s="184" t="str">
        <f aca="false">IFERROR(VLOOKUP($M519,$M$3:$Q$14,2,0),"")</f>
        <v/>
      </c>
      <c r="O519" s="184" t="str">
        <f aca="false">IFERROR(VLOOKUP($M519,$M$3:$Q$14,3,0),"")</f>
        <v/>
      </c>
      <c r="P519" s="185" t="str">
        <f aca="false">IFERROR(VLOOKUP($M519,$M$3:$Q$14,4,0),"")</f>
        <v/>
      </c>
      <c r="Q519" s="184" t="str">
        <f aca="false">IFERROR(VLOOKUP($M519,$M$3:$Q$14,5,0),"")</f>
        <v/>
      </c>
      <c r="T519" s="186" t="n">
        <f aca="false">S519/1.11</f>
        <v>0</v>
      </c>
    </row>
    <row r="520" customFormat="false" ht="12" hidden="true" customHeight="false" outlineLevel="0" collapsed="false">
      <c r="K520" s="184" t="str">
        <f aca="false">IFERROR(VLOOKUP($J520,$J$10:$K$13,2,0),"")</f>
        <v/>
      </c>
      <c r="L520" s="184" t="s">
        <v>26</v>
      </c>
      <c r="M520" s="185"/>
      <c r="N520" s="184" t="str">
        <f aca="false">IFERROR(VLOOKUP($M520,$M$3:$Q$14,2,0),"")</f>
        <v/>
      </c>
      <c r="O520" s="184" t="str">
        <f aca="false">IFERROR(VLOOKUP($M520,$M$3:$Q$14,3,0),"")</f>
        <v/>
      </c>
      <c r="P520" s="185" t="str">
        <f aca="false">IFERROR(VLOOKUP($M520,$M$3:$Q$14,4,0),"")</f>
        <v/>
      </c>
      <c r="Q520" s="184" t="str">
        <f aca="false">IFERROR(VLOOKUP($M520,$M$3:$Q$14,5,0),"")</f>
        <v/>
      </c>
      <c r="T520" s="186" t="n">
        <f aca="false">S520/1.11</f>
        <v>0</v>
      </c>
    </row>
    <row r="521" customFormat="false" ht="12" hidden="true" customHeight="false" outlineLevel="0" collapsed="false">
      <c r="K521" s="184" t="str">
        <f aca="false">IFERROR(VLOOKUP($J521,$J$10:$K$13,2,0),"")</f>
        <v/>
      </c>
      <c r="L521" s="184" t="s">
        <v>26</v>
      </c>
      <c r="M521" s="185"/>
      <c r="N521" s="184" t="str">
        <f aca="false">IFERROR(VLOOKUP($M521,$M$3:$Q$14,2,0),"")</f>
        <v/>
      </c>
      <c r="O521" s="184" t="str">
        <f aca="false">IFERROR(VLOOKUP($M521,$M$3:$Q$14,3,0),"")</f>
        <v/>
      </c>
      <c r="P521" s="185" t="str">
        <f aca="false">IFERROR(VLOOKUP($M521,$M$3:$Q$14,4,0),"")</f>
        <v/>
      </c>
      <c r="Q521" s="184" t="str">
        <f aca="false">IFERROR(VLOOKUP($M521,$M$3:$Q$14,5,0),"")</f>
        <v/>
      </c>
      <c r="T521" s="186" t="n">
        <f aca="false">S521/1.11</f>
        <v>0</v>
      </c>
    </row>
    <row r="522" customFormat="false" ht="12" hidden="true" customHeight="false" outlineLevel="0" collapsed="false">
      <c r="K522" s="184" t="str">
        <f aca="false">IFERROR(VLOOKUP($J522,$J$10:$K$13,2,0),"")</f>
        <v/>
      </c>
      <c r="L522" s="184" t="s">
        <v>26</v>
      </c>
      <c r="M522" s="185"/>
      <c r="N522" s="184" t="str">
        <f aca="false">IFERROR(VLOOKUP($M522,$M$3:$Q$14,2,0),"")</f>
        <v/>
      </c>
      <c r="O522" s="184" t="str">
        <f aca="false">IFERROR(VLOOKUP($M522,$M$3:$Q$14,3,0),"")</f>
        <v/>
      </c>
      <c r="P522" s="185" t="str">
        <f aca="false">IFERROR(VLOOKUP($M522,$M$3:$Q$14,4,0),"")</f>
        <v/>
      </c>
      <c r="Q522" s="184" t="str">
        <f aca="false">IFERROR(VLOOKUP($M522,$M$3:$Q$14,5,0),"")</f>
        <v/>
      </c>
      <c r="T522" s="186" t="n">
        <f aca="false">S522/1.11</f>
        <v>0</v>
      </c>
    </row>
    <row r="523" customFormat="false" ht="12" hidden="true" customHeight="false" outlineLevel="0" collapsed="false">
      <c r="K523" s="184" t="str">
        <f aca="false">IFERROR(VLOOKUP($J523,$J$10:$K$13,2,0),"")</f>
        <v/>
      </c>
      <c r="L523" s="184" t="s">
        <v>26</v>
      </c>
      <c r="M523" s="185"/>
      <c r="N523" s="184" t="str">
        <f aca="false">IFERROR(VLOOKUP($M523,$M$3:$Q$14,2,0),"")</f>
        <v/>
      </c>
      <c r="O523" s="184" t="str">
        <f aca="false">IFERROR(VLOOKUP($M523,$M$3:$Q$14,3,0),"")</f>
        <v/>
      </c>
      <c r="P523" s="185" t="str">
        <f aca="false">IFERROR(VLOOKUP($M523,$M$3:$Q$14,4,0),"")</f>
        <v/>
      </c>
      <c r="Q523" s="184" t="str">
        <f aca="false">IFERROR(VLOOKUP($M523,$M$3:$Q$14,5,0),"")</f>
        <v/>
      </c>
      <c r="T523" s="186" t="n">
        <f aca="false">S523/1.11</f>
        <v>0</v>
      </c>
    </row>
    <row r="524" customFormat="false" ht="12" hidden="true" customHeight="false" outlineLevel="0" collapsed="false">
      <c r="K524" s="184" t="str">
        <f aca="false">IFERROR(VLOOKUP($J524,$J$10:$K$13,2,0),"")</f>
        <v/>
      </c>
      <c r="L524" s="184" t="s">
        <v>26</v>
      </c>
      <c r="M524" s="185"/>
      <c r="N524" s="184" t="str">
        <f aca="false">IFERROR(VLOOKUP($M524,$M$3:$Q$14,2,0),"")</f>
        <v/>
      </c>
      <c r="O524" s="184" t="str">
        <f aca="false">IFERROR(VLOOKUP($M524,$M$3:$Q$14,3,0),"")</f>
        <v/>
      </c>
      <c r="P524" s="185" t="str">
        <f aca="false">IFERROR(VLOOKUP($M524,$M$3:$Q$14,4,0),"")</f>
        <v/>
      </c>
      <c r="Q524" s="184" t="str">
        <f aca="false">IFERROR(VLOOKUP($M524,$M$3:$Q$14,5,0),"")</f>
        <v/>
      </c>
      <c r="T524" s="186" t="n">
        <f aca="false">S524/1.11</f>
        <v>0</v>
      </c>
    </row>
    <row r="525" customFormat="false" ht="12" hidden="true" customHeight="false" outlineLevel="0" collapsed="false">
      <c r="K525" s="184" t="str">
        <f aca="false">IFERROR(VLOOKUP($J525,$J$10:$K$13,2,0),"")</f>
        <v/>
      </c>
      <c r="L525" s="184" t="s">
        <v>26</v>
      </c>
      <c r="M525" s="185"/>
      <c r="N525" s="184" t="str">
        <f aca="false">IFERROR(VLOOKUP($M525,$M$3:$Q$14,2,0),"")</f>
        <v/>
      </c>
      <c r="O525" s="184" t="str">
        <f aca="false">IFERROR(VLOOKUP($M525,$M$3:$Q$14,3,0),"")</f>
        <v/>
      </c>
      <c r="P525" s="185" t="str">
        <f aca="false">IFERROR(VLOOKUP($M525,$M$3:$Q$14,4,0),"")</f>
        <v/>
      </c>
      <c r="Q525" s="184" t="str">
        <f aca="false">IFERROR(VLOOKUP($M525,$M$3:$Q$14,5,0),"")</f>
        <v/>
      </c>
      <c r="T525" s="186" t="n">
        <f aca="false">S525/1.11</f>
        <v>0</v>
      </c>
    </row>
    <row r="526" customFormat="false" ht="12" hidden="true" customHeight="false" outlineLevel="0" collapsed="false">
      <c r="K526" s="184" t="str">
        <f aca="false">IFERROR(VLOOKUP($J526,$J$10:$K$13,2,0),"")</f>
        <v/>
      </c>
      <c r="L526" s="184" t="s">
        <v>26</v>
      </c>
      <c r="M526" s="185"/>
      <c r="N526" s="184" t="str">
        <f aca="false">IFERROR(VLOOKUP($M526,$M$3:$Q$14,2,0),"")</f>
        <v/>
      </c>
      <c r="O526" s="184" t="str">
        <f aca="false">IFERROR(VLOOKUP($M526,$M$3:$Q$14,3,0),"")</f>
        <v/>
      </c>
      <c r="P526" s="185" t="str">
        <f aca="false">IFERROR(VLOOKUP($M526,$M$3:$Q$14,4,0),"")</f>
        <v/>
      </c>
      <c r="Q526" s="184" t="str">
        <f aca="false">IFERROR(VLOOKUP($M526,$M$3:$Q$14,5,0),"")</f>
        <v/>
      </c>
      <c r="T526" s="186" t="n">
        <f aca="false">S526/1.11</f>
        <v>0</v>
      </c>
    </row>
    <row r="527" customFormat="false" ht="12" hidden="true" customHeight="false" outlineLevel="0" collapsed="false">
      <c r="K527" s="184" t="str">
        <f aca="false">IFERROR(VLOOKUP($J527,$J$10:$K$13,2,0),"")</f>
        <v/>
      </c>
      <c r="L527" s="184" t="s">
        <v>26</v>
      </c>
      <c r="M527" s="185"/>
      <c r="N527" s="184" t="str">
        <f aca="false">IFERROR(VLOOKUP($M527,$M$3:$Q$14,2,0),"")</f>
        <v/>
      </c>
      <c r="O527" s="184" t="str">
        <f aca="false">IFERROR(VLOOKUP($M527,$M$3:$Q$14,3,0),"")</f>
        <v/>
      </c>
      <c r="P527" s="185" t="str">
        <f aca="false">IFERROR(VLOOKUP($M527,$M$3:$Q$14,4,0),"")</f>
        <v/>
      </c>
      <c r="Q527" s="184" t="str">
        <f aca="false">IFERROR(VLOOKUP($M527,$M$3:$Q$14,5,0),"")</f>
        <v/>
      </c>
      <c r="T527" s="186" t="n">
        <f aca="false">S527/1.11</f>
        <v>0</v>
      </c>
    </row>
    <row r="528" customFormat="false" ht="12" hidden="true" customHeight="false" outlineLevel="0" collapsed="false">
      <c r="K528" s="184" t="str">
        <f aca="false">IFERROR(VLOOKUP($J528,$J$10:$K$13,2,0),"")</f>
        <v/>
      </c>
      <c r="L528" s="184" t="s">
        <v>26</v>
      </c>
      <c r="M528" s="185"/>
      <c r="N528" s="184" t="str">
        <f aca="false">IFERROR(VLOOKUP($M528,$M$3:$Q$14,2,0),"")</f>
        <v/>
      </c>
      <c r="O528" s="184" t="str">
        <f aca="false">IFERROR(VLOOKUP($M528,$M$3:$Q$14,3,0),"")</f>
        <v/>
      </c>
      <c r="P528" s="185" t="str">
        <f aca="false">IFERROR(VLOOKUP($M528,$M$3:$Q$14,4,0),"")</f>
        <v/>
      </c>
      <c r="Q528" s="184" t="str">
        <f aca="false">IFERROR(VLOOKUP($M528,$M$3:$Q$14,5,0),"")</f>
        <v/>
      </c>
      <c r="T528" s="186" t="n">
        <f aca="false">S528/1.11</f>
        <v>0</v>
      </c>
    </row>
    <row r="529" customFormat="false" ht="12" hidden="true" customHeight="false" outlineLevel="0" collapsed="false">
      <c r="K529" s="184" t="str">
        <f aca="false">IFERROR(VLOOKUP($J529,$J$10:$K$13,2,0),"")</f>
        <v/>
      </c>
      <c r="L529" s="184" t="s">
        <v>26</v>
      </c>
      <c r="M529" s="185"/>
      <c r="N529" s="184" t="str">
        <f aca="false">IFERROR(VLOOKUP($M529,$M$3:$Q$14,2,0),"")</f>
        <v/>
      </c>
      <c r="O529" s="184" t="str">
        <f aca="false">IFERROR(VLOOKUP($M529,$M$3:$Q$14,3,0),"")</f>
        <v/>
      </c>
      <c r="P529" s="185" t="str">
        <f aca="false">IFERROR(VLOOKUP($M529,$M$3:$Q$14,4,0),"")</f>
        <v/>
      </c>
      <c r="Q529" s="184" t="str">
        <f aca="false">IFERROR(VLOOKUP($M529,$M$3:$Q$14,5,0),"")</f>
        <v/>
      </c>
      <c r="T529" s="186" t="n">
        <f aca="false">S529/1.11</f>
        <v>0</v>
      </c>
    </row>
    <row r="530" customFormat="false" ht="12" hidden="true" customHeight="false" outlineLevel="0" collapsed="false">
      <c r="K530" s="184" t="str">
        <f aca="false">IFERROR(VLOOKUP($J530,$J$10:$K$13,2,0),"")</f>
        <v/>
      </c>
      <c r="L530" s="184" t="s">
        <v>26</v>
      </c>
      <c r="M530" s="185"/>
      <c r="N530" s="184" t="str">
        <f aca="false">IFERROR(VLOOKUP($M530,$M$3:$Q$14,2,0),"")</f>
        <v/>
      </c>
      <c r="O530" s="184" t="str">
        <f aca="false">IFERROR(VLOOKUP($M530,$M$3:$Q$14,3,0),"")</f>
        <v/>
      </c>
      <c r="P530" s="185" t="str">
        <f aca="false">IFERROR(VLOOKUP($M530,$M$3:$Q$14,4,0),"")</f>
        <v/>
      </c>
      <c r="Q530" s="184" t="str">
        <f aca="false">IFERROR(VLOOKUP($M530,$M$3:$Q$14,5,0),"")</f>
        <v/>
      </c>
      <c r="T530" s="186" t="n">
        <f aca="false">S530/1.11</f>
        <v>0</v>
      </c>
    </row>
    <row r="531" customFormat="false" ht="12" hidden="true" customHeight="false" outlineLevel="0" collapsed="false">
      <c r="K531" s="184" t="str">
        <f aca="false">IFERROR(VLOOKUP($J531,$J$10:$K$13,2,0),"")</f>
        <v/>
      </c>
      <c r="L531" s="184" t="s">
        <v>26</v>
      </c>
      <c r="M531" s="185"/>
      <c r="N531" s="184" t="str">
        <f aca="false">IFERROR(VLOOKUP($M531,$M$3:$Q$14,2,0),"")</f>
        <v/>
      </c>
      <c r="O531" s="184" t="str">
        <f aca="false">IFERROR(VLOOKUP($M531,$M$3:$Q$14,3,0),"")</f>
        <v/>
      </c>
      <c r="P531" s="185" t="str">
        <f aca="false">IFERROR(VLOOKUP($M531,$M$3:$Q$14,4,0),"")</f>
        <v/>
      </c>
      <c r="Q531" s="184" t="str">
        <f aca="false">IFERROR(VLOOKUP($M531,$M$3:$Q$14,5,0),"")</f>
        <v/>
      </c>
      <c r="T531" s="186" t="n">
        <f aca="false">S531/1.11</f>
        <v>0</v>
      </c>
    </row>
    <row r="532" customFormat="false" ht="12" hidden="true" customHeight="false" outlineLevel="0" collapsed="false">
      <c r="K532" s="184" t="str">
        <f aca="false">IFERROR(VLOOKUP($J532,$J$10:$K$13,2,0),"")</f>
        <v/>
      </c>
      <c r="L532" s="184" t="s">
        <v>26</v>
      </c>
      <c r="M532" s="185"/>
      <c r="N532" s="184" t="str">
        <f aca="false">IFERROR(VLOOKUP($M532,$M$3:$Q$14,2,0),"")</f>
        <v/>
      </c>
      <c r="O532" s="184" t="str">
        <f aca="false">IFERROR(VLOOKUP($M532,$M$3:$Q$14,3,0),"")</f>
        <v/>
      </c>
      <c r="P532" s="185" t="str">
        <f aca="false">IFERROR(VLOOKUP($M532,$M$3:$Q$14,4,0),"")</f>
        <v/>
      </c>
      <c r="Q532" s="184" t="str">
        <f aca="false">IFERROR(VLOOKUP($M532,$M$3:$Q$14,5,0),"")</f>
        <v/>
      </c>
      <c r="T532" s="186" t="n">
        <f aca="false">S532/1.11</f>
        <v>0</v>
      </c>
    </row>
    <row r="533" customFormat="false" ht="12" hidden="true" customHeight="false" outlineLevel="0" collapsed="false">
      <c r="K533" s="184" t="str">
        <f aca="false">IFERROR(VLOOKUP($J533,$J$10:$K$13,2,0),"")</f>
        <v/>
      </c>
      <c r="L533" s="184" t="s">
        <v>26</v>
      </c>
      <c r="M533" s="185"/>
      <c r="N533" s="184" t="str">
        <f aca="false">IFERROR(VLOOKUP($M533,$M$3:$Q$14,2,0),"")</f>
        <v/>
      </c>
      <c r="O533" s="184" t="str">
        <f aca="false">IFERROR(VLOOKUP($M533,$M$3:$Q$14,3,0),"")</f>
        <v/>
      </c>
      <c r="P533" s="185" t="str">
        <f aca="false">IFERROR(VLOOKUP($M533,$M$3:$Q$14,4,0),"")</f>
        <v/>
      </c>
      <c r="Q533" s="184" t="str">
        <f aca="false">IFERROR(VLOOKUP($M533,$M$3:$Q$14,5,0),"")</f>
        <v/>
      </c>
      <c r="T533" s="186" t="n">
        <f aca="false">S533/1.11</f>
        <v>0</v>
      </c>
    </row>
    <row r="534" customFormat="false" ht="12" hidden="true" customHeight="false" outlineLevel="0" collapsed="false">
      <c r="K534" s="184" t="str">
        <f aca="false">IFERROR(VLOOKUP($J534,$J$10:$K$13,2,0),"")</f>
        <v/>
      </c>
      <c r="L534" s="184" t="s">
        <v>26</v>
      </c>
      <c r="M534" s="185"/>
      <c r="N534" s="184" t="str">
        <f aca="false">IFERROR(VLOOKUP($M534,$M$3:$Q$14,2,0),"")</f>
        <v/>
      </c>
      <c r="O534" s="184" t="str">
        <f aca="false">IFERROR(VLOOKUP($M534,$M$3:$Q$14,3,0),"")</f>
        <v/>
      </c>
      <c r="P534" s="185" t="str">
        <f aca="false">IFERROR(VLOOKUP($M534,$M$3:$Q$14,4,0),"")</f>
        <v/>
      </c>
      <c r="Q534" s="184" t="str">
        <f aca="false">IFERROR(VLOOKUP($M534,$M$3:$Q$14,5,0),"")</f>
        <v/>
      </c>
      <c r="T534" s="186" t="n">
        <f aca="false">S534/1.11</f>
        <v>0</v>
      </c>
    </row>
    <row r="535" customFormat="false" ht="12" hidden="true" customHeight="false" outlineLevel="0" collapsed="false">
      <c r="K535" s="184" t="str">
        <f aca="false">IFERROR(VLOOKUP($J535,$J$10:$K$13,2,0),"")</f>
        <v/>
      </c>
      <c r="L535" s="184" t="s">
        <v>26</v>
      </c>
      <c r="M535" s="185"/>
      <c r="N535" s="184" t="str">
        <f aca="false">IFERROR(VLOOKUP($M535,$M$3:$Q$14,2,0),"")</f>
        <v/>
      </c>
      <c r="O535" s="184" t="str">
        <f aca="false">IFERROR(VLOOKUP($M535,$M$3:$Q$14,3,0),"")</f>
        <v/>
      </c>
      <c r="P535" s="185" t="str">
        <f aca="false">IFERROR(VLOOKUP($M535,$M$3:$Q$14,4,0),"")</f>
        <v/>
      </c>
      <c r="Q535" s="184" t="str">
        <f aca="false">IFERROR(VLOOKUP($M535,$M$3:$Q$14,5,0),"")</f>
        <v/>
      </c>
      <c r="T535" s="186" t="n">
        <f aca="false">S535/1.11</f>
        <v>0</v>
      </c>
    </row>
    <row r="536" customFormat="false" ht="12" hidden="true" customHeight="false" outlineLevel="0" collapsed="false">
      <c r="K536" s="184" t="str">
        <f aca="false">IFERROR(VLOOKUP($J536,$J$10:$K$13,2,0),"")</f>
        <v/>
      </c>
      <c r="L536" s="184" t="s">
        <v>26</v>
      </c>
      <c r="M536" s="185"/>
      <c r="N536" s="184" t="str">
        <f aca="false">IFERROR(VLOOKUP($M536,$M$3:$Q$14,2,0),"")</f>
        <v/>
      </c>
      <c r="O536" s="184" t="str">
        <f aca="false">IFERROR(VLOOKUP($M536,$M$3:$Q$14,3,0),"")</f>
        <v/>
      </c>
      <c r="P536" s="185" t="str">
        <f aca="false">IFERROR(VLOOKUP($M536,$M$3:$Q$14,4,0),"")</f>
        <v/>
      </c>
      <c r="Q536" s="184" t="str">
        <f aca="false">IFERROR(VLOOKUP($M536,$M$3:$Q$14,5,0),"")</f>
        <v/>
      </c>
      <c r="T536" s="186" t="n">
        <f aca="false">S536/1.11</f>
        <v>0</v>
      </c>
    </row>
    <row r="537" customFormat="false" ht="12" hidden="true" customHeight="false" outlineLevel="0" collapsed="false">
      <c r="K537" s="184" t="str">
        <f aca="false">IFERROR(VLOOKUP($J537,$J$10:$K$13,2,0),"")</f>
        <v/>
      </c>
      <c r="L537" s="184" t="s">
        <v>26</v>
      </c>
      <c r="M537" s="185"/>
      <c r="N537" s="184" t="str">
        <f aca="false">IFERROR(VLOOKUP($M537,$M$3:$Q$14,2,0),"")</f>
        <v/>
      </c>
      <c r="O537" s="184" t="str">
        <f aca="false">IFERROR(VLOOKUP($M537,$M$3:$Q$14,3,0),"")</f>
        <v/>
      </c>
      <c r="P537" s="185" t="str">
        <f aca="false">IFERROR(VLOOKUP($M537,$M$3:$Q$14,4,0),"")</f>
        <v/>
      </c>
      <c r="Q537" s="184" t="str">
        <f aca="false">IFERROR(VLOOKUP($M537,$M$3:$Q$14,5,0),"")</f>
        <v/>
      </c>
      <c r="T537" s="186" t="n">
        <f aca="false">S537/1.11</f>
        <v>0</v>
      </c>
    </row>
    <row r="538" customFormat="false" ht="12" hidden="true" customHeight="false" outlineLevel="0" collapsed="false">
      <c r="K538" s="184" t="str">
        <f aca="false">IFERROR(VLOOKUP($J538,$J$10:$K$13,2,0),"")</f>
        <v/>
      </c>
      <c r="L538" s="184" t="s">
        <v>26</v>
      </c>
      <c r="M538" s="185"/>
      <c r="N538" s="184" t="str">
        <f aca="false">IFERROR(VLOOKUP($M538,$M$3:$Q$14,2,0),"")</f>
        <v/>
      </c>
      <c r="O538" s="184" t="str">
        <f aca="false">IFERROR(VLOOKUP($M538,$M$3:$Q$14,3,0),"")</f>
        <v/>
      </c>
      <c r="P538" s="185" t="str">
        <f aca="false">IFERROR(VLOOKUP($M538,$M$3:$Q$14,4,0),"")</f>
        <v/>
      </c>
      <c r="Q538" s="184" t="str">
        <f aca="false">IFERROR(VLOOKUP($M538,$M$3:$Q$14,5,0),"")</f>
        <v/>
      </c>
      <c r="T538" s="186" t="n">
        <f aca="false">S538/1.11</f>
        <v>0</v>
      </c>
    </row>
    <row r="539" customFormat="false" ht="12" hidden="true" customHeight="false" outlineLevel="0" collapsed="false">
      <c r="K539" s="184" t="str">
        <f aca="false">IFERROR(VLOOKUP($J539,$J$10:$K$13,2,0),"")</f>
        <v/>
      </c>
      <c r="L539" s="184" t="s">
        <v>26</v>
      </c>
      <c r="M539" s="185"/>
      <c r="N539" s="184" t="str">
        <f aca="false">IFERROR(VLOOKUP($M539,$M$3:$Q$14,2,0),"")</f>
        <v/>
      </c>
      <c r="O539" s="184" t="str">
        <f aca="false">IFERROR(VLOOKUP($M539,$M$3:$Q$14,3,0),"")</f>
        <v/>
      </c>
      <c r="P539" s="185" t="str">
        <f aca="false">IFERROR(VLOOKUP($M539,$M$3:$Q$14,4,0),"")</f>
        <v/>
      </c>
      <c r="Q539" s="184" t="str">
        <f aca="false">IFERROR(VLOOKUP($M539,$M$3:$Q$14,5,0),"")</f>
        <v/>
      </c>
      <c r="T539" s="186" t="n">
        <f aca="false">S539/1.11</f>
        <v>0</v>
      </c>
    </row>
    <row r="540" customFormat="false" ht="12" hidden="true" customHeight="false" outlineLevel="0" collapsed="false">
      <c r="K540" s="184" t="str">
        <f aca="false">IFERROR(VLOOKUP($J540,$J$10:$K$13,2,0),"")</f>
        <v/>
      </c>
      <c r="L540" s="184" t="s">
        <v>26</v>
      </c>
      <c r="M540" s="185"/>
      <c r="N540" s="184" t="str">
        <f aca="false">IFERROR(VLOOKUP($M540,$M$3:$Q$14,2,0),"")</f>
        <v/>
      </c>
      <c r="O540" s="184" t="str">
        <f aca="false">IFERROR(VLOOKUP($M540,$M$3:$Q$14,3,0),"")</f>
        <v/>
      </c>
      <c r="P540" s="185" t="str">
        <f aca="false">IFERROR(VLOOKUP($M540,$M$3:$Q$14,4,0),"")</f>
        <v/>
      </c>
      <c r="Q540" s="184" t="str">
        <f aca="false">IFERROR(VLOOKUP($M540,$M$3:$Q$14,5,0),"")</f>
        <v/>
      </c>
      <c r="T540" s="186" t="n">
        <f aca="false">S540/1.11</f>
        <v>0</v>
      </c>
    </row>
    <row r="541" customFormat="false" ht="12" hidden="true" customHeight="false" outlineLevel="0" collapsed="false">
      <c r="K541" s="184" t="str">
        <f aca="false">IFERROR(VLOOKUP($J541,$J$10:$K$13,2,0),"")</f>
        <v/>
      </c>
      <c r="L541" s="184" t="s">
        <v>26</v>
      </c>
      <c r="M541" s="185"/>
      <c r="N541" s="184" t="str">
        <f aca="false">IFERROR(VLOOKUP($M541,$M$3:$Q$14,2,0),"")</f>
        <v/>
      </c>
      <c r="O541" s="184" t="str">
        <f aca="false">IFERROR(VLOOKUP($M541,$M$3:$Q$14,3,0),"")</f>
        <v/>
      </c>
      <c r="P541" s="185" t="str">
        <f aca="false">IFERROR(VLOOKUP($M541,$M$3:$Q$14,4,0),"")</f>
        <v/>
      </c>
      <c r="Q541" s="184" t="str">
        <f aca="false">IFERROR(VLOOKUP($M541,$M$3:$Q$14,5,0),"")</f>
        <v/>
      </c>
      <c r="T541" s="186" t="n">
        <f aca="false">S541/1.11</f>
        <v>0</v>
      </c>
    </row>
    <row r="542" customFormat="false" ht="12" hidden="true" customHeight="false" outlineLevel="0" collapsed="false">
      <c r="K542" s="184" t="str">
        <f aca="false">IFERROR(VLOOKUP($J542,$J$10:$K$13,2,0),"")</f>
        <v/>
      </c>
      <c r="L542" s="184" t="s">
        <v>26</v>
      </c>
      <c r="M542" s="185"/>
      <c r="N542" s="184" t="str">
        <f aca="false">IFERROR(VLOOKUP($M542,$M$3:$Q$14,2,0),"")</f>
        <v/>
      </c>
      <c r="O542" s="184" t="str">
        <f aca="false">IFERROR(VLOOKUP($M542,$M$3:$Q$14,3,0),"")</f>
        <v/>
      </c>
      <c r="P542" s="185" t="str">
        <f aca="false">IFERROR(VLOOKUP($M542,$M$3:$Q$14,4,0),"")</f>
        <v/>
      </c>
      <c r="Q542" s="184" t="str">
        <f aca="false">IFERROR(VLOOKUP($M542,$M$3:$Q$14,5,0),"")</f>
        <v/>
      </c>
      <c r="T542" s="186" t="n">
        <f aca="false">S542/1.11</f>
        <v>0</v>
      </c>
    </row>
    <row r="543" customFormat="false" ht="12" hidden="true" customHeight="false" outlineLevel="0" collapsed="false">
      <c r="K543" s="184" t="str">
        <f aca="false">IFERROR(VLOOKUP($J543,$J$10:$K$13,2,0),"")</f>
        <v/>
      </c>
      <c r="L543" s="184" t="s">
        <v>26</v>
      </c>
      <c r="M543" s="185"/>
      <c r="N543" s="184" t="str">
        <f aca="false">IFERROR(VLOOKUP($M543,$M$3:$Q$14,2,0),"")</f>
        <v/>
      </c>
      <c r="O543" s="184" t="str">
        <f aca="false">IFERROR(VLOOKUP($M543,$M$3:$Q$14,3,0),"")</f>
        <v/>
      </c>
      <c r="P543" s="185" t="str">
        <f aca="false">IFERROR(VLOOKUP($M543,$M$3:$Q$14,4,0),"")</f>
        <v/>
      </c>
      <c r="Q543" s="184" t="str">
        <f aca="false">IFERROR(VLOOKUP($M543,$M$3:$Q$14,5,0),"")</f>
        <v/>
      </c>
      <c r="T543" s="186" t="n">
        <f aca="false">S543/1.11</f>
        <v>0</v>
      </c>
    </row>
    <row r="544" customFormat="false" ht="12" hidden="true" customHeight="false" outlineLevel="0" collapsed="false">
      <c r="K544" s="184" t="str">
        <f aca="false">IFERROR(VLOOKUP($J544,$J$10:$K$13,2,0),"")</f>
        <v/>
      </c>
      <c r="L544" s="184" t="s">
        <v>26</v>
      </c>
      <c r="M544" s="185"/>
      <c r="N544" s="184" t="str">
        <f aca="false">IFERROR(VLOOKUP($M544,$M$3:$Q$14,2,0),"")</f>
        <v/>
      </c>
      <c r="O544" s="184" t="str">
        <f aca="false">IFERROR(VLOOKUP($M544,$M$3:$Q$14,3,0),"")</f>
        <v/>
      </c>
      <c r="P544" s="185" t="str">
        <f aca="false">IFERROR(VLOOKUP($M544,$M$3:$Q$14,4,0),"")</f>
        <v/>
      </c>
      <c r="Q544" s="184" t="str">
        <f aca="false">IFERROR(VLOOKUP($M544,$M$3:$Q$14,5,0),"")</f>
        <v/>
      </c>
      <c r="T544" s="186" t="n">
        <f aca="false">S544/1.11</f>
        <v>0</v>
      </c>
    </row>
  </sheetData>
  <autoFilter ref="A18:BB544">
    <filterColumn colId="3">
      <filters>
        <filter val="859293"/>
      </filters>
    </filterColumn>
  </autoFilter>
  <mergeCells count="3">
    <mergeCell ref="AB17:AC17"/>
    <mergeCell ref="AD17:AH17"/>
    <mergeCell ref="AJ17:AK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2:C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8" activeCellId="0" sqref="F8"/>
    </sheetView>
  </sheetViews>
  <sheetFormatPr defaultColWidth="8.6796875" defaultRowHeight="12" zeroHeight="false" outlineLevelRow="0" outlineLevelCol="0"/>
  <sheetData>
    <row r="2" customFormat="false" ht="12" hidden="false" customHeight="false" outlineLevel="0" collapsed="false">
      <c r="B2" s="187"/>
      <c r="C2" s="1" t="s">
        <v>354</v>
      </c>
    </row>
    <row r="3" customFormat="false" ht="12" hidden="false" customHeight="false" outlineLevel="0" collapsed="false">
      <c r="B3" s="188"/>
      <c r="C3" s="1" t="s">
        <v>355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M49" activeCellId="0" sqref="M49"/>
    </sheetView>
  </sheetViews>
  <sheetFormatPr defaultColWidth="11.54296875" defaultRowHeight="12" zeroHeight="false" outlineLevelRow="0" outlineLevelCol="0"/>
  <cols>
    <col collapsed="false" customWidth="true" hidden="false" outlineLevel="0" max="2" min="2" style="1" width="17.82"/>
  </cols>
  <sheetData>
    <row r="1" customFormat="false" ht="12" hidden="false" customHeight="false" outlineLevel="0" collapsed="false">
      <c r="A1" s="1" t="s">
        <v>356</v>
      </c>
      <c r="B1" s="1" t="s">
        <v>357</v>
      </c>
      <c r="C1" s="1" t="s">
        <v>358</v>
      </c>
    </row>
    <row r="2" customFormat="false" ht="12" hidden="false" customHeight="false" outlineLevel="0" collapsed="false">
      <c r="A2" s="1" t="n">
        <v>1</v>
      </c>
      <c r="B2" s="1" t="s">
        <v>21</v>
      </c>
      <c r="C2" s="1" t="s">
        <v>359</v>
      </c>
    </row>
    <row r="3" customFormat="false" ht="12" hidden="false" customHeight="false" outlineLevel="0" collapsed="false">
      <c r="A3" s="1" t="n">
        <v>2</v>
      </c>
      <c r="B3" s="1" t="s">
        <v>25</v>
      </c>
      <c r="C3" s="1" t="s">
        <v>360</v>
      </c>
    </row>
    <row r="4" customFormat="false" ht="12" hidden="false" customHeight="false" outlineLevel="0" collapsed="false">
      <c r="A4" s="1" t="n">
        <v>3</v>
      </c>
      <c r="B4" s="1" t="s">
        <v>30</v>
      </c>
      <c r="C4" s="1" t="s">
        <v>361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2" activeCellId="0" sqref="E2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.63"/>
    <col collapsed="false" customWidth="true" hidden="false" outlineLevel="0" max="3" min="3" style="1" width="57.82"/>
    <col collapsed="false" customWidth="true" hidden="false" outlineLevel="0" max="4" min="4" style="1" width="39.45"/>
    <col collapsed="false" customWidth="true" hidden="false" outlineLevel="0" max="5" min="5" style="1" width="4.36"/>
    <col collapsed="false" customWidth="true" hidden="false" outlineLevel="0" max="6" min="6" style="1" width="10"/>
    <col collapsed="false" customWidth="true" hidden="false" outlineLevel="0" max="7" min="7" style="1" width="8.18"/>
    <col collapsed="false" customWidth="true" hidden="false" outlineLevel="0" max="8" min="8" style="1" width="10.27"/>
    <col collapsed="false" customWidth="true" hidden="false" outlineLevel="0" max="9" min="9" style="1" width="14.54"/>
    <col collapsed="false" customWidth="true" hidden="false" outlineLevel="0" max="10" min="10" style="1" width="13.73"/>
    <col collapsed="false" customWidth="true" hidden="false" outlineLevel="0" max="11" min="11" style="1" width="8.27"/>
    <col collapsed="false" customWidth="true" hidden="false" outlineLevel="0" max="12" min="12" style="1" width="15.63"/>
    <col collapsed="false" customWidth="true" hidden="false" outlineLevel="0" max="13" min="13" style="1" width="8.45"/>
    <col collapsed="false" customWidth="true" hidden="false" outlineLevel="0" max="14" min="14" style="1" width="28.73"/>
  </cols>
  <sheetData>
    <row r="1" customFormat="false" ht="12" hidden="false" customHeight="false" outlineLevel="0" collapsed="false">
      <c r="A1" s="1" t="s">
        <v>356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358</v>
      </c>
      <c r="H1" s="1" t="s">
        <v>46</v>
      </c>
      <c r="I1" s="1" t="s">
        <v>367</v>
      </c>
      <c r="J1" s="1" t="s">
        <v>368</v>
      </c>
      <c r="K1" s="187" t="s">
        <v>369</v>
      </c>
      <c r="L1" s="187" t="s">
        <v>370</v>
      </c>
      <c r="M1" s="187" t="s">
        <v>371</v>
      </c>
      <c r="N1" s="1" t="s">
        <v>372</v>
      </c>
    </row>
    <row r="2" customFormat="false" ht="12" hidden="false" customHeight="false" outlineLevel="0" collapsed="false">
      <c r="A2" s="1" t="n">
        <v>1</v>
      </c>
      <c r="B2" s="1" t="n">
        <v>859288</v>
      </c>
      <c r="C2" s="1" t="s">
        <v>73</v>
      </c>
      <c r="D2" s="1" t="n">
        <v>3</v>
      </c>
      <c r="E2" s="1" t="n">
        <v>1</v>
      </c>
      <c r="F2" s="1" t="s">
        <v>8</v>
      </c>
      <c r="G2" s="1" t="s">
        <v>373</v>
      </c>
      <c r="H2" s="1" t="s">
        <v>74</v>
      </c>
      <c r="I2" s="1" t="s">
        <v>75</v>
      </c>
      <c r="J2" s="1" t="s">
        <v>374</v>
      </c>
      <c r="K2" s="1" t="n">
        <v>1</v>
      </c>
      <c r="L2" s="1" t="n">
        <v>11</v>
      </c>
      <c r="M2" s="1" t="s">
        <v>375</v>
      </c>
      <c r="N2" s="1" t="s">
        <v>376</v>
      </c>
    </row>
    <row r="3" customFormat="false" ht="12" hidden="false" customHeight="false" outlineLevel="0" collapsed="false">
      <c r="A3" s="1" t="n">
        <v>1</v>
      </c>
      <c r="B3" s="1" t="n">
        <v>859288</v>
      </c>
      <c r="C3" s="1" t="s">
        <v>73</v>
      </c>
      <c r="D3" s="1" t="n">
        <v>3</v>
      </c>
      <c r="E3" s="1" t="n">
        <v>6</v>
      </c>
      <c r="F3" s="1" t="s">
        <v>16</v>
      </c>
      <c r="H3" s="1" t="s">
        <v>74</v>
      </c>
      <c r="I3" s="1" t="s">
        <v>75</v>
      </c>
      <c r="N3" s="1" t="s">
        <v>376</v>
      </c>
    </row>
    <row r="4" customFormat="false" ht="12" hidden="false" customHeight="false" outlineLevel="0" collapsed="false">
      <c r="A4" s="1" t="n">
        <v>1</v>
      </c>
      <c r="B4" s="1" t="n">
        <v>859288</v>
      </c>
      <c r="C4" s="1" t="s">
        <v>73</v>
      </c>
      <c r="D4" s="1" t="n">
        <v>3</v>
      </c>
      <c r="E4" s="1" t="n">
        <v>11</v>
      </c>
      <c r="F4" s="1" t="s">
        <v>34</v>
      </c>
      <c r="H4" s="1" t="s">
        <v>74</v>
      </c>
      <c r="I4" s="1" t="s">
        <v>75</v>
      </c>
      <c r="N4" s="1" t="s">
        <v>376</v>
      </c>
    </row>
    <row r="5" customFormat="false" ht="12" hidden="false" customHeight="false" outlineLevel="0" collapsed="false">
      <c r="A5" s="1" t="n">
        <v>3</v>
      </c>
      <c r="B5" s="1" t="n">
        <v>859290</v>
      </c>
      <c r="C5" s="1" t="s">
        <v>78</v>
      </c>
      <c r="D5" s="1" t="n">
        <v>3</v>
      </c>
      <c r="E5" s="1" t="n">
        <v>1</v>
      </c>
      <c r="F5" s="1" t="s">
        <v>8</v>
      </c>
      <c r="H5" s="1" t="s">
        <v>74</v>
      </c>
      <c r="I5" s="1" t="s">
        <v>75</v>
      </c>
      <c r="N5" s="1" t="s">
        <v>376</v>
      </c>
    </row>
    <row r="6" customFormat="false" ht="12" hidden="false" customHeight="false" outlineLevel="0" collapsed="false">
      <c r="A6" s="1" t="n">
        <v>3</v>
      </c>
      <c r="B6" s="1" t="n">
        <v>859290</v>
      </c>
      <c r="C6" s="1" t="s">
        <v>78</v>
      </c>
      <c r="D6" s="1" t="n">
        <v>3</v>
      </c>
      <c r="E6" s="1" t="n">
        <v>6</v>
      </c>
      <c r="F6" s="1" t="s">
        <v>16</v>
      </c>
      <c r="H6" s="1" t="s">
        <v>74</v>
      </c>
      <c r="I6" s="1" t="s">
        <v>75</v>
      </c>
      <c r="N6" s="1" t="s">
        <v>376</v>
      </c>
    </row>
    <row r="7" customFormat="false" ht="12" hidden="false" customHeight="false" outlineLevel="0" collapsed="false">
      <c r="A7" s="1" t="n">
        <v>3</v>
      </c>
      <c r="B7" s="1" t="n">
        <v>859290</v>
      </c>
      <c r="C7" s="1" t="s">
        <v>78</v>
      </c>
      <c r="D7" s="1" t="n">
        <v>3</v>
      </c>
      <c r="E7" s="1" t="n">
        <v>11</v>
      </c>
      <c r="F7" s="1" t="s">
        <v>34</v>
      </c>
      <c r="H7" s="1" t="s">
        <v>74</v>
      </c>
      <c r="I7" s="1" t="s">
        <v>75</v>
      </c>
      <c r="N7" s="1" t="s">
        <v>376</v>
      </c>
    </row>
    <row r="8" customFormat="false" ht="12" hidden="false" customHeight="false" outlineLevel="0" collapsed="false">
      <c r="A8" s="1" t="n">
        <v>4</v>
      </c>
      <c r="B8" s="1" t="n">
        <v>859293</v>
      </c>
      <c r="C8" s="1" t="s">
        <v>79</v>
      </c>
      <c r="D8" s="1" t="n">
        <v>3</v>
      </c>
      <c r="E8" s="1" t="n">
        <v>1</v>
      </c>
      <c r="F8" s="1" t="s">
        <v>8</v>
      </c>
      <c r="H8" s="1" t="s">
        <v>80</v>
      </c>
      <c r="I8" s="1" t="s">
        <v>75</v>
      </c>
      <c r="N8" s="1" t="s">
        <v>376</v>
      </c>
    </row>
    <row r="9" customFormat="false" ht="12" hidden="false" customHeight="false" outlineLevel="0" collapsed="false">
      <c r="A9" s="1" t="n">
        <v>4</v>
      </c>
      <c r="B9" s="1" t="n">
        <v>859293</v>
      </c>
      <c r="C9" s="1" t="s">
        <v>79</v>
      </c>
      <c r="D9" s="1" t="n">
        <v>3</v>
      </c>
      <c r="E9" s="1" t="n">
        <v>9</v>
      </c>
      <c r="F9" s="1" t="s">
        <v>28</v>
      </c>
      <c r="H9" s="1" t="s">
        <v>80</v>
      </c>
      <c r="I9" s="1" t="s">
        <v>75</v>
      </c>
      <c r="N9" s="1" t="s">
        <v>376</v>
      </c>
    </row>
    <row r="10" customFormat="false" ht="12" hidden="false" customHeight="false" outlineLevel="0" collapsed="false">
      <c r="A10" s="1" t="n">
        <v>5</v>
      </c>
      <c r="B10" s="1" t="n">
        <v>859292</v>
      </c>
      <c r="C10" s="1" t="s">
        <v>81</v>
      </c>
      <c r="D10" s="1" t="n">
        <v>3</v>
      </c>
      <c r="E10" s="1" t="n">
        <v>1</v>
      </c>
      <c r="F10" s="1" t="s">
        <v>8</v>
      </c>
      <c r="H10" s="1" t="s">
        <v>80</v>
      </c>
      <c r="I10" s="1" t="s">
        <v>75</v>
      </c>
      <c r="N10" s="1" t="s">
        <v>376</v>
      </c>
    </row>
    <row r="11" customFormat="false" ht="12" hidden="false" customHeight="false" outlineLevel="0" collapsed="false">
      <c r="A11" s="1" t="n">
        <v>5</v>
      </c>
      <c r="B11" s="1" t="n">
        <v>859292</v>
      </c>
      <c r="C11" s="1" t="s">
        <v>81</v>
      </c>
      <c r="D11" s="1" t="n">
        <v>3</v>
      </c>
      <c r="E11" s="1" t="n">
        <v>9</v>
      </c>
      <c r="F11" s="1" t="s">
        <v>28</v>
      </c>
      <c r="H11" s="1" t="s">
        <v>80</v>
      </c>
      <c r="I11" s="1" t="s">
        <v>75</v>
      </c>
      <c r="N11" s="1" t="s">
        <v>376</v>
      </c>
    </row>
    <row r="12" customFormat="false" ht="12" hidden="false" customHeight="false" outlineLevel="0" collapsed="false">
      <c r="A12" s="1" t="n">
        <v>6</v>
      </c>
      <c r="B12" s="1" t="n">
        <v>859291</v>
      </c>
      <c r="C12" s="1" t="s">
        <v>82</v>
      </c>
      <c r="D12" s="1" t="n">
        <v>3</v>
      </c>
      <c r="E12" s="1" t="n">
        <v>1</v>
      </c>
      <c r="F12" s="1" t="s">
        <v>8</v>
      </c>
      <c r="H12" s="1" t="s">
        <v>80</v>
      </c>
      <c r="I12" s="1" t="s">
        <v>75</v>
      </c>
      <c r="N12" s="1" t="s">
        <v>376</v>
      </c>
    </row>
    <row r="13" customFormat="false" ht="12" hidden="false" customHeight="false" outlineLevel="0" collapsed="false">
      <c r="A13" s="1" t="n">
        <v>6</v>
      </c>
      <c r="B13" s="1" t="n">
        <v>859291</v>
      </c>
      <c r="C13" s="1" t="s">
        <v>82</v>
      </c>
      <c r="D13" s="1" t="n">
        <v>3</v>
      </c>
      <c r="E13" s="1" t="n">
        <v>9</v>
      </c>
      <c r="F13" s="1" t="s">
        <v>28</v>
      </c>
      <c r="H13" s="1" t="s">
        <v>80</v>
      </c>
      <c r="I13" s="1" t="s">
        <v>75</v>
      </c>
      <c r="N13" s="1" t="s">
        <v>376</v>
      </c>
    </row>
    <row r="14" customFormat="false" ht="12" hidden="false" customHeight="false" outlineLevel="0" collapsed="false">
      <c r="A14" s="1" t="n">
        <v>7</v>
      </c>
      <c r="B14" s="1" t="n">
        <v>859301</v>
      </c>
      <c r="C14" s="1" t="s">
        <v>83</v>
      </c>
      <c r="D14" s="1" t="n">
        <v>3</v>
      </c>
      <c r="E14" s="1" t="n">
        <v>1</v>
      </c>
      <c r="F14" s="1" t="s">
        <v>8</v>
      </c>
      <c r="H14" s="1" t="s">
        <v>80</v>
      </c>
      <c r="I14" s="1" t="s">
        <v>75</v>
      </c>
      <c r="N14" s="1" t="s">
        <v>376</v>
      </c>
    </row>
    <row r="15" customFormat="false" ht="12" hidden="false" customHeight="false" outlineLevel="0" collapsed="false">
      <c r="A15" s="1" t="n">
        <v>7</v>
      </c>
      <c r="B15" s="1" t="n">
        <v>859301</v>
      </c>
      <c r="C15" s="1" t="s">
        <v>83</v>
      </c>
      <c r="D15" s="1" t="n">
        <v>3</v>
      </c>
      <c r="E15" s="1" t="n">
        <v>9</v>
      </c>
      <c r="F15" s="1" t="s">
        <v>28</v>
      </c>
      <c r="H15" s="1" t="s">
        <v>80</v>
      </c>
      <c r="I15" s="1" t="s">
        <v>75</v>
      </c>
      <c r="N15" s="1" t="s">
        <v>376</v>
      </c>
    </row>
    <row r="16" customFormat="false" ht="12" hidden="false" customHeight="false" outlineLevel="0" collapsed="false">
      <c r="A16" s="1" t="n">
        <v>8</v>
      </c>
      <c r="B16" s="1" t="n">
        <v>859299</v>
      </c>
      <c r="C16" s="1" t="s">
        <v>84</v>
      </c>
      <c r="D16" s="1" t="n">
        <v>3</v>
      </c>
      <c r="E16" s="1" t="n">
        <v>1</v>
      </c>
      <c r="F16" s="1" t="s">
        <v>8</v>
      </c>
      <c r="H16" s="1" t="s">
        <v>80</v>
      </c>
      <c r="I16" s="1" t="s">
        <v>75</v>
      </c>
      <c r="N16" s="1" t="s">
        <v>376</v>
      </c>
    </row>
    <row r="17" customFormat="false" ht="12" hidden="false" customHeight="false" outlineLevel="0" collapsed="false">
      <c r="A17" s="1" t="n">
        <v>8</v>
      </c>
      <c r="B17" s="1" t="n">
        <v>859299</v>
      </c>
      <c r="C17" s="1" t="s">
        <v>84</v>
      </c>
      <c r="D17" s="1" t="n">
        <v>3</v>
      </c>
      <c r="E17" s="1" t="n">
        <v>9</v>
      </c>
      <c r="F17" s="1" t="s">
        <v>28</v>
      </c>
      <c r="H17" s="1" t="s">
        <v>80</v>
      </c>
      <c r="I17" s="1" t="s">
        <v>75</v>
      </c>
      <c r="N17" s="1" t="s">
        <v>376</v>
      </c>
    </row>
    <row r="18" customFormat="false" ht="12" hidden="false" customHeight="false" outlineLevel="0" collapsed="false">
      <c r="A18" s="1" t="n">
        <v>9</v>
      </c>
      <c r="B18" s="1" t="n">
        <v>859298</v>
      </c>
      <c r="C18" s="1" t="s">
        <v>85</v>
      </c>
      <c r="D18" s="1" t="n">
        <v>3</v>
      </c>
      <c r="E18" s="1" t="n">
        <v>1</v>
      </c>
      <c r="F18" s="1" t="s">
        <v>8</v>
      </c>
      <c r="H18" s="1" t="s">
        <v>80</v>
      </c>
      <c r="I18" s="1" t="s">
        <v>75</v>
      </c>
      <c r="N18" s="1" t="s">
        <v>376</v>
      </c>
    </row>
    <row r="19" customFormat="false" ht="12" hidden="false" customHeight="false" outlineLevel="0" collapsed="false">
      <c r="A19" s="1" t="n">
        <v>9</v>
      </c>
      <c r="B19" s="1" t="n">
        <v>859298</v>
      </c>
      <c r="C19" s="1" t="s">
        <v>85</v>
      </c>
      <c r="D19" s="1" t="n">
        <v>3</v>
      </c>
      <c r="E19" s="1" t="n">
        <v>9</v>
      </c>
      <c r="F19" s="1" t="s">
        <v>28</v>
      </c>
      <c r="H19" s="1" t="s">
        <v>80</v>
      </c>
      <c r="I19" s="1" t="s">
        <v>75</v>
      </c>
      <c r="N19" s="1" t="s">
        <v>376</v>
      </c>
    </row>
    <row r="20" customFormat="false" ht="12" hidden="false" customHeight="false" outlineLevel="0" collapsed="false">
      <c r="A20" s="1" t="n">
        <v>10</v>
      </c>
      <c r="B20" s="1" t="n">
        <v>859300</v>
      </c>
      <c r="C20" s="1" t="s">
        <v>86</v>
      </c>
      <c r="D20" s="1" t="n">
        <v>3</v>
      </c>
      <c r="E20" s="1" t="n">
        <v>1</v>
      </c>
      <c r="F20" s="1" t="s">
        <v>8</v>
      </c>
      <c r="H20" s="1" t="s">
        <v>80</v>
      </c>
      <c r="I20" s="1" t="s">
        <v>75</v>
      </c>
      <c r="N20" s="1" t="s">
        <v>376</v>
      </c>
    </row>
    <row r="21" customFormat="false" ht="12" hidden="false" customHeight="false" outlineLevel="0" collapsed="false">
      <c r="A21" s="1" t="n">
        <v>10</v>
      </c>
      <c r="B21" s="1" t="n">
        <v>859300</v>
      </c>
      <c r="C21" s="1" t="s">
        <v>86</v>
      </c>
      <c r="D21" s="1" t="n">
        <v>3</v>
      </c>
      <c r="E21" s="1" t="n">
        <v>9</v>
      </c>
      <c r="F21" s="1" t="s">
        <v>28</v>
      </c>
      <c r="H21" s="1" t="s">
        <v>80</v>
      </c>
      <c r="I21" s="1" t="s">
        <v>75</v>
      </c>
      <c r="N21" s="1" t="s">
        <v>376</v>
      </c>
    </row>
    <row r="22" customFormat="false" ht="12" hidden="false" customHeight="false" outlineLevel="0" collapsed="false">
      <c r="A22" s="1" t="n">
        <v>11</v>
      </c>
      <c r="B22" s="1" t="n">
        <v>859302</v>
      </c>
      <c r="C22" s="1" t="s">
        <v>87</v>
      </c>
      <c r="D22" s="1" t="n">
        <v>3</v>
      </c>
      <c r="E22" s="1" t="n">
        <v>1</v>
      </c>
      <c r="F22" s="1" t="s">
        <v>8</v>
      </c>
      <c r="H22" s="1" t="s">
        <v>80</v>
      </c>
      <c r="I22" s="1" t="s">
        <v>75</v>
      </c>
      <c r="N22" s="1" t="s">
        <v>376</v>
      </c>
    </row>
    <row r="23" customFormat="false" ht="12" hidden="false" customHeight="false" outlineLevel="0" collapsed="false">
      <c r="A23" s="1" t="n">
        <v>11</v>
      </c>
      <c r="B23" s="1" t="n">
        <v>859303</v>
      </c>
      <c r="C23" s="1" t="s">
        <v>87</v>
      </c>
      <c r="D23" s="1" t="n">
        <v>3</v>
      </c>
      <c r="E23" s="1" t="n">
        <v>9</v>
      </c>
      <c r="F23" s="1" t="s">
        <v>28</v>
      </c>
      <c r="H23" s="1" t="s">
        <v>80</v>
      </c>
      <c r="I23" s="1" t="s">
        <v>75</v>
      </c>
      <c r="N23" s="1" t="s">
        <v>376</v>
      </c>
    </row>
    <row r="24" customFormat="false" ht="12" hidden="false" customHeight="false" outlineLevel="0" collapsed="false">
      <c r="A24" s="1" t="n">
        <v>13</v>
      </c>
      <c r="B24" s="1" t="n">
        <v>10000844</v>
      </c>
      <c r="C24" s="1" t="s">
        <v>88</v>
      </c>
      <c r="D24" s="1" t="n">
        <v>2</v>
      </c>
      <c r="E24" s="1" t="n">
        <v>1</v>
      </c>
      <c r="F24" s="1" t="s">
        <v>8</v>
      </c>
      <c r="H24" s="1" t="s">
        <v>89</v>
      </c>
      <c r="I24" s="1" t="s">
        <v>89</v>
      </c>
      <c r="N24" s="1" t="s">
        <v>377</v>
      </c>
    </row>
    <row r="25" customFormat="false" ht="12" hidden="false" customHeight="false" outlineLevel="0" collapsed="false">
      <c r="A25" s="1" t="n">
        <v>13</v>
      </c>
      <c r="B25" s="1" t="n">
        <v>10000844</v>
      </c>
      <c r="C25" s="1" t="s">
        <v>88</v>
      </c>
      <c r="D25" s="1" t="n">
        <v>2</v>
      </c>
      <c r="E25" s="1" t="n">
        <v>9</v>
      </c>
      <c r="F25" s="1" t="s">
        <v>28</v>
      </c>
      <c r="H25" s="1" t="s">
        <v>89</v>
      </c>
      <c r="I25" s="1" t="s">
        <v>89</v>
      </c>
      <c r="N25" s="1" t="s">
        <v>377</v>
      </c>
    </row>
    <row r="26" customFormat="false" ht="12" hidden="false" customHeight="false" outlineLevel="0" collapsed="false">
      <c r="A26" s="1" t="n">
        <v>14</v>
      </c>
      <c r="B26" s="1" t="n">
        <v>10000147</v>
      </c>
      <c r="C26" s="1" t="s">
        <v>91</v>
      </c>
      <c r="D26" s="1" t="n">
        <v>2</v>
      </c>
      <c r="E26" s="1" t="n">
        <v>1</v>
      </c>
      <c r="F26" s="1" t="s">
        <v>8</v>
      </c>
      <c r="H26" s="1" t="s">
        <v>92</v>
      </c>
      <c r="I26" s="1" t="s">
        <v>89</v>
      </c>
      <c r="N26" s="1" t="s">
        <v>377</v>
      </c>
    </row>
    <row r="27" customFormat="false" ht="12" hidden="false" customHeight="false" outlineLevel="0" collapsed="false">
      <c r="A27" s="1" t="n">
        <v>14</v>
      </c>
      <c r="B27" s="1" t="n">
        <v>10000147</v>
      </c>
      <c r="C27" s="1" t="s">
        <v>91</v>
      </c>
      <c r="D27" s="1" t="n">
        <v>2</v>
      </c>
      <c r="E27" s="1" t="n">
        <v>9</v>
      </c>
      <c r="F27" s="1" t="s">
        <v>28</v>
      </c>
      <c r="H27" s="1" t="s">
        <v>92</v>
      </c>
      <c r="I27" s="1" t="s">
        <v>89</v>
      </c>
      <c r="N27" s="1" t="s">
        <v>377</v>
      </c>
    </row>
    <row r="28" customFormat="false" ht="12" hidden="false" customHeight="false" outlineLevel="0" collapsed="false">
      <c r="A28" s="1" t="n">
        <v>15</v>
      </c>
      <c r="B28" s="1" t="n">
        <v>20002989</v>
      </c>
      <c r="C28" s="1" t="s">
        <v>94</v>
      </c>
      <c r="D28" s="1" t="n">
        <v>2</v>
      </c>
      <c r="E28" s="1" t="n">
        <v>1</v>
      </c>
      <c r="F28" s="1" t="s">
        <v>8</v>
      </c>
      <c r="H28" s="1" t="s">
        <v>95</v>
      </c>
      <c r="I28" s="1" t="s">
        <v>95</v>
      </c>
      <c r="N28" s="1" t="s">
        <v>376</v>
      </c>
    </row>
    <row r="29" customFormat="false" ht="12" hidden="false" customHeight="false" outlineLevel="0" collapsed="false">
      <c r="A29" s="1" t="n">
        <v>15</v>
      </c>
      <c r="B29" s="1" t="n">
        <v>20002989</v>
      </c>
      <c r="C29" s="1" t="s">
        <v>94</v>
      </c>
      <c r="D29" s="1" t="n">
        <v>2</v>
      </c>
      <c r="E29" s="1" t="n">
        <v>4</v>
      </c>
      <c r="F29" s="1" t="s">
        <v>13</v>
      </c>
      <c r="H29" s="1" t="s">
        <v>95</v>
      </c>
      <c r="I29" s="1" t="s">
        <v>95</v>
      </c>
      <c r="N29" s="1" t="s">
        <v>376</v>
      </c>
    </row>
    <row r="30" customFormat="false" ht="12" hidden="false" customHeight="false" outlineLevel="0" collapsed="false">
      <c r="A30" s="1" t="n">
        <v>15</v>
      </c>
      <c r="B30" s="1" t="n">
        <v>20002989</v>
      </c>
      <c r="C30" s="1" t="s">
        <v>94</v>
      </c>
      <c r="D30" s="1" t="n">
        <v>2</v>
      </c>
      <c r="E30" s="1" t="n">
        <v>9</v>
      </c>
      <c r="F30" s="1" t="s">
        <v>28</v>
      </c>
      <c r="H30" s="1" t="s">
        <v>95</v>
      </c>
      <c r="I30" s="1" t="s">
        <v>95</v>
      </c>
      <c r="N30" s="1" t="s">
        <v>376</v>
      </c>
    </row>
    <row r="31" customFormat="false" ht="12" hidden="false" customHeight="false" outlineLevel="0" collapsed="false">
      <c r="A31" s="1" t="n">
        <v>16</v>
      </c>
      <c r="B31" s="1" t="n">
        <v>20002990</v>
      </c>
      <c r="C31" s="1" t="s">
        <v>97</v>
      </c>
      <c r="D31" s="1" t="n">
        <v>2</v>
      </c>
      <c r="E31" s="1" t="n">
        <v>1</v>
      </c>
      <c r="F31" s="1" t="s">
        <v>8</v>
      </c>
      <c r="H31" s="1" t="s">
        <v>95</v>
      </c>
      <c r="I31" s="1" t="s">
        <v>95</v>
      </c>
      <c r="N31" s="1" t="s">
        <v>376</v>
      </c>
    </row>
    <row r="32" customFormat="false" ht="12" hidden="false" customHeight="false" outlineLevel="0" collapsed="false">
      <c r="A32" s="1" t="n">
        <v>16</v>
      </c>
      <c r="B32" s="1" t="n">
        <v>20002990</v>
      </c>
      <c r="C32" s="1" t="s">
        <v>97</v>
      </c>
      <c r="D32" s="1" t="n">
        <v>2</v>
      </c>
      <c r="E32" s="1" t="n">
        <v>4</v>
      </c>
      <c r="F32" s="1" t="s">
        <v>13</v>
      </c>
      <c r="H32" s="1" t="s">
        <v>95</v>
      </c>
      <c r="I32" s="1" t="s">
        <v>95</v>
      </c>
      <c r="N32" s="1" t="s">
        <v>376</v>
      </c>
    </row>
    <row r="33" customFormat="false" ht="12" hidden="false" customHeight="false" outlineLevel="0" collapsed="false">
      <c r="A33" s="1" t="n">
        <v>16</v>
      </c>
      <c r="B33" s="1" t="n">
        <v>20002990</v>
      </c>
      <c r="C33" s="1" t="s">
        <v>97</v>
      </c>
      <c r="D33" s="1" t="n">
        <v>2</v>
      </c>
      <c r="E33" s="1" t="n">
        <v>9</v>
      </c>
      <c r="F33" s="1" t="s">
        <v>28</v>
      </c>
      <c r="H33" s="1" t="s">
        <v>95</v>
      </c>
      <c r="I33" s="1" t="s">
        <v>95</v>
      </c>
      <c r="N33" s="1" t="s">
        <v>376</v>
      </c>
    </row>
    <row r="34" customFormat="false" ht="12" hidden="false" customHeight="false" outlineLevel="0" collapsed="false">
      <c r="A34" s="1" t="n">
        <v>17</v>
      </c>
      <c r="B34" s="1" t="n">
        <v>20002991</v>
      </c>
      <c r="C34" s="1" t="s">
        <v>98</v>
      </c>
      <c r="D34" s="1" t="n">
        <v>2</v>
      </c>
      <c r="E34" s="1" t="n">
        <v>1</v>
      </c>
      <c r="F34" s="1" t="s">
        <v>8</v>
      </c>
      <c r="H34" s="1" t="s">
        <v>95</v>
      </c>
      <c r="I34" s="1" t="s">
        <v>95</v>
      </c>
      <c r="N34" s="1" t="s">
        <v>376</v>
      </c>
    </row>
    <row r="35" customFormat="false" ht="12" hidden="false" customHeight="false" outlineLevel="0" collapsed="false">
      <c r="A35" s="1" t="n">
        <v>17</v>
      </c>
      <c r="B35" s="1" t="n">
        <v>20002991</v>
      </c>
      <c r="C35" s="1" t="s">
        <v>98</v>
      </c>
      <c r="D35" s="1" t="n">
        <v>2</v>
      </c>
      <c r="E35" s="1" t="n">
        <v>4</v>
      </c>
      <c r="F35" s="1" t="s">
        <v>13</v>
      </c>
      <c r="H35" s="1" t="s">
        <v>95</v>
      </c>
      <c r="I35" s="1" t="s">
        <v>95</v>
      </c>
      <c r="N35" s="1" t="s">
        <v>376</v>
      </c>
    </row>
    <row r="36" customFormat="false" ht="12" hidden="false" customHeight="false" outlineLevel="0" collapsed="false">
      <c r="A36" s="1" t="n">
        <v>17</v>
      </c>
      <c r="B36" s="1" t="n">
        <v>20002991</v>
      </c>
      <c r="C36" s="1" t="s">
        <v>98</v>
      </c>
      <c r="D36" s="1" t="n">
        <v>2</v>
      </c>
      <c r="E36" s="1" t="n">
        <v>9</v>
      </c>
      <c r="F36" s="1" t="s">
        <v>28</v>
      </c>
      <c r="H36" s="1" t="s">
        <v>95</v>
      </c>
      <c r="I36" s="1" t="s">
        <v>95</v>
      </c>
      <c r="N36" s="1" t="s">
        <v>376</v>
      </c>
    </row>
    <row r="37" customFormat="false" ht="12" hidden="false" customHeight="false" outlineLevel="0" collapsed="false">
      <c r="A37" s="1" t="n">
        <v>18</v>
      </c>
      <c r="B37" s="1" t="n">
        <v>20002992</v>
      </c>
      <c r="C37" s="1" t="s">
        <v>99</v>
      </c>
      <c r="D37" s="1" t="n">
        <v>2</v>
      </c>
      <c r="E37" s="1" t="n">
        <v>1</v>
      </c>
      <c r="F37" s="1" t="s">
        <v>8</v>
      </c>
      <c r="H37" s="1" t="s">
        <v>95</v>
      </c>
      <c r="I37" s="1" t="s">
        <v>95</v>
      </c>
      <c r="N37" s="1" t="s">
        <v>376</v>
      </c>
    </row>
    <row r="38" customFormat="false" ht="12" hidden="false" customHeight="false" outlineLevel="0" collapsed="false">
      <c r="A38" s="1" t="n">
        <v>18</v>
      </c>
      <c r="B38" s="1" t="n">
        <v>20002992</v>
      </c>
      <c r="C38" s="1" t="s">
        <v>99</v>
      </c>
      <c r="D38" s="1" t="n">
        <v>2</v>
      </c>
      <c r="E38" s="1" t="n">
        <v>4</v>
      </c>
      <c r="F38" s="1" t="s">
        <v>13</v>
      </c>
      <c r="H38" s="1" t="s">
        <v>95</v>
      </c>
      <c r="I38" s="1" t="s">
        <v>95</v>
      </c>
      <c r="N38" s="1" t="s">
        <v>376</v>
      </c>
    </row>
    <row r="39" customFormat="false" ht="12" hidden="false" customHeight="false" outlineLevel="0" collapsed="false">
      <c r="A39" s="1" t="n">
        <v>18</v>
      </c>
      <c r="B39" s="1" t="n">
        <v>20002992</v>
      </c>
      <c r="C39" s="1" t="s">
        <v>99</v>
      </c>
      <c r="D39" s="1" t="n">
        <v>2</v>
      </c>
      <c r="E39" s="1" t="n">
        <v>9</v>
      </c>
      <c r="F39" s="1" t="s">
        <v>28</v>
      </c>
      <c r="H39" s="1" t="s">
        <v>95</v>
      </c>
      <c r="I39" s="1" t="s">
        <v>95</v>
      </c>
      <c r="N39" s="1" t="s">
        <v>376</v>
      </c>
    </row>
    <row r="40" customFormat="false" ht="12" hidden="false" customHeight="false" outlineLevel="0" collapsed="false">
      <c r="A40" s="1" t="n">
        <v>19</v>
      </c>
      <c r="B40" s="1" t="n">
        <v>20003708</v>
      </c>
      <c r="C40" s="1" t="s">
        <v>100</v>
      </c>
      <c r="D40" s="1" t="n">
        <v>2</v>
      </c>
      <c r="E40" s="1" t="n">
        <v>1</v>
      </c>
      <c r="F40" s="1" t="s">
        <v>8</v>
      </c>
      <c r="H40" s="1" t="s">
        <v>95</v>
      </c>
      <c r="I40" s="1" t="s">
        <v>95</v>
      </c>
      <c r="N40" s="1" t="s">
        <v>376</v>
      </c>
    </row>
    <row r="41" customFormat="false" ht="12" hidden="false" customHeight="false" outlineLevel="0" collapsed="false">
      <c r="A41" s="1" t="n">
        <v>19</v>
      </c>
      <c r="B41" s="1" t="n">
        <v>20003708</v>
      </c>
      <c r="C41" s="1" t="s">
        <v>100</v>
      </c>
      <c r="D41" s="1" t="n">
        <v>2</v>
      </c>
      <c r="E41" s="1" t="n">
        <v>4</v>
      </c>
      <c r="F41" s="1" t="s">
        <v>13</v>
      </c>
      <c r="H41" s="1" t="s">
        <v>95</v>
      </c>
      <c r="I41" s="1" t="s">
        <v>95</v>
      </c>
      <c r="N41" s="1" t="s">
        <v>376</v>
      </c>
    </row>
    <row r="42" customFormat="false" ht="12" hidden="false" customHeight="false" outlineLevel="0" collapsed="false">
      <c r="A42" s="1" t="n">
        <v>19</v>
      </c>
      <c r="B42" s="1" t="n">
        <v>20003708</v>
      </c>
      <c r="C42" s="1" t="s">
        <v>100</v>
      </c>
      <c r="D42" s="1" t="n">
        <v>2</v>
      </c>
      <c r="E42" s="1" t="n">
        <v>9</v>
      </c>
      <c r="F42" s="1" t="s">
        <v>28</v>
      </c>
      <c r="H42" s="1" t="s">
        <v>95</v>
      </c>
      <c r="I42" s="1" t="s">
        <v>95</v>
      </c>
      <c r="N42" s="1" t="s">
        <v>376</v>
      </c>
    </row>
    <row r="43" customFormat="false" ht="12" hidden="false" customHeight="false" outlineLevel="0" collapsed="false">
      <c r="A43" s="1" t="n">
        <v>20</v>
      </c>
      <c r="B43" s="1" t="n">
        <v>20003294</v>
      </c>
      <c r="C43" s="1" t="s">
        <v>101</v>
      </c>
      <c r="D43" s="1" t="n">
        <v>2</v>
      </c>
      <c r="E43" s="1" t="n">
        <v>1</v>
      </c>
      <c r="F43" s="1" t="s">
        <v>8</v>
      </c>
      <c r="H43" s="1" t="s">
        <v>95</v>
      </c>
      <c r="I43" s="1" t="s">
        <v>95</v>
      </c>
      <c r="N43" s="1" t="s">
        <v>376</v>
      </c>
    </row>
    <row r="44" customFormat="false" ht="12" hidden="false" customHeight="false" outlineLevel="0" collapsed="false">
      <c r="A44" s="1" t="n">
        <v>20</v>
      </c>
      <c r="B44" s="1" t="n">
        <v>20003294</v>
      </c>
      <c r="C44" s="1" t="s">
        <v>101</v>
      </c>
      <c r="D44" s="1" t="n">
        <v>2</v>
      </c>
      <c r="E44" s="1" t="n">
        <v>4</v>
      </c>
      <c r="F44" s="1" t="s">
        <v>13</v>
      </c>
      <c r="H44" s="1" t="s">
        <v>95</v>
      </c>
      <c r="I44" s="1" t="s">
        <v>95</v>
      </c>
      <c r="N44" s="1" t="s">
        <v>376</v>
      </c>
    </row>
    <row r="45" customFormat="false" ht="12" hidden="false" customHeight="false" outlineLevel="0" collapsed="false">
      <c r="A45" s="1" t="n">
        <v>20</v>
      </c>
      <c r="B45" s="1" t="n">
        <v>20003294</v>
      </c>
      <c r="C45" s="1" t="s">
        <v>101</v>
      </c>
      <c r="D45" s="1" t="n">
        <v>2</v>
      </c>
      <c r="E45" s="1" t="n">
        <v>9</v>
      </c>
      <c r="F45" s="1" t="s">
        <v>28</v>
      </c>
      <c r="H45" s="1" t="s">
        <v>95</v>
      </c>
      <c r="I45" s="1" t="s">
        <v>95</v>
      </c>
      <c r="N45" s="1" t="s">
        <v>376</v>
      </c>
    </row>
    <row r="46" customFormat="false" ht="12" hidden="false" customHeight="false" outlineLevel="0" collapsed="false">
      <c r="A46" s="1" t="n">
        <v>21</v>
      </c>
      <c r="B46" s="1" t="n">
        <v>20002630</v>
      </c>
      <c r="C46" s="1" t="s">
        <v>102</v>
      </c>
      <c r="D46" s="1" t="n">
        <v>2</v>
      </c>
      <c r="E46" s="1" t="n">
        <v>1</v>
      </c>
      <c r="F46" s="1" t="s">
        <v>8</v>
      </c>
      <c r="H46" s="1" t="s">
        <v>95</v>
      </c>
      <c r="I46" s="1" t="s">
        <v>95</v>
      </c>
      <c r="N46" s="1" t="s">
        <v>376</v>
      </c>
    </row>
    <row r="47" customFormat="false" ht="12" hidden="false" customHeight="false" outlineLevel="0" collapsed="false">
      <c r="A47" s="1" t="n">
        <v>21</v>
      </c>
      <c r="B47" s="1" t="n">
        <v>20002630</v>
      </c>
      <c r="C47" s="1" t="s">
        <v>102</v>
      </c>
      <c r="D47" s="1" t="n">
        <v>2</v>
      </c>
      <c r="E47" s="1" t="n">
        <v>4</v>
      </c>
      <c r="F47" s="1" t="s">
        <v>13</v>
      </c>
      <c r="H47" s="1" t="s">
        <v>95</v>
      </c>
      <c r="I47" s="1" t="s">
        <v>95</v>
      </c>
      <c r="N47" s="1" t="s">
        <v>376</v>
      </c>
    </row>
    <row r="48" customFormat="false" ht="12" hidden="false" customHeight="false" outlineLevel="0" collapsed="false">
      <c r="A48" s="1" t="n">
        <v>21</v>
      </c>
      <c r="B48" s="1" t="n">
        <v>20002630</v>
      </c>
      <c r="C48" s="1" t="s">
        <v>102</v>
      </c>
      <c r="D48" s="1" t="n">
        <v>2</v>
      </c>
      <c r="E48" s="1" t="n">
        <v>9</v>
      </c>
      <c r="F48" s="1" t="s">
        <v>28</v>
      </c>
      <c r="H48" s="1" t="s">
        <v>95</v>
      </c>
      <c r="I48" s="1" t="s">
        <v>95</v>
      </c>
      <c r="N48" s="1" t="s">
        <v>376</v>
      </c>
    </row>
    <row r="49" customFormat="false" ht="12" hidden="false" customHeight="false" outlineLevel="0" collapsed="false">
      <c r="A49" s="1" t="n">
        <v>22</v>
      </c>
      <c r="B49" s="1" t="n">
        <v>20002631</v>
      </c>
      <c r="C49" s="1" t="s">
        <v>103</v>
      </c>
      <c r="D49" s="1" t="n">
        <v>2</v>
      </c>
      <c r="E49" s="1" t="n">
        <v>1</v>
      </c>
      <c r="F49" s="1" t="s">
        <v>8</v>
      </c>
      <c r="H49" s="1" t="s">
        <v>95</v>
      </c>
      <c r="I49" s="1" t="s">
        <v>95</v>
      </c>
      <c r="N49" s="1" t="s">
        <v>376</v>
      </c>
    </row>
    <row r="50" customFormat="false" ht="12" hidden="false" customHeight="false" outlineLevel="0" collapsed="false">
      <c r="A50" s="1" t="n">
        <v>22</v>
      </c>
      <c r="B50" s="1" t="n">
        <v>20002631</v>
      </c>
      <c r="C50" s="1" t="s">
        <v>103</v>
      </c>
      <c r="D50" s="1" t="n">
        <v>2</v>
      </c>
      <c r="E50" s="1" t="n">
        <v>4</v>
      </c>
      <c r="F50" s="1" t="s">
        <v>13</v>
      </c>
      <c r="H50" s="1" t="s">
        <v>95</v>
      </c>
      <c r="I50" s="1" t="s">
        <v>95</v>
      </c>
      <c r="N50" s="1" t="s">
        <v>376</v>
      </c>
    </row>
    <row r="51" customFormat="false" ht="12" hidden="false" customHeight="false" outlineLevel="0" collapsed="false">
      <c r="A51" s="1" t="n">
        <v>22</v>
      </c>
      <c r="B51" s="1" t="n">
        <v>20002631</v>
      </c>
      <c r="C51" s="1" t="s">
        <v>103</v>
      </c>
      <c r="D51" s="1" t="n">
        <v>2</v>
      </c>
      <c r="E51" s="1" t="n">
        <v>9</v>
      </c>
      <c r="F51" s="1" t="s">
        <v>28</v>
      </c>
      <c r="H51" s="1" t="s">
        <v>95</v>
      </c>
      <c r="I51" s="1" t="s">
        <v>95</v>
      </c>
      <c r="N51" s="1" t="s">
        <v>376</v>
      </c>
    </row>
    <row r="52" customFormat="false" ht="12" hidden="false" customHeight="false" outlineLevel="0" collapsed="false">
      <c r="A52" s="1" t="n">
        <v>23</v>
      </c>
      <c r="B52" s="1" t="n">
        <v>20003549</v>
      </c>
      <c r="C52" s="1" t="s">
        <v>104</v>
      </c>
      <c r="D52" s="1" t="n">
        <v>2</v>
      </c>
      <c r="E52" s="1" t="n">
        <v>1</v>
      </c>
      <c r="F52" s="1" t="s">
        <v>8</v>
      </c>
      <c r="H52" s="1" t="s">
        <v>95</v>
      </c>
      <c r="I52" s="1" t="s">
        <v>95</v>
      </c>
      <c r="N52" s="1" t="s">
        <v>376</v>
      </c>
    </row>
    <row r="53" customFormat="false" ht="12" hidden="false" customHeight="false" outlineLevel="0" collapsed="false">
      <c r="A53" s="1" t="n">
        <v>23</v>
      </c>
      <c r="B53" s="1" t="n">
        <v>20003549</v>
      </c>
      <c r="C53" s="1" t="s">
        <v>104</v>
      </c>
      <c r="D53" s="1" t="n">
        <v>2</v>
      </c>
      <c r="E53" s="1" t="n">
        <v>4</v>
      </c>
      <c r="F53" s="1" t="s">
        <v>13</v>
      </c>
      <c r="H53" s="1" t="s">
        <v>95</v>
      </c>
      <c r="I53" s="1" t="s">
        <v>95</v>
      </c>
      <c r="N53" s="1" t="s">
        <v>376</v>
      </c>
    </row>
    <row r="54" customFormat="false" ht="12" hidden="false" customHeight="false" outlineLevel="0" collapsed="false">
      <c r="A54" s="1" t="n">
        <v>23</v>
      </c>
      <c r="B54" s="1" t="n">
        <v>20003549</v>
      </c>
      <c r="C54" s="1" t="s">
        <v>104</v>
      </c>
      <c r="D54" s="1" t="n">
        <v>2</v>
      </c>
      <c r="E54" s="1" t="n">
        <v>9</v>
      </c>
      <c r="F54" s="1" t="s">
        <v>28</v>
      </c>
      <c r="H54" s="1" t="s">
        <v>95</v>
      </c>
      <c r="I54" s="1" t="s">
        <v>95</v>
      </c>
      <c r="N54" s="1" t="s">
        <v>376</v>
      </c>
    </row>
    <row r="55" customFormat="false" ht="12" hidden="false" customHeight="false" outlineLevel="0" collapsed="false">
      <c r="A55" s="1" t="n">
        <v>24</v>
      </c>
      <c r="B55" s="1" t="n">
        <v>20003550</v>
      </c>
      <c r="C55" s="1" t="s">
        <v>105</v>
      </c>
      <c r="D55" s="1" t="n">
        <v>2</v>
      </c>
      <c r="E55" s="1" t="n">
        <v>1</v>
      </c>
      <c r="F55" s="1" t="s">
        <v>8</v>
      </c>
      <c r="H55" s="1" t="s">
        <v>95</v>
      </c>
      <c r="I55" s="1" t="s">
        <v>95</v>
      </c>
      <c r="N55" s="1" t="s">
        <v>376</v>
      </c>
    </row>
    <row r="56" customFormat="false" ht="12" hidden="false" customHeight="false" outlineLevel="0" collapsed="false">
      <c r="A56" s="1" t="n">
        <v>24</v>
      </c>
      <c r="B56" s="1" t="n">
        <v>20003550</v>
      </c>
      <c r="C56" s="1" t="s">
        <v>105</v>
      </c>
      <c r="D56" s="1" t="n">
        <v>2</v>
      </c>
      <c r="E56" s="1" t="n">
        <v>4</v>
      </c>
      <c r="F56" s="1" t="s">
        <v>13</v>
      </c>
      <c r="H56" s="1" t="s">
        <v>95</v>
      </c>
      <c r="I56" s="1" t="s">
        <v>95</v>
      </c>
      <c r="N56" s="1" t="s">
        <v>376</v>
      </c>
    </row>
    <row r="57" customFormat="false" ht="12" hidden="false" customHeight="false" outlineLevel="0" collapsed="false">
      <c r="A57" s="1" t="n">
        <v>24</v>
      </c>
      <c r="B57" s="1" t="n">
        <v>20003550</v>
      </c>
      <c r="C57" s="1" t="s">
        <v>105</v>
      </c>
      <c r="D57" s="1" t="n">
        <v>2</v>
      </c>
      <c r="E57" s="1" t="n">
        <v>9</v>
      </c>
      <c r="F57" s="1" t="s">
        <v>28</v>
      </c>
      <c r="H57" s="1" t="s">
        <v>95</v>
      </c>
      <c r="I57" s="1" t="s">
        <v>95</v>
      </c>
      <c r="N57" s="1" t="s">
        <v>376</v>
      </c>
    </row>
    <row r="58" customFormat="false" ht="12" hidden="false" customHeight="false" outlineLevel="0" collapsed="false">
      <c r="A58" s="1" t="n">
        <v>25</v>
      </c>
      <c r="B58" s="1" t="n">
        <v>20003707</v>
      </c>
      <c r="C58" s="1" t="s">
        <v>106</v>
      </c>
      <c r="D58" s="1" t="n">
        <v>2</v>
      </c>
      <c r="E58" s="1" t="n">
        <v>1</v>
      </c>
      <c r="F58" s="1" t="s">
        <v>8</v>
      </c>
      <c r="H58" s="1" t="s">
        <v>95</v>
      </c>
      <c r="I58" s="1" t="s">
        <v>95</v>
      </c>
      <c r="N58" s="1" t="s">
        <v>376</v>
      </c>
    </row>
    <row r="59" customFormat="false" ht="12" hidden="false" customHeight="false" outlineLevel="0" collapsed="false">
      <c r="A59" s="1" t="n">
        <v>25</v>
      </c>
      <c r="B59" s="1" t="n">
        <v>20003707</v>
      </c>
      <c r="C59" s="1" t="s">
        <v>106</v>
      </c>
      <c r="D59" s="1" t="n">
        <v>2</v>
      </c>
      <c r="E59" s="1" t="n">
        <v>4</v>
      </c>
      <c r="F59" s="1" t="s">
        <v>13</v>
      </c>
      <c r="H59" s="1" t="s">
        <v>95</v>
      </c>
      <c r="I59" s="1" t="s">
        <v>95</v>
      </c>
      <c r="N59" s="1" t="s">
        <v>376</v>
      </c>
    </row>
    <row r="60" customFormat="false" ht="12" hidden="false" customHeight="false" outlineLevel="0" collapsed="false">
      <c r="A60" s="1" t="n">
        <v>25</v>
      </c>
      <c r="B60" s="1" t="n">
        <v>20003707</v>
      </c>
      <c r="C60" s="1" t="s">
        <v>106</v>
      </c>
      <c r="D60" s="1" t="n">
        <v>2</v>
      </c>
      <c r="E60" s="1" t="n">
        <v>9</v>
      </c>
      <c r="F60" s="1" t="s">
        <v>28</v>
      </c>
      <c r="H60" s="1" t="s">
        <v>95</v>
      </c>
      <c r="I60" s="1" t="s">
        <v>95</v>
      </c>
      <c r="N60" s="1" t="s">
        <v>376</v>
      </c>
    </row>
    <row r="61" customFormat="false" ht="12" hidden="false" customHeight="false" outlineLevel="0" collapsed="false">
      <c r="A61" s="1" t="n">
        <v>26</v>
      </c>
      <c r="B61" s="1" t="n">
        <v>20002628</v>
      </c>
      <c r="C61" s="1" t="s">
        <v>107</v>
      </c>
      <c r="D61" s="1" t="n">
        <v>2</v>
      </c>
      <c r="E61" s="1" t="n">
        <v>1</v>
      </c>
      <c r="F61" s="1" t="s">
        <v>8</v>
      </c>
      <c r="H61" s="1" t="s">
        <v>95</v>
      </c>
      <c r="I61" s="1" t="s">
        <v>95</v>
      </c>
      <c r="N61" s="1" t="s">
        <v>376</v>
      </c>
    </row>
    <row r="62" customFormat="false" ht="12" hidden="false" customHeight="false" outlineLevel="0" collapsed="false">
      <c r="A62" s="1" t="n">
        <v>26</v>
      </c>
      <c r="B62" s="1" t="n">
        <v>20002628</v>
      </c>
      <c r="C62" s="1" t="s">
        <v>107</v>
      </c>
      <c r="D62" s="1" t="n">
        <v>2</v>
      </c>
      <c r="E62" s="1" t="n">
        <v>4</v>
      </c>
      <c r="F62" s="1" t="s">
        <v>13</v>
      </c>
      <c r="H62" s="1" t="s">
        <v>95</v>
      </c>
      <c r="I62" s="1" t="s">
        <v>95</v>
      </c>
      <c r="N62" s="1" t="s">
        <v>376</v>
      </c>
    </row>
    <row r="63" customFormat="false" ht="12" hidden="false" customHeight="false" outlineLevel="0" collapsed="false">
      <c r="A63" s="1" t="n">
        <v>26</v>
      </c>
      <c r="B63" s="1" t="n">
        <v>20002628</v>
      </c>
      <c r="C63" s="1" t="s">
        <v>107</v>
      </c>
      <c r="D63" s="1" t="n">
        <v>2</v>
      </c>
      <c r="E63" s="1" t="n">
        <v>9</v>
      </c>
      <c r="F63" s="1" t="s">
        <v>28</v>
      </c>
      <c r="H63" s="1" t="s">
        <v>95</v>
      </c>
      <c r="I63" s="1" t="s">
        <v>95</v>
      </c>
      <c r="N63" s="1" t="s">
        <v>376</v>
      </c>
    </row>
    <row r="64" customFormat="false" ht="12" hidden="false" customHeight="false" outlineLevel="0" collapsed="false">
      <c r="A64" s="1" t="n">
        <v>27</v>
      </c>
      <c r="B64" s="1" t="n">
        <v>20002629</v>
      </c>
      <c r="C64" s="1" t="s">
        <v>108</v>
      </c>
      <c r="D64" s="1" t="n">
        <v>2</v>
      </c>
      <c r="E64" s="1" t="n">
        <v>1</v>
      </c>
      <c r="F64" s="1" t="s">
        <v>8</v>
      </c>
      <c r="H64" s="1" t="s">
        <v>95</v>
      </c>
      <c r="I64" s="1" t="s">
        <v>95</v>
      </c>
      <c r="N64" s="1" t="s">
        <v>376</v>
      </c>
    </row>
    <row r="65" customFormat="false" ht="12" hidden="false" customHeight="false" outlineLevel="0" collapsed="false">
      <c r="A65" s="1" t="n">
        <v>27</v>
      </c>
      <c r="B65" s="1" t="n">
        <v>20002629</v>
      </c>
      <c r="C65" s="1" t="s">
        <v>108</v>
      </c>
      <c r="D65" s="1" t="n">
        <v>2</v>
      </c>
      <c r="E65" s="1" t="n">
        <v>4</v>
      </c>
      <c r="F65" s="1" t="s">
        <v>13</v>
      </c>
      <c r="H65" s="1" t="s">
        <v>95</v>
      </c>
      <c r="I65" s="1" t="s">
        <v>95</v>
      </c>
      <c r="N65" s="1" t="s">
        <v>376</v>
      </c>
    </row>
    <row r="66" customFormat="false" ht="12" hidden="false" customHeight="false" outlineLevel="0" collapsed="false">
      <c r="A66" s="1" t="n">
        <v>27</v>
      </c>
      <c r="B66" s="1" t="n">
        <v>20002629</v>
      </c>
      <c r="C66" s="1" t="s">
        <v>108</v>
      </c>
      <c r="D66" s="1" t="n">
        <v>2</v>
      </c>
      <c r="E66" s="1" t="n">
        <v>9</v>
      </c>
      <c r="F66" s="1" t="s">
        <v>28</v>
      </c>
      <c r="H66" s="1" t="s">
        <v>95</v>
      </c>
      <c r="I66" s="1" t="s">
        <v>95</v>
      </c>
      <c r="N66" s="1" t="s">
        <v>376</v>
      </c>
    </row>
    <row r="67" customFormat="false" ht="12" hidden="false" customHeight="false" outlineLevel="0" collapsed="false">
      <c r="A67" s="1" t="n">
        <v>28</v>
      </c>
      <c r="B67" s="1" t="n">
        <v>20002626</v>
      </c>
      <c r="C67" s="1" t="s">
        <v>109</v>
      </c>
      <c r="D67" s="1" t="n">
        <v>2</v>
      </c>
      <c r="E67" s="1" t="n">
        <v>1</v>
      </c>
      <c r="F67" s="1" t="s">
        <v>8</v>
      </c>
      <c r="H67" s="1" t="s">
        <v>95</v>
      </c>
      <c r="I67" s="1" t="s">
        <v>95</v>
      </c>
      <c r="N67" s="1" t="s">
        <v>376</v>
      </c>
    </row>
    <row r="68" customFormat="false" ht="12" hidden="false" customHeight="false" outlineLevel="0" collapsed="false">
      <c r="A68" s="1" t="n">
        <v>28</v>
      </c>
      <c r="B68" s="1" t="n">
        <v>20002626</v>
      </c>
      <c r="C68" s="1" t="s">
        <v>109</v>
      </c>
      <c r="D68" s="1" t="n">
        <v>2</v>
      </c>
      <c r="E68" s="1" t="n">
        <v>4</v>
      </c>
      <c r="F68" s="1" t="s">
        <v>13</v>
      </c>
      <c r="H68" s="1" t="s">
        <v>95</v>
      </c>
      <c r="I68" s="1" t="s">
        <v>95</v>
      </c>
      <c r="N68" s="1" t="s">
        <v>376</v>
      </c>
    </row>
    <row r="69" customFormat="false" ht="12" hidden="false" customHeight="false" outlineLevel="0" collapsed="false">
      <c r="A69" s="1" t="n">
        <v>28</v>
      </c>
      <c r="B69" s="1" t="n">
        <v>20002626</v>
      </c>
      <c r="C69" s="1" t="s">
        <v>109</v>
      </c>
      <c r="D69" s="1" t="n">
        <v>2</v>
      </c>
      <c r="E69" s="1" t="n">
        <v>9</v>
      </c>
      <c r="F69" s="1" t="s">
        <v>28</v>
      </c>
      <c r="H69" s="1" t="s">
        <v>95</v>
      </c>
      <c r="I69" s="1" t="s">
        <v>95</v>
      </c>
      <c r="N69" s="1" t="s">
        <v>376</v>
      </c>
    </row>
    <row r="70" customFormat="false" ht="12" hidden="false" customHeight="false" outlineLevel="0" collapsed="false">
      <c r="A70" s="1" t="n">
        <v>29</v>
      </c>
      <c r="B70" s="1" t="n">
        <v>20002627</v>
      </c>
      <c r="C70" s="1" t="s">
        <v>110</v>
      </c>
      <c r="D70" s="1" t="n">
        <v>2</v>
      </c>
      <c r="E70" s="1" t="n">
        <v>1</v>
      </c>
      <c r="F70" s="1" t="s">
        <v>8</v>
      </c>
      <c r="H70" s="1" t="s">
        <v>95</v>
      </c>
      <c r="I70" s="1" t="s">
        <v>95</v>
      </c>
      <c r="N70" s="1" t="s">
        <v>376</v>
      </c>
    </row>
    <row r="71" customFormat="false" ht="12" hidden="false" customHeight="false" outlineLevel="0" collapsed="false">
      <c r="A71" s="1" t="n">
        <v>29</v>
      </c>
      <c r="B71" s="1" t="n">
        <v>20002627</v>
      </c>
      <c r="C71" s="1" t="s">
        <v>110</v>
      </c>
      <c r="D71" s="1" t="n">
        <v>2</v>
      </c>
      <c r="E71" s="1" t="n">
        <v>4</v>
      </c>
      <c r="F71" s="1" t="s">
        <v>13</v>
      </c>
      <c r="H71" s="1" t="s">
        <v>95</v>
      </c>
      <c r="I71" s="1" t="s">
        <v>95</v>
      </c>
      <c r="N71" s="1" t="s">
        <v>376</v>
      </c>
    </row>
    <row r="72" customFormat="false" ht="12" hidden="false" customHeight="false" outlineLevel="0" collapsed="false">
      <c r="A72" s="1" t="n">
        <v>29</v>
      </c>
      <c r="B72" s="1" t="n">
        <v>20002627</v>
      </c>
      <c r="C72" s="1" t="s">
        <v>110</v>
      </c>
      <c r="D72" s="1" t="n">
        <v>2</v>
      </c>
      <c r="E72" s="1" t="n">
        <v>9</v>
      </c>
      <c r="F72" s="1" t="s">
        <v>28</v>
      </c>
      <c r="H72" s="1" t="s">
        <v>95</v>
      </c>
      <c r="I72" s="1" t="s">
        <v>95</v>
      </c>
      <c r="N72" s="1" t="s">
        <v>376</v>
      </c>
    </row>
    <row r="73" customFormat="false" ht="12" hidden="false" customHeight="false" outlineLevel="0" collapsed="false">
      <c r="A73" s="1" t="n">
        <v>30</v>
      </c>
      <c r="B73" s="1" t="n">
        <v>20002643</v>
      </c>
      <c r="C73" s="1" t="s">
        <v>111</v>
      </c>
      <c r="D73" s="1" t="n">
        <v>2</v>
      </c>
      <c r="E73" s="1" t="n">
        <v>1</v>
      </c>
      <c r="F73" s="1" t="s">
        <v>8</v>
      </c>
      <c r="H73" s="1" t="s">
        <v>95</v>
      </c>
      <c r="I73" s="1" t="s">
        <v>112</v>
      </c>
      <c r="N73" s="1" t="s">
        <v>376</v>
      </c>
    </row>
    <row r="74" customFormat="false" ht="12" hidden="false" customHeight="false" outlineLevel="0" collapsed="false">
      <c r="A74" s="1" t="n">
        <v>30</v>
      </c>
      <c r="B74" s="1" t="n">
        <v>20002643</v>
      </c>
      <c r="C74" s="1" t="s">
        <v>111</v>
      </c>
      <c r="D74" s="1" t="n">
        <v>2</v>
      </c>
      <c r="E74" s="1" t="n">
        <v>4</v>
      </c>
      <c r="F74" s="1" t="s">
        <v>13</v>
      </c>
      <c r="H74" s="1" t="s">
        <v>95</v>
      </c>
      <c r="I74" s="1" t="s">
        <v>112</v>
      </c>
      <c r="N74" s="1" t="s">
        <v>376</v>
      </c>
    </row>
    <row r="75" customFormat="false" ht="12" hidden="false" customHeight="false" outlineLevel="0" collapsed="false">
      <c r="A75" s="1" t="n">
        <v>30</v>
      </c>
      <c r="B75" s="1" t="n">
        <v>20002643</v>
      </c>
      <c r="C75" s="1" t="s">
        <v>111</v>
      </c>
      <c r="D75" s="1" t="n">
        <v>2</v>
      </c>
      <c r="E75" s="1" t="n">
        <v>9</v>
      </c>
      <c r="F75" s="1" t="s">
        <v>28</v>
      </c>
      <c r="H75" s="1" t="s">
        <v>95</v>
      </c>
      <c r="I75" s="1" t="s">
        <v>112</v>
      </c>
      <c r="N75" s="1" t="s">
        <v>376</v>
      </c>
    </row>
    <row r="76" customFormat="false" ht="12" hidden="false" customHeight="false" outlineLevel="0" collapsed="false">
      <c r="A76" s="1" t="n">
        <v>31</v>
      </c>
      <c r="B76" s="1" t="n">
        <v>20002644</v>
      </c>
      <c r="C76" s="1" t="s">
        <v>113</v>
      </c>
      <c r="D76" s="1" t="n">
        <v>2</v>
      </c>
      <c r="E76" s="1" t="n">
        <v>1</v>
      </c>
      <c r="F76" s="1" t="s">
        <v>8</v>
      </c>
      <c r="H76" s="1" t="s">
        <v>95</v>
      </c>
      <c r="I76" s="1" t="s">
        <v>112</v>
      </c>
      <c r="N76" s="1" t="s">
        <v>376</v>
      </c>
    </row>
    <row r="77" customFormat="false" ht="12" hidden="false" customHeight="false" outlineLevel="0" collapsed="false">
      <c r="A77" s="1" t="n">
        <v>31</v>
      </c>
      <c r="B77" s="1" t="n">
        <v>20002644</v>
      </c>
      <c r="C77" s="1" t="s">
        <v>113</v>
      </c>
      <c r="D77" s="1" t="n">
        <v>2</v>
      </c>
      <c r="E77" s="1" t="n">
        <v>4</v>
      </c>
      <c r="F77" s="1" t="s">
        <v>13</v>
      </c>
      <c r="H77" s="1" t="s">
        <v>95</v>
      </c>
      <c r="I77" s="1" t="s">
        <v>112</v>
      </c>
      <c r="N77" s="1" t="s">
        <v>376</v>
      </c>
    </row>
    <row r="78" customFormat="false" ht="12" hidden="false" customHeight="false" outlineLevel="0" collapsed="false">
      <c r="A78" s="1" t="n">
        <v>31</v>
      </c>
      <c r="B78" s="1" t="n">
        <v>20002644</v>
      </c>
      <c r="C78" s="1" t="s">
        <v>113</v>
      </c>
      <c r="D78" s="1" t="n">
        <v>2</v>
      </c>
      <c r="E78" s="1" t="n">
        <v>9</v>
      </c>
      <c r="F78" s="1" t="s">
        <v>28</v>
      </c>
      <c r="H78" s="1" t="s">
        <v>95</v>
      </c>
      <c r="I78" s="1" t="s">
        <v>112</v>
      </c>
      <c r="N78" s="1" t="s">
        <v>376</v>
      </c>
    </row>
    <row r="79" customFormat="false" ht="12" hidden="false" customHeight="false" outlineLevel="0" collapsed="false">
      <c r="A79" s="1" t="n">
        <v>34</v>
      </c>
      <c r="B79" s="1" t="s">
        <v>114</v>
      </c>
      <c r="C79" s="1" t="s">
        <v>115</v>
      </c>
      <c r="D79" s="1" t="n">
        <v>1</v>
      </c>
      <c r="E79" s="1" t="n">
        <v>1</v>
      </c>
      <c r="F79" s="1" t="s">
        <v>8</v>
      </c>
      <c r="H79" s="1" t="s">
        <v>116</v>
      </c>
      <c r="I79" s="1" t="s">
        <v>117</v>
      </c>
      <c r="N79" s="1" t="s">
        <v>376</v>
      </c>
    </row>
    <row r="80" customFormat="false" ht="12" hidden="false" customHeight="false" outlineLevel="0" collapsed="false">
      <c r="A80" s="1" t="n">
        <v>34</v>
      </c>
      <c r="B80" s="1" t="s">
        <v>114</v>
      </c>
      <c r="C80" s="1" t="s">
        <v>115</v>
      </c>
      <c r="D80" s="1" t="n">
        <v>1</v>
      </c>
      <c r="E80" s="1" t="n">
        <v>3</v>
      </c>
      <c r="F80" s="1" t="s">
        <v>12</v>
      </c>
      <c r="H80" s="1" t="s">
        <v>116</v>
      </c>
      <c r="I80" s="1" t="s">
        <v>117</v>
      </c>
      <c r="N80" s="1" t="s">
        <v>376</v>
      </c>
    </row>
    <row r="81" customFormat="false" ht="12" hidden="false" customHeight="false" outlineLevel="0" collapsed="false">
      <c r="A81" s="1" t="n">
        <v>34</v>
      </c>
      <c r="B81" s="1" t="s">
        <v>114</v>
      </c>
      <c r="C81" s="1" t="s">
        <v>115</v>
      </c>
      <c r="D81" s="1" t="n">
        <v>1</v>
      </c>
      <c r="E81" s="1" t="n">
        <v>9</v>
      </c>
      <c r="F81" s="1" t="s">
        <v>28</v>
      </c>
      <c r="H81" s="1" t="s">
        <v>116</v>
      </c>
      <c r="I81" s="1" t="s">
        <v>117</v>
      </c>
      <c r="N81" s="1" t="s">
        <v>376</v>
      </c>
    </row>
    <row r="82" customFormat="false" ht="12" hidden="false" customHeight="false" outlineLevel="0" collapsed="false">
      <c r="A82" s="1" t="n">
        <v>35</v>
      </c>
      <c r="B82" s="1" t="s">
        <v>119</v>
      </c>
      <c r="C82" s="1" t="s">
        <v>120</v>
      </c>
      <c r="D82" s="1" t="n">
        <v>1</v>
      </c>
      <c r="E82" s="1" t="n">
        <v>1</v>
      </c>
      <c r="F82" s="1" t="s">
        <v>8</v>
      </c>
      <c r="H82" s="1" t="s">
        <v>116</v>
      </c>
      <c r="I82" s="1" t="s">
        <v>117</v>
      </c>
      <c r="N82" s="1" t="s">
        <v>376</v>
      </c>
    </row>
    <row r="83" customFormat="false" ht="12" hidden="false" customHeight="false" outlineLevel="0" collapsed="false">
      <c r="A83" s="1" t="n">
        <v>35</v>
      </c>
      <c r="B83" s="1" t="s">
        <v>119</v>
      </c>
      <c r="C83" s="1" t="s">
        <v>121</v>
      </c>
      <c r="D83" s="1" t="n">
        <v>1</v>
      </c>
      <c r="E83" s="1" t="n">
        <v>3</v>
      </c>
      <c r="F83" s="1" t="s">
        <v>12</v>
      </c>
      <c r="H83" s="1" t="s">
        <v>116</v>
      </c>
      <c r="I83" s="1" t="s">
        <v>117</v>
      </c>
      <c r="N83" s="1" t="s">
        <v>376</v>
      </c>
    </row>
    <row r="84" customFormat="false" ht="12" hidden="false" customHeight="false" outlineLevel="0" collapsed="false">
      <c r="A84" s="1" t="n">
        <v>35</v>
      </c>
      <c r="B84" s="1" t="s">
        <v>119</v>
      </c>
      <c r="C84" s="1" t="s">
        <v>122</v>
      </c>
      <c r="D84" s="1" t="n">
        <v>1</v>
      </c>
      <c r="E84" s="1" t="n">
        <v>9</v>
      </c>
      <c r="F84" s="1" t="s">
        <v>28</v>
      </c>
      <c r="H84" s="1" t="s">
        <v>116</v>
      </c>
      <c r="I84" s="1" t="s">
        <v>117</v>
      </c>
      <c r="N84" s="1" t="s">
        <v>376</v>
      </c>
    </row>
    <row r="85" customFormat="false" ht="12" hidden="false" customHeight="false" outlineLevel="0" collapsed="false">
      <c r="A85" s="1" t="n">
        <v>36</v>
      </c>
      <c r="B85" s="1" t="s">
        <v>123</v>
      </c>
      <c r="C85" s="1" t="s">
        <v>124</v>
      </c>
      <c r="D85" s="1" t="n">
        <v>1</v>
      </c>
      <c r="E85" s="1" t="n">
        <v>1</v>
      </c>
      <c r="F85" s="1" t="s">
        <v>8</v>
      </c>
      <c r="H85" s="1" t="s">
        <v>116</v>
      </c>
      <c r="I85" s="1" t="s">
        <v>117</v>
      </c>
      <c r="N85" s="1" t="s">
        <v>376</v>
      </c>
    </row>
    <row r="86" customFormat="false" ht="12" hidden="false" customHeight="false" outlineLevel="0" collapsed="false">
      <c r="A86" s="1" t="n">
        <v>36</v>
      </c>
      <c r="B86" s="1" t="s">
        <v>123</v>
      </c>
      <c r="C86" s="1" t="s">
        <v>125</v>
      </c>
      <c r="D86" s="1" t="n">
        <v>1</v>
      </c>
      <c r="E86" s="1" t="n">
        <v>3</v>
      </c>
      <c r="F86" s="1" t="s">
        <v>12</v>
      </c>
      <c r="H86" s="1" t="s">
        <v>116</v>
      </c>
      <c r="I86" s="1" t="s">
        <v>117</v>
      </c>
      <c r="N86" s="1" t="s">
        <v>376</v>
      </c>
    </row>
    <row r="87" customFormat="false" ht="12" hidden="false" customHeight="false" outlineLevel="0" collapsed="false">
      <c r="A87" s="1" t="n">
        <v>36</v>
      </c>
      <c r="B87" s="1" t="s">
        <v>123</v>
      </c>
      <c r="C87" s="1" t="s">
        <v>126</v>
      </c>
      <c r="D87" s="1" t="n">
        <v>1</v>
      </c>
      <c r="E87" s="1" t="n">
        <v>9</v>
      </c>
      <c r="F87" s="1" t="s">
        <v>28</v>
      </c>
      <c r="H87" s="1" t="s">
        <v>116</v>
      </c>
      <c r="I87" s="1" t="s">
        <v>117</v>
      </c>
      <c r="N87" s="1" t="s">
        <v>376</v>
      </c>
    </row>
    <row r="88" customFormat="false" ht="12" hidden="false" customHeight="false" outlineLevel="0" collapsed="false">
      <c r="A88" s="1" t="n">
        <v>37</v>
      </c>
      <c r="B88" s="1" t="s">
        <v>127</v>
      </c>
      <c r="C88" s="1" t="s">
        <v>128</v>
      </c>
      <c r="D88" s="1" t="n">
        <v>1</v>
      </c>
      <c r="E88" s="1" t="n">
        <v>1</v>
      </c>
      <c r="F88" s="1" t="s">
        <v>8</v>
      </c>
      <c r="H88" s="1" t="s">
        <v>116</v>
      </c>
      <c r="I88" s="1" t="s">
        <v>117</v>
      </c>
      <c r="N88" s="1" t="s">
        <v>376</v>
      </c>
    </row>
    <row r="89" customFormat="false" ht="12" hidden="false" customHeight="false" outlineLevel="0" collapsed="false">
      <c r="A89" s="1" t="n">
        <v>37</v>
      </c>
      <c r="B89" s="1" t="s">
        <v>127</v>
      </c>
      <c r="C89" s="1" t="s">
        <v>129</v>
      </c>
      <c r="D89" s="1" t="n">
        <v>1</v>
      </c>
      <c r="E89" s="1" t="n">
        <v>3</v>
      </c>
      <c r="F89" s="1" t="s">
        <v>12</v>
      </c>
      <c r="H89" s="1" t="s">
        <v>116</v>
      </c>
      <c r="I89" s="1" t="s">
        <v>117</v>
      </c>
      <c r="N89" s="1" t="s">
        <v>376</v>
      </c>
    </row>
    <row r="90" customFormat="false" ht="12" hidden="false" customHeight="false" outlineLevel="0" collapsed="false">
      <c r="A90" s="1" t="n">
        <v>37</v>
      </c>
      <c r="B90" s="1" t="s">
        <v>127</v>
      </c>
      <c r="C90" s="1" t="s">
        <v>130</v>
      </c>
      <c r="D90" s="1" t="n">
        <v>1</v>
      </c>
      <c r="E90" s="1" t="n">
        <v>9</v>
      </c>
      <c r="F90" s="1" t="s">
        <v>28</v>
      </c>
      <c r="H90" s="1" t="s">
        <v>116</v>
      </c>
      <c r="I90" s="1" t="s">
        <v>117</v>
      </c>
      <c r="N90" s="1" t="s">
        <v>376</v>
      </c>
    </row>
    <row r="91" customFormat="false" ht="12" hidden="false" customHeight="false" outlineLevel="0" collapsed="false">
      <c r="A91" s="1" t="n">
        <v>38</v>
      </c>
      <c r="B91" s="1" t="s">
        <v>131</v>
      </c>
      <c r="C91" s="1" t="s">
        <v>132</v>
      </c>
      <c r="D91" s="1" t="n">
        <v>1</v>
      </c>
      <c r="E91" s="1" t="n">
        <v>1</v>
      </c>
      <c r="F91" s="1" t="s">
        <v>8</v>
      </c>
      <c r="H91" s="1" t="s">
        <v>116</v>
      </c>
      <c r="I91" s="1" t="s">
        <v>117</v>
      </c>
      <c r="N91" s="1" t="s">
        <v>376</v>
      </c>
    </row>
    <row r="92" customFormat="false" ht="12" hidden="false" customHeight="false" outlineLevel="0" collapsed="false">
      <c r="A92" s="1" t="n">
        <v>38</v>
      </c>
      <c r="B92" s="1" t="s">
        <v>131</v>
      </c>
      <c r="C92" s="1" t="s">
        <v>132</v>
      </c>
      <c r="D92" s="1" t="n">
        <v>1</v>
      </c>
      <c r="E92" s="1" t="n">
        <v>8</v>
      </c>
      <c r="F92" s="1" t="s">
        <v>24</v>
      </c>
      <c r="H92" s="1" t="s">
        <v>116</v>
      </c>
      <c r="I92" s="1" t="s">
        <v>117</v>
      </c>
      <c r="N92" s="1" t="s">
        <v>376</v>
      </c>
    </row>
    <row r="93" customFormat="false" ht="12" hidden="false" customHeight="false" outlineLevel="0" collapsed="false">
      <c r="A93" s="1" t="n">
        <v>38</v>
      </c>
      <c r="B93" s="1" t="s">
        <v>131</v>
      </c>
      <c r="C93" s="1" t="s">
        <v>132</v>
      </c>
      <c r="D93" s="1" t="n">
        <v>1</v>
      </c>
      <c r="E93" s="1" t="n">
        <v>9</v>
      </c>
      <c r="F93" s="1" t="s">
        <v>28</v>
      </c>
      <c r="H93" s="1" t="s">
        <v>116</v>
      </c>
      <c r="I93" s="1" t="s">
        <v>117</v>
      </c>
      <c r="N93" s="1" t="s">
        <v>376</v>
      </c>
    </row>
    <row r="94" customFormat="false" ht="12" hidden="false" customHeight="false" outlineLevel="0" collapsed="false">
      <c r="A94" s="1" t="n">
        <v>39</v>
      </c>
      <c r="B94" s="1" t="s">
        <v>133</v>
      </c>
      <c r="C94" s="1" t="s">
        <v>134</v>
      </c>
      <c r="D94" s="1" t="n">
        <v>1</v>
      </c>
      <c r="E94" s="1" t="n">
        <v>1</v>
      </c>
      <c r="F94" s="1" t="s">
        <v>8</v>
      </c>
      <c r="H94" s="1" t="s">
        <v>116</v>
      </c>
      <c r="I94" s="1" t="s">
        <v>117</v>
      </c>
      <c r="N94" s="1" t="s">
        <v>376</v>
      </c>
    </row>
    <row r="95" customFormat="false" ht="12" hidden="false" customHeight="false" outlineLevel="0" collapsed="false">
      <c r="A95" s="1" t="n">
        <v>39</v>
      </c>
      <c r="B95" s="1" t="s">
        <v>133</v>
      </c>
      <c r="C95" s="1" t="s">
        <v>134</v>
      </c>
      <c r="D95" s="1" t="n">
        <v>1</v>
      </c>
      <c r="E95" s="1" t="n">
        <v>8</v>
      </c>
      <c r="F95" s="1" t="s">
        <v>24</v>
      </c>
      <c r="H95" s="1" t="s">
        <v>116</v>
      </c>
      <c r="I95" s="1" t="s">
        <v>117</v>
      </c>
      <c r="N95" s="1" t="s">
        <v>376</v>
      </c>
    </row>
    <row r="96" customFormat="false" ht="12" hidden="false" customHeight="false" outlineLevel="0" collapsed="false">
      <c r="A96" s="1" t="n">
        <v>39</v>
      </c>
      <c r="B96" s="1" t="s">
        <v>133</v>
      </c>
      <c r="C96" s="1" t="s">
        <v>134</v>
      </c>
      <c r="D96" s="1" t="n">
        <v>1</v>
      </c>
      <c r="E96" s="1" t="n">
        <v>9</v>
      </c>
      <c r="F96" s="1" t="s">
        <v>28</v>
      </c>
      <c r="H96" s="1" t="s">
        <v>116</v>
      </c>
      <c r="I96" s="1" t="s">
        <v>117</v>
      </c>
      <c r="N96" s="1" t="s">
        <v>376</v>
      </c>
    </row>
    <row r="97" customFormat="false" ht="12" hidden="false" customHeight="false" outlineLevel="0" collapsed="false">
      <c r="A97" s="1" t="n">
        <v>40</v>
      </c>
      <c r="B97" s="1" t="s">
        <v>135</v>
      </c>
      <c r="C97" s="1" t="s">
        <v>136</v>
      </c>
      <c r="D97" s="1" t="n">
        <v>1</v>
      </c>
      <c r="E97" s="1" t="n">
        <v>1</v>
      </c>
      <c r="F97" s="1" t="s">
        <v>8</v>
      </c>
      <c r="H97" s="1" t="s">
        <v>116</v>
      </c>
      <c r="I97" s="1" t="s">
        <v>117</v>
      </c>
      <c r="N97" s="1" t="s">
        <v>376</v>
      </c>
    </row>
    <row r="98" customFormat="false" ht="12" hidden="false" customHeight="false" outlineLevel="0" collapsed="false">
      <c r="A98" s="1" t="n">
        <v>40</v>
      </c>
      <c r="B98" s="1" t="s">
        <v>135</v>
      </c>
      <c r="C98" s="1" t="s">
        <v>136</v>
      </c>
      <c r="D98" s="1" t="n">
        <v>1</v>
      </c>
      <c r="E98" s="1" t="n">
        <v>8</v>
      </c>
      <c r="F98" s="1" t="s">
        <v>24</v>
      </c>
      <c r="H98" s="1" t="s">
        <v>116</v>
      </c>
      <c r="I98" s="1" t="s">
        <v>117</v>
      </c>
      <c r="N98" s="1" t="s">
        <v>376</v>
      </c>
    </row>
    <row r="99" customFormat="false" ht="12" hidden="false" customHeight="false" outlineLevel="0" collapsed="false">
      <c r="A99" s="1" t="n">
        <v>40</v>
      </c>
      <c r="B99" s="1" t="s">
        <v>135</v>
      </c>
      <c r="C99" s="1" t="s">
        <v>136</v>
      </c>
      <c r="D99" s="1" t="n">
        <v>1</v>
      </c>
      <c r="E99" s="1" t="n">
        <v>9</v>
      </c>
      <c r="F99" s="1" t="s">
        <v>28</v>
      </c>
      <c r="H99" s="1" t="s">
        <v>116</v>
      </c>
      <c r="I99" s="1" t="s">
        <v>117</v>
      </c>
      <c r="N99" s="1" t="s">
        <v>376</v>
      </c>
    </row>
    <row r="100" customFormat="false" ht="12" hidden="false" customHeight="false" outlineLevel="0" collapsed="false">
      <c r="A100" s="1" t="n">
        <v>41</v>
      </c>
      <c r="B100" s="1" t="s">
        <v>137</v>
      </c>
      <c r="C100" s="1" t="s">
        <v>138</v>
      </c>
      <c r="D100" s="1" t="n">
        <v>1</v>
      </c>
      <c r="E100" s="1" t="n">
        <v>1</v>
      </c>
      <c r="F100" s="1" t="s">
        <v>8</v>
      </c>
      <c r="H100" s="1" t="s">
        <v>116</v>
      </c>
      <c r="I100" s="1" t="s">
        <v>117</v>
      </c>
      <c r="N100" s="1" t="s">
        <v>376</v>
      </c>
    </row>
    <row r="101" customFormat="false" ht="12" hidden="false" customHeight="false" outlineLevel="0" collapsed="false">
      <c r="A101" s="1" t="n">
        <v>41</v>
      </c>
      <c r="B101" s="1" t="s">
        <v>137</v>
      </c>
      <c r="C101" s="1" t="s">
        <v>138</v>
      </c>
      <c r="D101" s="1" t="n">
        <v>1</v>
      </c>
      <c r="E101" s="1" t="n">
        <v>8</v>
      </c>
      <c r="F101" s="1" t="s">
        <v>24</v>
      </c>
      <c r="H101" s="1" t="s">
        <v>116</v>
      </c>
      <c r="I101" s="1" t="s">
        <v>117</v>
      </c>
      <c r="N101" s="1" t="s">
        <v>376</v>
      </c>
    </row>
    <row r="102" customFormat="false" ht="12" hidden="false" customHeight="false" outlineLevel="0" collapsed="false">
      <c r="A102" s="1" t="n">
        <v>41</v>
      </c>
      <c r="B102" s="1" t="s">
        <v>137</v>
      </c>
      <c r="C102" s="1" t="s">
        <v>138</v>
      </c>
      <c r="D102" s="1" t="n">
        <v>1</v>
      </c>
      <c r="E102" s="1" t="n">
        <v>9</v>
      </c>
      <c r="F102" s="1" t="s">
        <v>28</v>
      </c>
      <c r="H102" s="1" t="s">
        <v>116</v>
      </c>
      <c r="I102" s="1" t="s">
        <v>117</v>
      </c>
      <c r="N102" s="1" t="s">
        <v>376</v>
      </c>
    </row>
    <row r="103" customFormat="false" ht="12" hidden="false" customHeight="false" outlineLevel="0" collapsed="false">
      <c r="A103" s="1" t="n">
        <v>42</v>
      </c>
      <c r="B103" s="1" t="s">
        <v>139</v>
      </c>
      <c r="C103" s="1" t="s">
        <v>140</v>
      </c>
      <c r="D103" s="1" t="n">
        <v>1</v>
      </c>
      <c r="E103" s="1" t="n">
        <v>1</v>
      </c>
      <c r="F103" s="1" t="s">
        <v>8</v>
      </c>
      <c r="H103" s="1" t="s">
        <v>141</v>
      </c>
      <c r="I103" s="1" t="s">
        <v>142</v>
      </c>
      <c r="N103" s="1" t="s">
        <v>376</v>
      </c>
    </row>
    <row r="104" customFormat="false" ht="12" hidden="false" customHeight="false" outlineLevel="0" collapsed="false">
      <c r="A104" s="1" t="n">
        <v>42</v>
      </c>
      <c r="B104" s="1" t="s">
        <v>139</v>
      </c>
      <c r="C104" s="1" t="s">
        <v>140</v>
      </c>
      <c r="D104" s="1" t="n">
        <v>1</v>
      </c>
      <c r="E104" s="1" t="n">
        <v>3</v>
      </c>
      <c r="F104" s="1" t="s">
        <v>12</v>
      </c>
      <c r="H104" s="1" t="s">
        <v>141</v>
      </c>
      <c r="I104" s="1" t="s">
        <v>142</v>
      </c>
      <c r="N104" s="1" t="s">
        <v>376</v>
      </c>
    </row>
    <row r="105" customFormat="false" ht="12" hidden="false" customHeight="false" outlineLevel="0" collapsed="false">
      <c r="A105" s="1" t="n">
        <v>42</v>
      </c>
      <c r="B105" s="1" t="s">
        <v>139</v>
      </c>
      <c r="C105" s="1" t="s">
        <v>140</v>
      </c>
      <c r="D105" s="1" t="n">
        <v>1</v>
      </c>
      <c r="E105" s="1" t="n">
        <v>9</v>
      </c>
      <c r="F105" s="1" t="s">
        <v>28</v>
      </c>
      <c r="H105" s="1" t="s">
        <v>141</v>
      </c>
      <c r="I105" s="1" t="s">
        <v>142</v>
      </c>
      <c r="N105" s="1" t="s">
        <v>376</v>
      </c>
    </row>
    <row r="106" customFormat="false" ht="12" hidden="false" customHeight="false" outlineLevel="0" collapsed="false">
      <c r="A106" s="1" t="n">
        <v>43</v>
      </c>
      <c r="B106" s="1" t="s">
        <v>143</v>
      </c>
      <c r="C106" s="1" t="s">
        <v>144</v>
      </c>
      <c r="D106" s="1" t="n">
        <v>1</v>
      </c>
      <c r="E106" s="1" t="n">
        <v>1</v>
      </c>
      <c r="F106" s="1" t="s">
        <v>8</v>
      </c>
      <c r="H106" s="1" t="s">
        <v>141</v>
      </c>
      <c r="I106" s="1" t="s">
        <v>142</v>
      </c>
      <c r="N106" s="1" t="s">
        <v>376</v>
      </c>
    </row>
    <row r="107" customFormat="false" ht="12" hidden="false" customHeight="false" outlineLevel="0" collapsed="false">
      <c r="A107" s="1" t="n">
        <v>43</v>
      </c>
      <c r="B107" s="1" t="s">
        <v>143</v>
      </c>
      <c r="C107" s="1" t="s">
        <v>144</v>
      </c>
      <c r="D107" s="1" t="n">
        <v>1</v>
      </c>
      <c r="E107" s="1" t="n">
        <v>3</v>
      </c>
      <c r="F107" s="1" t="s">
        <v>12</v>
      </c>
      <c r="H107" s="1" t="s">
        <v>141</v>
      </c>
      <c r="I107" s="1" t="s">
        <v>142</v>
      </c>
      <c r="N107" s="1" t="s">
        <v>376</v>
      </c>
    </row>
    <row r="108" customFormat="false" ht="12" hidden="false" customHeight="false" outlineLevel="0" collapsed="false">
      <c r="A108" s="1" t="n">
        <v>43</v>
      </c>
      <c r="B108" s="1" t="s">
        <v>143</v>
      </c>
      <c r="C108" s="1" t="s">
        <v>144</v>
      </c>
      <c r="D108" s="1" t="n">
        <v>1</v>
      </c>
      <c r="E108" s="1" t="n">
        <v>9</v>
      </c>
      <c r="F108" s="1" t="s">
        <v>28</v>
      </c>
      <c r="H108" s="1" t="s">
        <v>141</v>
      </c>
      <c r="I108" s="1" t="s">
        <v>142</v>
      </c>
      <c r="N108" s="1" t="s">
        <v>376</v>
      </c>
    </row>
    <row r="109" customFormat="false" ht="12" hidden="false" customHeight="false" outlineLevel="0" collapsed="false">
      <c r="A109" s="1" t="n">
        <v>44</v>
      </c>
      <c r="B109" s="1" t="s">
        <v>145</v>
      </c>
      <c r="C109" s="1" t="s">
        <v>146</v>
      </c>
      <c r="D109" s="1" t="n">
        <v>1</v>
      </c>
      <c r="E109" s="1" t="n">
        <v>1</v>
      </c>
      <c r="F109" s="1" t="s">
        <v>8</v>
      </c>
      <c r="H109" s="1" t="s">
        <v>141</v>
      </c>
      <c r="I109" s="1" t="s">
        <v>142</v>
      </c>
      <c r="N109" s="1" t="s">
        <v>376</v>
      </c>
    </row>
    <row r="110" customFormat="false" ht="12" hidden="false" customHeight="false" outlineLevel="0" collapsed="false">
      <c r="A110" s="1" t="n">
        <v>44</v>
      </c>
      <c r="B110" s="1" t="s">
        <v>145</v>
      </c>
      <c r="C110" s="1" t="s">
        <v>146</v>
      </c>
      <c r="D110" s="1" t="n">
        <v>1</v>
      </c>
      <c r="E110" s="1" t="n">
        <v>3</v>
      </c>
      <c r="F110" s="1" t="s">
        <v>12</v>
      </c>
      <c r="H110" s="1" t="s">
        <v>141</v>
      </c>
      <c r="I110" s="1" t="s">
        <v>142</v>
      </c>
      <c r="N110" s="1" t="s">
        <v>376</v>
      </c>
    </row>
    <row r="111" customFormat="false" ht="12" hidden="false" customHeight="false" outlineLevel="0" collapsed="false">
      <c r="A111" s="1" t="n">
        <v>44</v>
      </c>
      <c r="B111" s="1" t="s">
        <v>145</v>
      </c>
      <c r="C111" s="1" t="s">
        <v>146</v>
      </c>
      <c r="D111" s="1" t="n">
        <v>1</v>
      </c>
      <c r="E111" s="1" t="n">
        <v>9</v>
      </c>
      <c r="F111" s="1" t="s">
        <v>28</v>
      </c>
      <c r="H111" s="1" t="s">
        <v>141</v>
      </c>
      <c r="I111" s="1" t="s">
        <v>142</v>
      </c>
      <c r="N111" s="1" t="s">
        <v>376</v>
      </c>
    </row>
    <row r="112" customFormat="false" ht="12" hidden="false" customHeight="false" outlineLevel="0" collapsed="false">
      <c r="A112" s="1" t="n">
        <v>45</v>
      </c>
      <c r="B112" s="1" t="s">
        <v>147</v>
      </c>
      <c r="C112" s="1" t="s">
        <v>148</v>
      </c>
      <c r="D112" s="1" t="n">
        <v>1</v>
      </c>
      <c r="E112" s="1" t="n">
        <v>1</v>
      </c>
      <c r="F112" s="1" t="s">
        <v>8</v>
      </c>
      <c r="H112" s="1" t="s">
        <v>141</v>
      </c>
      <c r="I112" s="1" t="s">
        <v>142</v>
      </c>
      <c r="N112" s="1" t="s">
        <v>376</v>
      </c>
    </row>
    <row r="113" customFormat="false" ht="12" hidden="false" customHeight="false" outlineLevel="0" collapsed="false">
      <c r="A113" s="1" t="n">
        <v>45</v>
      </c>
      <c r="B113" s="1" t="s">
        <v>147</v>
      </c>
      <c r="C113" s="1" t="s">
        <v>148</v>
      </c>
      <c r="D113" s="1" t="n">
        <v>1</v>
      </c>
      <c r="E113" s="1" t="n">
        <v>3</v>
      </c>
      <c r="F113" s="1" t="s">
        <v>12</v>
      </c>
      <c r="H113" s="1" t="s">
        <v>141</v>
      </c>
      <c r="I113" s="1" t="s">
        <v>142</v>
      </c>
      <c r="N113" s="1" t="s">
        <v>376</v>
      </c>
    </row>
    <row r="114" customFormat="false" ht="12" hidden="false" customHeight="false" outlineLevel="0" collapsed="false">
      <c r="A114" s="1" t="n">
        <v>45</v>
      </c>
      <c r="B114" s="1" t="s">
        <v>147</v>
      </c>
      <c r="C114" s="1" t="s">
        <v>148</v>
      </c>
      <c r="D114" s="1" t="n">
        <v>1</v>
      </c>
      <c r="E114" s="1" t="n">
        <v>9</v>
      </c>
      <c r="F114" s="1" t="s">
        <v>28</v>
      </c>
      <c r="H114" s="1" t="s">
        <v>141</v>
      </c>
      <c r="I114" s="1" t="s">
        <v>142</v>
      </c>
      <c r="N114" s="1" t="s">
        <v>376</v>
      </c>
    </row>
    <row r="115" customFormat="false" ht="12" hidden="false" customHeight="false" outlineLevel="0" collapsed="false">
      <c r="A115" s="1" t="n">
        <v>46</v>
      </c>
      <c r="B115" s="1" t="s">
        <v>149</v>
      </c>
      <c r="C115" s="1" t="s">
        <v>150</v>
      </c>
      <c r="D115" s="1" t="n">
        <v>1</v>
      </c>
      <c r="E115" s="1" t="n">
        <v>1</v>
      </c>
      <c r="F115" s="1" t="s">
        <v>8</v>
      </c>
      <c r="H115" s="1" t="s">
        <v>141</v>
      </c>
      <c r="I115" s="1" t="s">
        <v>142</v>
      </c>
      <c r="N115" s="1" t="s">
        <v>376</v>
      </c>
    </row>
    <row r="116" customFormat="false" ht="12" hidden="false" customHeight="false" outlineLevel="0" collapsed="false">
      <c r="A116" s="1" t="n">
        <v>46</v>
      </c>
      <c r="B116" s="1" t="s">
        <v>149</v>
      </c>
      <c r="C116" s="1" t="s">
        <v>150</v>
      </c>
      <c r="D116" s="1" t="n">
        <v>1</v>
      </c>
      <c r="E116" s="1" t="n">
        <v>3</v>
      </c>
      <c r="F116" s="1" t="s">
        <v>12</v>
      </c>
      <c r="H116" s="1" t="s">
        <v>141</v>
      </c>
      <c r="I116" s="1" t="s">
        <v>142</v>
      </c>
      <c r="N116" s="1" t="s">
        <v>376</v>
      </c>
    </row>
    <row r="117" customFormat="false" ht="12" hidden="false" customHeight="false" outlineLevel="0" collapsed="false">
      <c r="A117" s="1" t="n">
        <v>46</v>
      </c>
      <c r="B117" s="1" t="s">
        <v>149</v>
      </c>
      <c r="C117" s="1" t="s">
        <v>150</v>
      </c>
      <c r="D117" s="1" t="n">
        <v>1</v>
      </c>
      <c r="E117" s="1" t="n">
        <v>9</v>
      </c>
      <c r="F117" s="1" t="s">
        <v>28</v>
      </c>
      <c r="H117" s="1" t="s">
        <v>141</v>
      </c>
      <c r="I117" s="1" t="s">
        <v>142</v>
      </c>
      <c r="N117" s="1" t="s">
        <v>376</v>
      </c>
    </row>
    <row r="118" customFormat="false" ht="12" hidden="false" customHeight="false" outlineLevel="0" collapsed="false">
      <c r="A118" s="1" t="n">
        <v>47</v>
      </c>
      <c r="B118" s="1" t="s">
        <v>151</v>
      </c>
      <c r="C118" s="1" t="s">
        <v>152</v>
      </c>
      <c r="D118" s="1" t="n">
        <v>1</v>
      </c>
      <c r="E118" s="1" t="n">
        <v>1</v>
      </c>
      <c r="F118" s="1" t="s">
        <v>8</v>
      </c>
      <c r="H118" s="1" t="s">
        <v>141</v>
      </c>
      <c r="I118" s="1" t="s">
        <v>142</v>
      </c>
      <c r="N118" s="1" t="s">
        <v>376</v>
      </c>
    </row>
    <row r="119" customFormat="false" ht="12" hidden="false" customHeight="false" outlineLevel="0" collapsed="false">
      <c r="A119" s="1" t="n">
        <v>47</v>
      </c>
      <c r="B119" s="1" t="s">
        <v>151</v>
      </c>
      <c r="C119" s="1" t="s">
        <v>152</v>
      </c>
      <c r="D119" s="1" t="n">
        <v>1</v>
      </c>
      <c r="E119" s="1" t="n">
        <v>3</v>
      </c>
      <c r="F119" s="1" t="s">
        <v>12</v>
      </c>
      <c r="H119" s="1" t="s">
        <v>141</v>
      </c>
      <c r="I119" s="1" t="s">
        <v>142</v>
      </c>
      <c r="N119" s="1" t="s">
        <v>376</v>
      </c>
    </row>
    <row r="120" customFormat="false" ht="12" hidden="false" customHeight="false" outlineLevel="0" collapsed="false">
      <c r="A120" s="1" t="n">
        <v>47</v>
      </c>
      <c r="B120" s="1" t="s">
        <v>151</v>
      </c>
      <c r="C120" s="1" t="s">
        <v>152</v>
      </c>
      <c r="D120" s="1" t="n">
        <v>1</v>
      </c>
      <c r="E120" s="1" t="n">
        <v>9</v>
      </c>
      <c r="F120" s="1" t="s">
        <v>28</v>
      </c>
      <c r="H120" s="1" t="s">
        <v>141</v>
      </c>
      <c r="I120" s="1" t="s">
        <v>142</v>
      </c>
      <c r="N120" s="1" t="s">
        <v>376</v>
      </c>
    </row>
    <row r="121" customFormat="false" ht="12" hidden="false" customHeight="false" outlineLevel="0" collapsed="false">
      <c r="A121" s="1" t="n">
        <v>48</v>
      </c>
      <c r="B121" s="1" t="s">
        <v>153</v>
      </c>
      <c r="C121" s="1" t="s">
        <v>154</v>
      </c>
      <c r="D121" s="1" t="n">
        <v>1</v>
      </c>
      <c r="E121" s="1" t="n">
        <v>1</v>
      </c>
      <c r="F121" s="1" t="s">
        <v>8</v>
      </c>
      <c r="H121" s="1" t="s">
        <v>155</v>
      </c>
      <c r="I121" s="1" t="s">
        <v>156</v>
      </c>
      <c r="N121" s="1" t="s">
        <v>376</v>
      </c>
    </row>
    <row r="122" customFormat="false" ht="12" hidden="false" customHeight="false" outlineLevel="0" collapsed="false">
      <c r="A122" s="1" t="n">
        <v>48</v>
      </c>
      <c r="B122" s="1" t="s">
        <v>153</v>
      </c>
      <c r="C122" s="1" t="s">
        <v>154</v>
      </c>
      <c r="D122" s="1" t="n">
        <v>1</v>
      </c>
      <c r="E122" s="1" t="n">
        <v>3</v>
      </c>
      <c r="F122" s="1" t="s">
        <v>12</v>
      </c>
      <c r="H122" s="1" t="s">
        <v>155</v>
      </c>
      <c r="I122" s="1" t="s">
        <v>156</v>
      </c>
      <c r="N122" s="1" t="s">
        <v>376</v>
      </c>
    </row>
    <row r="123" customFormat="false" ht="12" hidden="false" customHeight="false" outlineLevel="0" collapsed="false">
      <c r="A123" s="1" t="n">
        <v>48</v>
      </c>
      <c r="B123" s="1" t="s">
        <v>153</v>
      </c>
      <c r="C123" s="1" t="s">
        <v>154</v>
      </c>
      <c r="D123" s="1" t="n">
        <v>1</v>
      </c>
      <c r="E123" s="1" t="n">
        <v>9</v>
      </c>
      <c r="F123" s="1" t="s">
        <v>28</v>
      </c>
      <c r="H123" s="1" t="s">
        <v>155</v>
      </c>
      <c r="I123" s="1" t="s">
        <v>156</v>
      </c>
      <c r="N123" s="1" t="s">
        <v>376</v>
      </c>
    </row>
    <row r="124" customFormat="false" ht="12" hidden="false" customHeight="false" outlineLevel="0" collapsed="false">
      <c r="A124" s="1" t="n">
        <v>49</v>
      </c>
      <c r="B124" s="1" t="s">
        <v>157</v>
      </c>
      <c r="C124" s="1" t="s">
        <v>158</v>
      </c>
      <c r="D124" s="1" t="n">
        <v>1</v>
      </c>
      <c r="E124" s="1" t="n">
        <v>1</v>
      </c>
      <c r="F124" s="1" t="s">
        <v>8</v>
      </c>
      <c r="H124" s="1" t="s">
        <v>155</v>
      </c>
      <c r="I124" s="1" t="s">
        <v>156</v>
      </c>
      <c r="N124" s="1" t="s">
        <v>376</v>
      </c>
    </row>
    <row r="125" customFormat="false" ht="12" hidden="false" customHeight="false" outlineLevel="0" collapsed="false">
      <c r="A125" s="1" t="n">
        <v>49</v>
      </c>
      <c r="B125" s="1" t="s">
        <v>157</v>
      </c>
      <c r="C125" s="1" t="s">
        <v>158</v>
      </c>
      <c r="D125" s="1" t="n">
        <v>1</v>
      </c>
      <c r="E125" s="1" t="n">
        <v>3</v>
      </c>
      <c r="F125" s="1" t="s">
        <v>12</v>
      </c>
      <c r="H125" s="1" t="s">
        <v>155</v>
      </c>
      <c r="I125" s="1" t="s">
        <v>156</v>
      </c>
      <c r="N125" s="1" t="s">
        <v>376</v>
      </c>
    </row>
    <row r="126" customFormat="false" ht="12" hidden="false" customHeight="false" outlineLevel="0" collapsed="false">
      <c r="A126" s="1" t="n">
        <v>49</v>
      </c>
      <c r="B126" s="1" t="s">
        <v>157</v>
      </c>
      <c r="C126" s="1" t="s">
        <v>158</v>
      </c>
      <c r="D126" s="1" t="n">
        <v>1</v>
      </c>
      <c r="E126" s="1" t="n">
        <v>9</v>
      </c>
      <c r="F126" s="1" t="s">
        <v>28</v>
      </c>
      <c r="H126" s="1" t="s">
        <v>155</v>
      </c>
      <c r="I126" s="1" t="s">
        <v>156</v>
      </c>
      <c r="N126" s="1" t="s">
        <v>376</v>
      </c>
    </row>
    <row r="127" customFormat="false" ht="12" hidden="false" customHeight="false" outlineLevel="0" collapsed="false">
      <c r="A127" s="1" t="n">
        <v>50</v>
      </c>
      <c r="B127" s="1" t="s">
        <v>159</v>
      </c>
      <c r="C127" s="1" t="s">
        <v>160</v>
      </c>
      <c r="D127" s="1" t="n">
        <v>1</v>
      </c>
      <c r="E127" s="1" t="n">
        <v>1</v>
      </c>
      <c r="F127" s="1" t="s">
        <v>8</v>
      </c>
      <c r="H127" s="1" t="s">
        <v>155</v>
      </c>
      <c r="I127" s="1" t="s">
        <v>156</v>
      </c>
      <c r="N127" s="1" t="s">
        <v>376</v>
      </c>
    </row>
    <row r="128" customFormat="false" ht="12" hidden="false" customHeight="false" outlineLevel="0" collapsed="false">
      <c r="A128" s="1" t="n">
        <v>50</v>
      </c>
      <c r="B128" s="1" t="s">
        <v>159</v>
      </c>
      <c r="C128" s="1" t="s">
        <v>160</v>
      </c>
      <c r="D128" s="1" t="n">
        <v>1</v>
      </c>
      <c r="E128" s="1" t="n">
        <v>3</v>
      </c>
      <c r="F128" s="1" t="s">
        <v>12</v>
      </c>
      <c r="H128" s="1" t="s">
        <v>155</v>
      </c>
      <c r="I128" s="1" t="s">
        <v>156</v>
      </c>
      <c r="N128" s="1" t="s">
        <v>376</v>
      </c>
    </row>
    <row r="129" customFormat="false" ht="12" hidden="false" customHeight="false" outlineLevel="0" collapsed="false">
      <c r="A129" s="1" t="n">
        <v>50</v>
      </c>
      <c r="B129" s="1" t="s">
        <v>159</v>
      </c>
      <c r="C129" s="1" t="s">
        <v>160</v>
      </c>
      <c r="D129" s="1" t="n">
        <v>1</v>
      </c>
      <c r="E129" s="1" t="n">
        <v>9</v>
      </c>
      <c r="F129" s="1" t="s">
        <v>28</v>
      </c>
      <c r="H129" s="1" t="s">
        <v>155</v>
      </c>
      <c r="I129" s="1" t="s">
        <v>156</v>
      </c>
      <c r="N129" s="1" t="s">
        <v>376</v>
      </c>
    </row>
    <row r="130" customFormat="false" ht="12" hidden="false" customHeight="false" outlineLevel="0" collapsed="false">
      <c r="A130" s="1" t="n">
        <v>51</v>
      </c>
      <c r="B130" s="1" t="s">
        <v>161</v>
      </c>
      <c r="C130" s="1" t="s">
        <v>162</v>
      </c>
      <c r="D130" s="1" t="n">
        <v>1</v>
      </c>
      <c r="E130" s="1" t="n">
        <v>1</v>
      </c>
      <c r="F130" s="1" t="s">
        <v>8</v>
      </c>
      <c r="H130" s="1" t="s">
        <v>155</v>
      </c>
      <c r="I130" s="1" t="s">
        <v>156</v>
      </c>
      <c r="N130" s="1" t="s">
        <v>376</v>
      </c>
    </row>
    <row r="131" customFormat="false" ht="12" hidden="false" customHeight="false" outlineLevel="0" collapsed="false">
      <c r="A131" s="1" t="n">
        <v>51</v>
      </c>
      <c r="B131" s="1" t="s">
        <v>161</v>
      </c>
      <c r="C131" s="1" t="s">
        <v>162</v>
      </c>
      <c r="D131" s="1" t="n">
        <v>1</v>
      </c>
      <c r="E131" s="1" t="n">
        <v>3</v>
      </c>
      <c r="F131" s="1" t="s">
        <v>12</v>
      </c>
      <c r="H131" s="1" t="s">
        <v>155</v>
      </c>
      <c r="I131" s="1" t="s">
        <v>156</v>
      </c>
      <c r="N131" s="1" t="s">
        <v>376</v>
      </c>
    </row>
    <row r="132" customFormat="false" ht="12" hidden="false" customHeight="false" outlineLevel="0" collapsed="false">
      <c r="A132" s="1" t="n">
        <v>51</v>
      </c>
      <c r="B132" s="1" t="s">
        <v>161</v>
      </c>
      <c r="C132" s="1" t="s">
        <v>162</v>
      </c>
      <c r="D132" s="1" t="n">
        <v>1</v>
      </c>
      <c r="E132" s="1" t="n">
        <v>9</v>
      </c>
      <c r="F132" s="1" t="s">
        <v>28</v>
      </c>
      <c r="H132" s="1" t="s">
        <v>155</v>
      </c>
      <c r="I132" s="1" t="s">
        <v>156</v>
      </c>
      <c r="N132" s="1" t="s">
        <v>376</v>
      </c>
    </row>
    <row r="133" customFormat="false" ht="12" hidden="false" customHeight="false" outlineLevel="0" collapsed="false">
      <c r="A133" s="1" t="n">
        <v>52</v>
      </c>
      <c r="B133" s="1" t="s">
        <v>163</v>
      </c>
      <c r="C133" s="1" t="s">
        <v>164</v>
      </c>
      <c r="D133" s="1" t="n">
        <v>1</v>
      </c>
      <c r="E133" s="1" t="n">
        <v>1</v>
      </c>
      <c r="F133" s="1" t="s">
        <v>8</v>
      </c>
      <c r="H133" s="1" t="s">
        <v>155</v>
      </c>
      <c r="I133" s="1" t="s">
        <v>156</v>
      </c>
      <c r="N133" s="1" t="s">
        <v>376</v>
      </c>
    </row>
    <row r="134" customFormat="false" ht="12" hidden="false" customHeight="false" outlineLevel="0" collapsed="false">
      <c r="A134" s="1" t="n">
        <v>52</v>
      </c>
      <c r="B134" s="1" t="s">
        <v>163</v>
      </c>
      <c r="C134" s="1" t="s">
        <v>164</v>
      </c>
      <c r="D134" s="1" t="n">
        <v>1</v>
      </c>
      <c r="E134" s="1" t="n">
        <v>3</v>
      </c>
      <c r="F134" s="1" t="s">
        <v>12</v>
      </c>
      <c r="H134" s="1" t="s">
        <v>155</v>
      </c>
      <c r="I134" s="1" t="s">
        <v>156</v>
      </c>
      <c r="N134" s="1" t="s">
        <v>376</v>
      </c>
    </row>
    <row r="135" customFormat="false" ht="12" hidden="false" customHeight="false" outlineLevel="0" collapsed="false">
      <c r="A135" s="1" t="n">
        <v>52</v>
      </c>
      <c r="B135" s="1" t="s">
        <v>163</v>
      </c>
      <c r="C135" s="1" t="s">
        <v>164</v>
      </c>
      <c r="D135" s="1" t="n">
        <v>1</v>
      </c>
      <c r="E135" s="1" t="n">
        <v>9</v>
      </c>
      <c r="F135" s="1" t="s">
        <v>28</v>
      </c>
      <c r="H135" s="1" t="s">
        <v>155</v>
      </c>
      <c r="I135" s="1" t="s">
        <v>156</v>
      </c>
      <c r="N135" s="1" t="s">
        <v>376</v>
      </c>
    </row>
    <row r="136" customFormat="false" ht="12" hidden="false" customHeight="false" outlineLevel="0" collapsed="false">
      <c r="A136" s="1" t="n">
        <v>53</v>
      </c>
      <c r="B136" s="1" t="s">
        <v>165</v>
      </c>
      <c r="C136" s="1" t="s">
        <v>166</v>
      </c>
      <c r="D136" s="1" t="n">
        <v>1</v>
      </c>
      <c r="E136" s="1" t="n">
        <v>1</v>
      </c>
      <c r="F136" s="1" t="s">
        <v>8</v>
      </c>
      <c r="H136" s="1" t="s">
        <v>155</v>
      </c>
      <c r="I136" s="1" t="s">
        <v>156</v>
      </c>
      <c r="N136" s="1" t="s">
        <v>376</v>
      </c>
    </row>
    <row r="137" customFormat="false" ht="12" hidden="false" customHeight="false" outlineLevel="0" collapsed="false">
      <c r="A137" s="1" t="n">
        <v>53</v>
      </c>
      <c r="B137" s="1" t="s">
        <v>165</v>
      </c>
      <c r="C137" s="1" t="s">
        <v>166</v>
      </c>
      <c r="D137" s="1" t="n">
        <v>1</v>
      </c>
      <c r="E137" s="1" t="n">
        <v>3</v>
      </c>
      <c r="F137" s="1" t="s">
        <v>12</v>
      </c>
      <c r="H137" s="1" t="s">
        <v>155</v>
      </c>
      <c r="I137" s="1" t="s">
        <v>156</v>
      </c>
      <c r="N137" s="1" t="s">
        <v>376</v>
      </c>
    </row>
    <row r="138" customFormat="false" ht="12" hidden="false" customHeight="false" outlineLevel="0" collapsed="false">
      <c r="A138" s="1" t="n">
        <v>53</v>
      </c>
      <c r="B138" s="1" t="s">
        <v>165</v>
      </c>
      <c r="C138" s="1" t="s">
        <v>166</v>
      </c>
      <c r="D138" s="1" t="n">
        <v>1</v>
      </c>
      <c r="E138" s="1" t="n">
        <v>9</v>
      </c>
      <c r="F138" s="1" t="s">
        <v>28</v>
      </c>
      <c r="H138" s="1" t="s">
        <v>155</v>
      </c>
      <c r="I138" s="1" t="s">
        <v>156</v>
      </c>
      <c r="N138" s="1" t="s">
        <v>376</v>
      </c>
    </row>
    <row r="139" customFormat="false" ht="12" hidden="false" customHeight="false" outlineLevel="0" collapsed="false">
      <c r="A139" s="1" t="n">
        <v>54</v>
      </c>
      <c r="B139" s="1" t="s">
        <v>167</v>
      </c>
      <c r="C139" s="1" t="s">
        <v>168</v>
      </c>
      <c r="D139" s="1" t="n">
        <v>1</v>
      </c>
      <c r="E139" s="1" t="n">
        <v>1</v>
      </c>
      <c r="F139" s="1" t="s">
        <v>8</v>
      </c>
      <c r="H139" s="1" t="s">
        <v>169</v>
      </c>
      <c r="I139" s="1" t="s">
        <v>142</v>
      </c>
      <c r="N139" s="1" t="s">
        <v>376</v>
      </c>
    </row>
    <row r="140" customFormat="false" ht="12" hidden="false" customHeight="false" outlineLevel="0" collapsed="false">
      <c r="A140" s="1" t="n">
        <v>54</v>
      </c>
      <c r="B140" s="1" t="s">
        <v>167</v>
      </c>
      <c r="C140" s="1" t="s">
        <v>168</v>
      </c>
      <c r="D140" s="1" t="n">
        <v>1</v>
      </c>
      <c r="E140" s="1" t="n">
        <v>9</v>
      </c>
      <c r="F140" s="1" t="s">
        <v>28</v>
      </c>
      <c r="H140" s="1" t="s">
        <v>169</v>
      </c>
      <c r="I140" s="1" t="s">
        <v>142</v>
      </c>
      <c r="N140" s="1" t="s">
        <v>376</v>
      </c>
    </row>
    <row r="141" customFormat="false" ht="12" hidden="false" customHeight="false" outlineLevel="0" collapsed="false">
      <c r="A141" s="1" t="n">
        <v>55</v>
      </c>
      <c r="B141" s="1" t="s">
        <v>170</v>
      </c>
      <c r="C141" s="1" t="s">
        <v>171</v>
      </c>
      <c r="D141" s="1" t="n">
        <v>1</v>
      </c>
      <c r="E141" s="1" t="n">
        <v>1</v>
      </c>
      <c r="F141" s="1" t="s">
        <v>8</v>
      </c>
      <c r="H141" s="1" t="s">
        <v>169</v>
      </c>
      <c r="I141" s="1" t="s">
        <v>142</v>
      </c>
      <c r="N141" s="1" t="s">
        <v>376</v>
      </c>
    </row>
    <row r="142" customFormat="false" ht="12" hidden="false" customHeight="false" outlineLevel="0" collapsed="false">
      <c r="A142" s="1" t="n">
        <v>55</v>
      </c>
      <c r="B142" s="1" t="s">
        <v>170</v>
      </c>
      <c r="C142" s="1" t="s">
        <v>171</v>
      </c>
      <c r="D142" s="1" t="n">
        <v>1</v>
      </c>
      <c r="E142" s="1" t="n">
        <v>9</v>
      </c>
      <c r="F142" s="1" t="s">
        <v>28</v>
      </c>
      <c r="H142" s="1" t="s">
        <v>169</v>
      </c>
      <c r="I142" s="1" t="s">
        <v>142</v>
      </c>
      <c r="N142" s="1" t="s">
        <v>376</v>
      </c>
    </row>
    <row r="143" customFormat="false" ht="12" hidden="false" customHeight="false" outlineLevel="0" collapsed="false">
      <c r="A143" s="1" t="n">
        <v>56</v>
      </c>
      <c r="B143" s="1" t="s">
        <v>172</v>
      </c>
      <c r="C143" s="1" t="s">
        <v>173</v>
      </c>
      <c r="D143" s="1" t="n">
        <v>1</v>
      </c>
      <c r="E143" s="1" t="n">
        <v>1</v>
      </c>
      <c r="F143" s="1" t="s">
        <v>8</v>
      </c>
      <c r="H143" s="1" t="s">
        <v>169</v>
      </c>
      <c r="I143" s="1" t="s">
        <v>142</v>
      </c>
      <c r="N143" s="1" t="s">
        <v>376</v>
      </c>
    </row>
    <row r="144" customFormat="false" ht="12" hidden="false" customHeight="false" outlineLevel="0" collapsed="false">
      <c r="A144" s="1" t="n">
        <v>56</v>
      </c>
      <c r="B144" s="1" t="s">
        <v>172</v>
      </c>
      <c r="C144" s="1" t="s">
        <v>173</v>
      </c>
      <c r="D144" s="1" t="n">
        <v>1</v>
      </c>
      <c r="E144" s="1" t="n">
        <v>9</v>
      </c>
      <c r="F144" s="1" t="s">
        <v>28</v>
      </c>
      <c r="H144" s="1" t="s">
        <v>169</v>
      </c>
      <c r="I144" s="1" t="s">
        <v>142</v>
      </c>
      <c r="N144" s="1" t="s">
        <v>376</v>
      </c>
    </row>
    <row r="145" customFormat="false" ht="12" hidden="false" customHeight="false" outlineLevel="0" collapsed="false">
      <c r="A145" s="1" t="n">
        <v>57</v>
      </c>
      <c r="B145" s="1" t="n">
        <v>1002.001</v>
      </c>
      <c r="C145" s="1" t="s">
        <v>174</v>
      </c>
      <c r="D145" s="1" t="n">
        <v>1</v>
      </c>
      <c r="E145" s="1" t="n">
        <v>1</v>
      </c>
      <c r="F145" s="1" t="s">
        <v>8</v>
      </c>
      <c r="H145" s="1" t="s">
        <v>175</v>
      </c>
      <c r="I145" s="1" t="s">
        <v>175</v>
      </c>
      <c r="N145" s="1" t="s">
        <v>376</v>
      </c>
    </row>
    <row r="146" customFormat="false" ht="12" hidden="false" customHeight="false" outlineLevel="0" collapsed="false">
      <c r="A146" s="1" t="n">
        <v>57</v>
      </c>
      <c r="B146" s="1" t="n">
        <v>1002.001</v>
      </c>
      <c r="C146" s="1" t="s">
        <v>174</v>
      </c>
      <c r="D146" s="1" t="n">
        <v>1</v>
      </c>
      <c r="E146" s="1" t="n">
        <v>3</v>
      </c>
      <c r="F146" s="1" t="s">
        <v>12</v>
      </c>
      <c r="H146" s="1" t="s">
        <v>175</v>
      </c>
      <c r="I146" s="1" t="s">
        <v>175</v>
      </c>
      <c r="N146" s="1" t="s">
        <v>376</v>
      </c>
    </row>
    <row r="147" customFormat="false" ht="12" hidden="false" customHeight="false" outlineLevel="0" collapsed="false">
      <c r="A147" s="1" t="n">
        <v>57</v>
      </c>
      <c r="B147" s="1" t="n">
        <v>1002.001</v>
      </c>
      <c r="C147" s="1" t="s">
        <v>174</v>
      </c>
      <c r="D147" s="1" t="n">
        <v>1</v>
      </c>
      <c r="E147" s="1" t="n">
        <v>9</v>
      </c>
      <c r="F147" s="1" t="s">
        <v>28</v>
      </c>
      <c r="H147" s="1" t="s">
        <v>175</v>
      </c>
      <c r="I147" s="1" t="s">
        <v>175</v>
      </c>
      <c r="N147" s="1" t="s">
        <v>376</v>
      </c>
    </row>
    <row r="148" customFormat="false" ht="12" hidden="false" customHeight="false" outlineLevel="0" collapsed="false">
      <c r="A148" s="1" t="n">
        <v>58</v>
      </c>
      <c r="B148" s="1" t="n">
        <v>1002.002</v>
      </c>
      <c r="C148" s="1" t="s">
        <v>177</v>
      </c>
      <c r="D148" s="1" t="n">
        <v>1</v>
      </c>
      <c r="E148" s="1" t="n">
        <v>1</v>
      </c>
      <c r="F148" s="1" t="s">
        <v>8</v>
      </c>
      <c r="H148" s="1" t="s">
        <v>175</v>
      </c>
      <c r="I148" s="1" t="s">
        <v>175</v>
      </c>
      <c r="N148" s="1" t="s">
        <v>376</v>
      </c>
    </row>
    <row r="149" customFormat="false" ht="12" hidden="false" customHeight="false" outlineLevel="0" collapsed="false">
      <c r="A149" s="1" t="n">
        <v>58</v>
      </c>
      <c r="B149" s="1" t="n">
        <v>1002.002</v>
      </c>
      <c r="C149" s="1" t="s">
        <v>177</v>
      </c>
      <c r="D149" s="1" t="n">
        <v>1</v>
      </c>
      <c r="E149" s="1" t="n">
        <v>3</v>
      </c>
      <c r="F149" s="1" t="s">
        <v>12</v>
      </c>
      <c r="H149" s="1" t="s">
        <v>175</v>
      </c>
      <c r="I149" s="1" t="s">
        <v>175</v>
      </c>
      <c r="N149" s="1" t="s">
        <v>376</v>
      </c>
    </row>
    <row r="150" customFormat="false" ht="12" hidden="false" customHeight="false" outlineLevel="0" collapsed="false">
      <c r="A150" s="1" t="n">
        <v>58</v>
      </c>
      <c r="B150" s="1" t="n">
        <v>1002.002</v>
      </c>
      <c r="C150" s="1" t="s">
        <v>177</v>
      </c>
      <c r="D150" s="1" t="n">
        <v>1</v>
      </c>
      <c r="E150" s="1" t="n">
        <v>9</v>
      </c>
      <c r="F150" s="1" t="s">
        <v>28</v>
      </c>
      <c r="H150" s="1" t="s">
        <v>175</v>
      </c>
      <c r="I150" s="1" t="s">
        <v>175</v>
      </c>
      <c r="N150" s="1" t="s">
        <v>376</v>
      </c>
    </row>
    <row r="151" customFormat="false" ht="12" hidden="false" customHeight="false" outlineLevel="0" collapsed="false">
      <c r="A151" s="1" t="n">
        <v>59</v>
      </c>
      <c r="B151" s="1" t="n">
        <v>1002.003</v>
      </c>
      <c r="C151" s="1" t="s">
        <v>178</v>
      </c>
      <c r="D151" s="1" t="n">
        <v>1</v>
      </c>
      <c r="E151" s="1" t="n">
        <v>1</v>
      </c>
      <c r="F151" s="1" t="s">
        <v>8</v>
      </c>
      <c r="H151" s="1" t="s">
        <v>175</v>
      </c>
      <c r="I151" s="1" t="s">
        <v>175</v>
      </c>
      <c r="N151" s="1" t="s">
        <v>376</v>
      </c>
    </row>
    <row r="152" customFormat="false" ht="12" hidden="false" customHeight="false" outlineLevel="0" collapsed="false">
      <c r="A152" s="1" t="n">
        <v>59</v>
      </c>
      <c r="B152" s="1" t="n">
        <v>1002.003</v>
      </c>
      <c r="C152" s="1" t="s">
        <v>178</v>
      </c>
      <c r="D152" s="1" t="n">
        <v>1</v>
      </c>
      <c r="E152" s="1" t="n">
        <v>3</v>
      </c>
      <c r="F152" s="1" t="s">
        <v>12</v>
      </c>
      <c r="H152" s="1" t="s">
        <v>175</v>
      </c>
      <c r="I152" s="1" t="s">
        <v>175</v>
      </c>
      <c r="N152" s="1" t="s">
        <v>376</v>
      </c>
    </row>
    <row r="153" customFormat="false" ht="12" hidden="false" customHeight="false" outlineLevel="0" collapsed="false">
      <c r="A153" s="1" t="n">
        <v>59</v>
      </c>
      <c r="B153" s="1" t="n">
        <v>1002.003</v>
      </c>
      <c r="C153" s="1" t="s">
        <v>178</v>
      </c>
      <c r="D153" s="1" t="n">
        <v>1</v>
      </c>
      <c r="E153" s="1" t="n">
        <v>9</v>
      </c>
      <c r="F153" s="1" t="s">
        <v>28</v>
      </c>
      <c r="H153" s="1" t="s">
        <v>175</v>
      </c>
      <c r="I153" s="1" t="s">
        <v>175</v>
      </c>
      <c r="N153" s="1" t="s">
        <v>376</v>
      </c>
    </row>
    <row r="154" customFormat="false" ht="12" hidden="false" customHeight="false" outlineLevel="0" collapsed="false">
      <c r="A154" s="1" t="n">
        <v>60</v>
      </c>
      <c r="B154" s="1" t="n">
        <v>1002.004</v>
      </c>
      <c r="C154" s="1" t="s">
        <v>179</v>
      </c>
      <c r="D154" s="1" t="n">
        <v>1</v>
      </c>
      <c r="E154" s="1" t="n">
        <v>1</v>
      </c>
      <c r="F154" s="1" t="s">
        <v>8</v>
      </c>
      <c r="H154" s="1" t="s">
        <v>175</v>
      </c>
      <c r="I154" s="1" t="s">
        <v>175</v>
      </c>
      <c r="N154" s="1" t="s">
        <v>376</v>
      </c>
    </row>
    <row r="155" customFormat="false" ht="12" hidden="false" customHeight="false" outlineLevel="0" collapsed="false">
      <c r="A155" s="1" t="n">
        <v>60</v>
      </c>
      <c r="B155" s="1" t="n">
        <v>1002.004</v>
      </c>
      <c r="C155" s="1" t="s">
        <v>179</v>
      </c>
      <c r="D155" s="1" t="n">
        <v>1</v>
      </c>
      <c r="E155" s="1" t="n">
        <v>3</v>
      </c>
      <c r="F155" s="1" t="s">
        <v>12</v>
      </c>
      <c r="H155" s="1" t="s">
        <v>175</v>
      </c>
      <c r="I155" s="1" t="s">
        <v>175</v>
      </c>
      <c r="N155" s="1" t="s">
        <v>376</v>
      </c>
    </row>
    <row r="156" customFormat="false" ht="12" hidden="false" customHeight="false" outlineLevel="0" collapsed="false">
      <c r="A156" s="1" t="n">
        <v>60</v>
      </c>
      <c r="B156" s="1" t="n">
        <v>1002.004</v>
      </c>
      <c r="C156" s="1" t="s">
        <v>179</v>
      </c>
      <c r="D156" s="1" t="n">
        <v>1</v>
      </c>
      <c r="E156" s="1" t="n">
        <v>9</v>
      </c>
      <c r="F156" s="1" t="s">
        <v>28</v>
      </c>
      <c r="H156" s="1" t="s">
        <v>175</v>
      </c>
      <c r="I156" s="1" t="s">
        <v>175</v>
      </c>
      <c r="N156" s="1" t="s">
        <v>376</v>
      </c>
    </row>
    <row r="157" customFormat="false" ht="12" hidden="false" customHeight="false" outlineLevel="0" collapsed="false">
      <c r="A157" s="1" t="n">
        <v>61</v>
      </c>
      <c r="B157" s="1" t="n">
        <v>1002.021</v>
      </c>
      <c r="C157" s="1" t="s">
        <v>180</v>
      </c>
      <c r="D157" s="1" t="n">
        <v>1</v>
      </c>
      <c r="E157" s="1" t="n">
        <v>1</v>
      </c>
      <c r="F157" s="1" t="s">
        <v>8</v>
      </c>
      <c r="H157" s="1" t="s">
        <v>175</v>
      </c>
      <c r="I157" s="1" t="s">
        <v>175</v>
      </c>
      <c r="N157" s="1" t="s">
        <v>376</v>
      </c>
    </row>
    <row r="158" customFormat="false" ht="12" hidden="false" customHeight="false" outlineLevel="0" collapsed="false">
      <c r="A158" s="1" t="n">
        <v>61</v>
      </c>
      <c r="B158" s="1" t="n">
        <v>1002.021</v>
      </c>
      <c r="C158" s="1" t="s">
        <v>180</v>
      </c>
      <c r="D158" s="1" t="n">
        <v>1</v>
      </c>
      <c r="E158" s="1" t="n">
        <v>3</v>
      </c>
      <c r="F158" s="1" t="s">
        <v>12</v>
      </c>
      <c r="H158" s="1" t="s">
        <v>175</v>
      </c>
      <c r="I158" s="1" t="s">
        <v>175</v>
      </c>
      <c r="N158" s="1" t="s">
        <v>376</v>
      </c>
    </row>
    <row r="159" customFormat="false" ht="12" hidden="false" customHeight="false" outlineLevel="0" collapsed="false">
      <c r="A159" s="1" t="n">
        <v>61</v>
      </c>
      <c r="B159" s="1" t="n">
        <v>1002.021</v>
      </c>
      <c r="C159" s="1" t="s">
        <v>180</v>
      </c>
      <c r="D159" s="1" t="n">
        <v>1</v>
      </c>
      <c r="E159" s="1" t="n">
        <v>9</v>
      </c>
      <c r="F159" s="1" t="s">
        <v>28</v>
      </c>
      <c r="H159" s="1" t="s">
        <v>175</v>
      </c>
      <c r="I159" s="1" t="s">
        <v>175</v>
      </c>
      <c r="N159" s="1" t="s">
        <v>376</v>
      </c>
    </row>
    <row r="160" customFormat="false" ht="12" hidden="false" customHeight="false" outlineLevel="0" collapsed="false">
      <c r="A160" s="1" t="n">
        <v>62</v>
      </c>
      <c r="B160" s="1" t="n">
        <v>1002.005</v>
      </c>
      <c r="C160" s="1" t="s">
        <v>181</v>
      </c>
      <c r="D160" s="1" t="n">
        <v>1</v>
      </c>
      <c r="E160" s="1" t="n">
        <v>1</v>
      </c>
      <c r="F160" s="1" t="s">
        <v>8</v>
      </c>
      <c r="H160" s="1" t="s">
        <v>175</v>
      </c>
      <c r="I160" s="1" t="s">
        <v>175</v>
      </c>
      <c r="N160" s="1" t="s">
        <v>376</v>
      </c>
    </row>
    <row r="161" customFormat="false" ht="12" hidden="false" customHeight="false" outlineLevel="0" collapsed="false">
      <c r="A161" s="1" t="n">
        <v>62</v>
      </c>
      <c r="B161" s="1" t="n">
        <v>1002.005</v>
      </c>
      <c r="C161" s="1" t="s">
        <v>181</v>
      </c>
      <c r="D161" s="1" t="n">
        <v>1</v>
      </c>
      <c r="E161" s="1" t="n">
        <v>3</v>
      </c>
      <c r="F161" s="1" t="s">
        <v>12</v>
      </c>
      <c r="H161" s="1" t="s">
        <v>175</v>
      </c>
      <c r="I161" s="1" t="s">
        <v>175</v>
      </c>
      <c r="N161" s="1" t="s">
        <v>376</v>
      </c>
    </row>
    <row r="162" customFormat="false" ht="12" hidden="false" customHeight="false" outlineLevel="0" collapsed="false">
      <c r="A162" s="1" t="n">
        <v>62</v>
      </c>
      <c r="B162" s="1" t="n">
        <v>1002.005</v>
      </c>
      <c r="C162" s="1" t="s">
        <v>181</v>
      </c>
      <c r="D162" s="1" t="n">
        <v>1</v>
      </c>
      <c r="E162" s="1" t="n">
        <v>9</v>
      </c>
      <c r="F162" s="1" t="s">
        <v>28</v>
      </c>
      <c r="H162" s="1" t="s">
        <v>175</v>
      </c>
      <c r="I162" s="1" t="s">
        <v>175</v>
      </c>
      <c r="N162" s="1" t="s">
        <v>376</v>
      </c>
    </row>
    <row r="163" customFormat="false" ht="12" hidden="false" customHeight="false" outlineLevel="0" collapsed="false">
      <c r="A163" s="1" t="n">
        <v>63</v>
      </c>
      <c r="B163" s="1" t="n">
        <v>1002.006</v>
      </c>
      <c r="C163" s="1" t="s">
        <v>182</v>
      </c>
      <c r="D163" s="1" t="n">
        <v>1</v>
      </c>
      <c r="E163" s="1" t="n">
        <v>1</v>
      </c>
      <c r="F163" s="1" t="s">
        <v>8</v>
      </c>
      <c r="H163" s="1" t="s">
        <v>175</v>
      </c>
      <c r="I163" s="1" t="s">
        <v>175</v>
      </c>
      <c r="N163" s="1" t="s">
        <v>376</v>
      </c>
    </row>
    <row r="164" customFormat="false" ht="12" hidden="false" customHeight="false" outlineLevel="0" collapsed="false">
      <c r="A164" s="1" t="n">
        <v>63</v>
      </c>
      <c r="B164" s="1" t="n">
        <v>1002.006</v>
      </c>
      <c r="C164" s="1" t="s">
        <v>182</v>
      </c>
      <c r="D164" s="1" t="n">
        <v>1</v>
      </c>
      <c r="E164" s="1" t="n">
        <v>3</v>
      </c>
      <c r="F164" s="1" t="s">
        <v>12</v>
      </c>
      <c r="H164" s="1" t="s">
        <v>175</v>
      </c>
      <c r="I164" s="1" t="s">
        <v>175</v>
      </c>
      <c r="N164" s="1" t="s">
        <v>376</v>
      </c>
    </row>
    <row r="165" customFormat="false" ht="12" hidden="false" customHeight="false" outlineLevel="0" collapsed="false">
      <c r="A165" s="1" t="n">
        <v>63</v>
      </c>
      <c r="B165" s="1" t="n">
        <v>1002.006</v>
      </c>
      <c r="C165" s="1" t="s">
        <v>182</v>
      </c>
      <c r="D165" s="1" t="n">
        <v>1</v>
      </c>
      <c r="E165" s="1" t="n">
        <v>9</v>
      </c>
      <c r="F165" s="1" t="s">
        <v>28</v>
      </c>
      <c r="H165" s="1" t="s">
        <v>175</v>
      </c>
      <c r="I165" s="1" t="s">
        <v>175</v>
      </c>
      <c r="N165" s="1" t="s">
        <v>376</v>
      </c>
    </row>
    <row r="166" customFormat="false" ht="12" hidden="false" customHeight="false" outlineLevel="0" collapsed="false">
      <c r="A166" s="1" t="n">
        <v>64</v>
      </c>
      <c r="B166" s="1" t="n">
        <v>1002.008</v>
      </c>
      <c r="C166" s="1" t="s">
        <v>183</v>
      </c>
      <c r="D166" s="1" t="n">
        <v>1</v>
      </c>
      <c r="E166" s="1" t="n">
        <v>1</v>
      </c>
      <c r="F166" s="1" t="s">
        <v>8</v>
      </c>
      <c r="H166" s="1" t="s">
        <v>175</v>
      </c>
      <c r="I166" s="1" t="s">
        <v>175</v>
      </c>
      <c r="N166" s="1" t="s">
        <v>376</v>
      </c>
    </row>
    <row r="167" customFormat="false" ht="12" hidden="false" customHeight="false" outlineLevel="0" collapsed="false">
      <c r="A167" s="1" t="n">
        <v>64</v>
      </c>
      <c r="B167" s="1" t="n">
        <v>1002.008</v>
      </c>
      <c r="C167" s="1" t="s">
        <v>183</v>
      </c>
      <c r="D167" s="1" t="n">
        <v>1</v>
      </c>
      <c r="E167" s="1" t="n">
        <v>3</v>
      </c>
      <c r="F167" s="1" t="s">
        <v>12</v>
      </c>
      <c r="H167" s="1" t="s">
        <v>175</v>
      </c>
      <c r="I167" s="1" t="s">
        <v>175</v>
      </c>
      <c r="N167" s="1" t="s">
        <v>376</v>
      </c>
    </row>
    <row r="168" customFormat="false" ht="12" hidden="false" customHeight="false" outlineLevel="0" collapsed="false">
      <c r="A168" s="1" t="n">
        <v>64</v>
      </c>
      <c r="B168" s="1" t="n">
        <v>1002.008</v>
      </c>
      <c r="C168" s="1" t="s">
        <v>183</v>
      </c>
      <c r="D168" s="1" t="n">
        <v>1</v>
      </c>
      <c r="E168" s="1" t="n">
        <v>9</v>
      </c>
      <c r="F168" s="1" t="s">
        <v>28</v>
      </c>
      <c r="H168" s="1" t="s">
        <v>175</v>
      </c>
      <c r="I168" s="1" t="s">
        <v>175</v>
      </c>
      <c r="N168" s="1" t="s">
        <v>376</v>
      </c>
    </row>
    <row r="169" customFormat="false" ht="12" hidden="false" customHeight="false" outlineLevel="0" collapsed="false">
      <c r="A169" s="1" t="n">
        <v>65</v>
      </c>
      <c r="B169" s="1" t="n">
        <v>1002.007</v>
      </c>
      <c r="C169" s="1" t="s">
        <v>184</v>
      </c>
      <c r="D169" s="1" t="n">
        <v>1</v>
      </c>
      <c r="E169" s="1" t="n">
        <v>1</v>
      </c>
      <c r="F169" s="1" t="s">
        <v>8</v>
      </c>
      <c r="H169" s="1" t="s">
        <v>175</v>
      </c>
      <c r="I169" s="1" t="s">
        <v>175</v>
      </c>
      <c r="N169" s="1" t="s">
        <v>376</v>
      </c>
    </row>
    <row r="170" customFormat="false" ht="12" hidden="false" customHeight="false" outlineLevel="0" collapsed="false">
      <c r="A170" s="1" t="n">
        <v>65</v>
      </c>
      <c r="B170" s="1" t="n">
        <v>1002.007</v>
      </c>
      <c r="C170" s="1" t="s">
        <v>184</v>
      </c>
      <c r="D170" s="1" t="n">
        <v>1</v>
      </c>
      <c r="E170" s="1" t="n">
        <v>3</v>
      </c>
      <c r="F170" s="1" t="s">
        <v>12</v>
      </c>
      <c r="H170" s="1" t="s">
        <v>175</v>
      </c>
      <c r="I170" s="1" t="s">
        <v>175</v>
      </c>
      <c r="N170" s="1" t="s">
        <v>376</v>
      </c>
    </row>
    <row r="171" customFormat="false" ht="12" hidden="false" customHeight="false" outlineLevel="0" collapsed="false">
      <c r="A171" s="1" t="n">
        <v>65</v>
      </c>
      <c r="B171" s="1" t="n">
        <v>1002.007</v>
      </c>
      <c r="C171" s="1" t="s">
        <v>184</v>
      </c>
      <c r="D171" s="1" t="n">
        <v>1</v>
      </c>
      <c r="E171" s="1" t="n">
        <v>9</v>
      </c>
      <c r="F171" s="1" t="s">
        <v>28</v>
      </c>
      <c r="H171" s="1" t="s">
        <v>175</v>
      </c>
      <c r="I171" s="1" t="s">
        <v>175</v>
      </c>
      <c r="N171" s="1" t="s">
        <v>376</v>
      </c>
    </row>
    <row r="172" customFormat="false" ht="12" hidden="false" customHeight="false" outlineLevel="0" collapsed="false">
      <c r="A172" s="1" t="n">
        <v>66</v>
      </c>
      <c r="B172" s="1" t="s">
        <v>185</v>
      </c>
      <c r="C172" s="1" t="s">
        <v>186</v>
      </c>
      <c r="D172" s="1" t="n">
        <v>2</v>
      </c>
      <c r="E172" s="1" t="n">
        <v>1</v>
      </c>
      <c r="F172" s="1" t="s">
        <v>8</v>
      </c>
      <c r="H172" s="1" t="s">
        <v>187</v>
      </c>
      <c r="I172" s="1" t="s">
        <v>187</v>
      </c>
      <c r="N172" s="1" t="s">
        <v>376</v>
      </c>
    </row>
    <row r="173" customFormat="false" ht="12" hidden="false" customHeight="false" outlineLevel="0" collapsed="false">
      <c r="A173" s="1" t="n">
        <v>66</v>
      </c>
      <c r="B173" s="1" t="s">
        <v>185</v>
      </c>
      <c r="C173" s="1" t="s">
        <v>186</v>
      </c>
      <c r="D173" s="1" t="n">
        <v>2</v>
      </c>
      <c r="E173" s="1" t="n">
        <v>9</v>
      </c>
      <c r="F173" s="1" t="s">
        <v>28</v>
      </c>
      <c r="H173" s="1" t="s">
        <v>187</v>
      </c>
      <c r="I173" s="1" t="s">
        <v>187</v>
      </c>
      <c r="N173" s="1" t="s">
        <v>376</v>
      </c>
    </row>
    <row r="174" customFormat="false" ht="12" hidden="false" customHeight="false" outlineLevel="0" collapsed="false">
      <c r="A174" s="1" t="n">
        <v>67</v>
      </c>
      <c r="B174" s="1" t="s">
        <v>189</v>
      </c>
      <c r="C174" s="1" t="s">
        <v>190</v>
      </c>
      <c r="D174" s="1" t="n">
        <v>2</v>
      </c>
      <c r="E174" s="1" t="n">
        <v>1</v>
      </c>
      <c r="F174" s="1" t="s">
        <v>8</v>
      </c>
      <c r="H174" s="1" t="s">
        <v>191</v>
      </c>
      <c r="I174" s="1" t="s">
        <v>191</v>
      </c>
      <c r="N174" s="1" t="s">
        <v>376</v>
      </c>
    </row>
    <row r="175" customFormat="false" ht="12" hidden="false" customHeight="false" outlineLevel="0" collapsed="false">
      <c r="A175" s="1" t="n">
        <v>67</v>
      </c>
      <c r="B175" s="1" t="s">
        <v>189</v>
      </c>
      <c r="C175" s="1" t="s">
        <v>190</v>
      </c>
      <c r="D175" s="1" t="n">
        <v>2</v>
      </c>
      <c r="E175" s="1" t="n">
        <v>3</v>
      </c>
      <c r="F175" s="1" t="s">
        <v>12</v>
      </c>
      <c r="H175" s="1" t="s">
        <v>191</v>
      </c>
      <c r="I175" s="1" t="s">
        <v>191</v>
      </c>
      <c r="N175" s="1" t="s">
        <v>376</v>
      </c>
    </row>
    <row r="176" customFormat="false" ht="12" hidden="false" customHeight="false" outlineLevel="0" collapsed="false">
      <c r="A176" s="1" t="n">
        <v>68</v>
      </c>
      <c r="B176" s="1" t="s">
        <v>189</v>
      </c>
      <c r="C176" s="1" t="s">
        <v>190</v>
      </c>
      <c r="D176" s="1" t="n">
        <v>2</v>
      </c>
      <c r="E176" s="1" t="n">
        <v>9</v>
      </c>
      <c r="F176" s="1" t="s">
        <v>28</v>
      </c>
      <c r="H176" s="1" t="s">
        <v>191</v>
      </c>
      <c r="I176" s="1" t="s">
        <v>191</v>
      </c>
      <c r="N176" s="1" t="s">
        <v>376</v>
      </c>
    </row>
    <row r="177" customFormat="false" ht="12" hidden="false" customHeight="false" outlineLevel="0" collapsed="false">
      <c r="A177" s="1" t="n">
        <v>69</v>
      </c>
      <c r="B177" s="1" t="s">
        <v>192</v>
      </c>
      <c r="C177" s="1" t="s">
        <v>193</v>
      </c>
      <c r="D177" s="1" t="n">
        <v>2</v>
      </c>
      <c r="E177" s="1" t="n">
        <v>1</v>
      </c>
      <c r="F177" s="1" t="s">
        <v>8</v>
      </c>
      <c r="H177" s="1" t="s">
        <v>191</v>
      </c>
      <c r="I177" s="1" t="s">
        <v>191</v>
      </c>
      <c r="N177" s="1" t="s">
        <v>376</v>
      </c>
    </row>
    <row r="178" customFormat="false" ht="12" hidden="false" customHeight="false" outlineLevel="0" collapsed="false">
      <c r="A178" s="1" t="n">
        <v>69</v>
      </c>
      <c r="B178" s="1" t="s">
        <v>192</v>
      </c>
      <c r="C178" s="1" t="s">
        <v>193</v>
      </c>
      <c r="D178" s="1" t="n">
        <v>2</v>
      </c>
      <c r="E178" s="1" t="n">
        <v>3</v>
      </c>
      <c r="F178" s="1" t="s">
        <v>12</v>
      </c>
      <c r="H178" s="1" t="s">
        <v>191</v>
      </c>
      <c r="I178" s="1" t="s">
        <v>191</v>
      </c>
      <c r="N178" s="1" t="s">
        <v>376</v>
      </c>
    </row>
    <row r="179" customFormat="false" ht="12" hidden="false" customHeight="false" outlineLevel="0" collapsed="false">
      <c r="A179" s="1" t="n">
        <v>69</v>
      </c>
      <c r="B179" s="1" t="s">
        <v>192</v>
      </c>
      <c r="C179" s="1" t="s">
        <v>193</v>
      </c>
      <c r="D179" s="1" t="n">
        <v>2</v>
      </c>
      <c r="E179" s="1" t="n">
        <v>9</v>
      </c>
      <c r="F179" s="1" t="s">
        <v>28</v>
      </c>
      <c r="H179" s="1" t="s">
        <v>191</v>
      </c>
      <c r="I179" s="1" t="s">
        <v>191</v>
      </c>
      <c r="N179" s="1" t="s">
        <v>376</v>
      </c>
    </row>
    <row r="180" customFormat="false" ht="12" hidden="false" customHeight="false" outlineLevel="0" collapsed="false">
      <c r="A180" s="1" t="n">
        <v>70</v>
      </c>
      <c r="B180" s="1" t="s">
        <v>194</v>
      </c>
      <c r="C180" s="1" t="s">
        <v>195</v>
      </c>
      <c r="D180" s="1" t="n">
        <v>2</v>
      </c>
      <c r="E180" s="1" t="n">
        <v>1</v>
      </c>
      <c r="F180" s="1" t="s">
        <v>8</v>
      </c>
      <c r="H180" s="1" t="s">
        <v>191</v>
      </c>
      <c r="I180" s="1" t="s">
        <v>191</v>
      </c>
      <c r="N180" s="1" t="s">
        <v>376</v>
      </c>
    </row>
    <row r="181" customFormat="false" ht="12" hidden="false" customHeight="false" outlineLevel="0" collapsed="false">
      <c r="A181" s="1" t="n">
        <v>70</v>
      </c>
      <c r="B181" s="1" t="s">
        <v>194</v>
      </c>
      <c r="C181" s="1" t="s">
        <v>195</v>
      </c>
      <c r="D181" s="1" t="n">
        <v>2</v>
      </c>
      <c r="E181" s="1" t="n">
        <v>3</v>
      </c>
      <c r="F181" s="1" t="s">
        <v>12</v>
      </c>
      <c r="H181" s="1" t="s">
        <v>191</v>
      </c>
      <c r="I181" s="1" t="s">
        <v>191</v>
      </c>
      <c r="N181" s="1" t="s">
        <v>376</v>
      </c>
    </row>
    <row r="182" customFormat="false" ht="12" hidden="false" customHeight="false" outlineLevel="0" collapsed="false">
      <c r="A182" s="1" t="n">
        <v>70</v>
      </c>
      <c r="B182" s="1" t="s">
        <v>196</v>
      </c>
      <c r="C182" s="1" t="s">
        <v>197</v>
      </c>
      <c r="D182" s="1" t="n">
        <v>2</v>
      </c>
      <c r="E182" s="1" t="n">
        <v>1</v>
      </c>
      <c r="F182" s="1" t="s">
        <v>8</v>
      </c>
      <c r="H182" s="1" t="s">
        <v>191</v>
      </c>
      <c r="I182" s="1" t="s">
        <v>191</v>
      </c>
      <c r="N182" s="1" t="s">
        <v>376</v>
      </c>
    </row>
    <row r="183" customFormat="false" ht="12" hidden="false" customHeight="false" outlineLevel="0" collapsed="false">
      <c r="A183" s="1" t="n">
        <v>70</v>
      </c>
      <c r="B183" s="1" t="s">
        <v>196</v>
      </c>
      <c r="C183" s="1" t="s">
        <v>197</v>
      </c>
      <c r="D183" s="1" t="n">
        <v>2</v>
      </c>
      <c r="E183" s="1" t="n">
        <v>3</v>
      </c>
      <c r="F183" s="1" t="s">
        <v>12</v>
      </c>
      <c r="H183" s="1" t="s">
        <v>191</v>
      </c>
      <c r="I183" s="1" t="s">
        <v>191</v>
      </c>
      <c r="N183" s="1" t="s">
        <v>376</v>
      </c>
    </row>
    <row r="184" customFormat="false" ht="12" hidden="false" customHeight="false" outlineLevel="0" collapsed="false">
      <c r="A184" s="1" t="n">
        <v>71</v>
      </c>
      <c r="B184" s="1" t="s">
        <v>198</v>
      </c>
      <c r="C184" s="1" t="s">
        <v>199</v>
      </c>
      <c r="D184" s="1" t="n">
        <v>2</v>
      </c>
      <c r="E184" s="1" t="n">
        <v>1</v>
      </c>
      <c r="F184" s="1" t="s">
        <v>8</v>
      </c>
      <c r="H184" s="1" t="s">
        <v>191</v>
      </c>
      <c r="I184" s="1" t="s">
        <v>191</v>
      </c>
      <c r="N184" s="1" t="s">
        <v>376</v>
      </c>
    </row>
    <row r="185" customFormat="false" ht="12" hidden="false" customHeight="false" outlineLevel="0" collapsed="false">
      <c r="A185" s="1" t="n">
        <v>71</v>
      </c>
      <c r="B185" s="1" t="s">
        <v>198</v>
      </c>
      <c r="C185" s="1" t="s">
        <v>199</v>
      </c>
      <c r="D185" s="1" t="n">
        <v>2</v>
      </c>
      <c r="E185" s="1" t="n">
        <v>3</v>
      </c>
      <c r="F185" s="1" t="s">
        <v>12</v>
      </c>
      <c r="H185" s="1" t="s">
        <v>191</v>
      </c>
      <c r="I185" s="1" t="s">
        <v>191</v>
      </c>
      <c r="N185" s="1" t="s">
        <v>376</v>
      </c>
    </row>
    <row r="186" customFormat="false" ht="12" hidden="false" customHeight="false" outlineLevel="0" collapsed="false">
      <c r="A186" s="1" t="n">
        <v>71</v>
      </c>
      <c r="B186" s="1" t="s">
        <v>198</v>
      </c>
      <c r="C186" s="1" t="s">
        <v>199</v>
      </c>
      <c r="D186" s="1" t="n">
        <v>2</v>
      </c>
      <c r="E186" s="1" t="n">
        <v>9</v>
      </c>
      <c r="F186" s="1" t="s">
        <v>28</v>
      </c>
      <c r="H186" s="1" t="s">
        <v>191</v>
      </c>
      <c r="I186" s="1" t="s">
        <v>191</v>
      </c>
      <c r="N186" s="1" t="s">
        <v>376</v>
      </c>
    </row>
    <row r="187" customFormat="false" ht="12" hidden="false" customHeight="false" outlineLevel="0" collapsed="false">
      <c r="A187" s="1" t="n">
        <v>72</v>
      </c>
      <c r="B187" s="1" t="s">
        <v>200</v>
      </c>
      <c r="C187" s="1" t="s">
        <v>201</v>
      </c>
      <c r="D187" s="1" t="n">
        <v>2</v>
      </c>
      <c r="E187" s="1" t="n">
        <v>1</v>
      </c>
      <c r="F187" s="1" t="s">
        <v>8</v>
      </c>
      <c r="H187" s="1" t="s">
        <v>191</v>
      </c>
      <c r="I187" s="1" t="s">
        <v>191</v>
      </c>
      <c r="N187" s="1" t="s">
        <v>376</v>
      </c>
    </row>
    <row r="188" customFormat="false" ht="12" hidden="false" customHeight="false" outlineLevel="0" collapsed="false">
      <c r="A188" s="1" t="n">
        <v>72</v>
      </c>
      <c r="B188" s="1" t="s">
        <v>200</v>
      </c>
      <c r="C188" s="1" t="s">
        <v>201</v>
      </c>
      <c r="D188" s="1" t="n">
        <v>2</v>
      </c>
      <c r="E188" s="1" t="n">
        <v>3</v>
      </c>
      <c r="F188" s="1" t="s">
        <v>12</v>
      </c>
      <c r="H188" s="1" t="s">
        <v>191</v>
      </c>
      <c r="I188" s="1" t="s">
        <v>191</v>
      </c>
      <c r="N188" s="1" t="s">
        <v>376</v>
      </c>
    </row>
    <row r="189" customFormat="false" ht="12" hidden="false" customHeight="false" outlineLevel="0" collapsed="false">
      <c r="A189" s="1" t="n">
        <v>72</v>
      </c>
      <c r="B189" s="1" t="s">
        <v>200</v>
      </c>
      <c r="C189" s="1" t="s">
        <v>201</v>
      </c>
      <c r="D189" s="1" t="n">
        <v>2</v>
      </c>
      <c r="E189" s="1" t="n">
        <v>9</v>
      </c>
      <c r="F189" s="1" t="s">
        <v>28</v>
      </c>
      <c r="H189" s="1" t="s">
        <v>191</v>
      </c>
      <c r="I189" s="1" t="s">
        <v>191</v>
      </c>
      <c r="N189" s="1" t="s">
        <v>376</v>
      </c>
    </row>
    <row r="190" customFormat="false" ht="12" hidden="false" customHeight="false" outlineLevel="0" collapsed="false">
      <c r="A190" s="1" t="n">
        <v>73</v>
      </c>
      <c r="B190" s="1" t="s">
        <v>202</v>
      </c>
      <c r="C190" s="1" t="s">
        <v>203</v>
      </c>
      <c r="D190" s="1" t="n">
        <v>2</v>
      </c>
      <c r="E190" s="1" t="n">
        <v>1</v>
      </c>
      <c r="F190" s="1" t="s">
        <v>8</v>
      </c>
      <c r="H190" s="1" t="s">
        <v>191</v>
      </c>
      <c r="I190" s="1" t="s">
        <v>191</v>
      </c>
      <c r="N190" s="1" t="s">
        <v>376</v>
      </c>
    </row>
    <row r="191" customFormat="false" ht="12" hidden="false" customHeight="false" outlineLevel="0" collapsed="false">
      <c r="A191" s="1" t="n">
        <v>73</v>
      </c>
      <c r="B191" s="1" t="s">
        <v>202</v>
      </c>
      <c r="C191" s="1" t="s">
        <v>203</v>
      </c>
      <c r="D191" s="1" t="n">
        <v>2</v>
      </c>
      <c r="E191" s="1" t="n">
        <v>3</v>
      </c>
      <c r="F191" s="1" t="s">
        <v>12</v>
      </c>
      <c r="H191" s="1" t="s">
        <v>191</v>
      </c>
      <c r="I191" s="1" t="s">
        <v>191</v>
      </c>
      <c r="N191" s="1" t="s">
        <v>376</v>
      </c>
    </row>
    <row r="192" customFormat="false" ht="12" hidden="false" customHeight="false" outlineLevel="0" collapsed="false">
      <c r="A192" s="1" t="n">
        <v>73</v>
      </c>
      <c r="B192" s="1" t="s">
        <v>202</v>
      </c>
      <c r="C192" s="1" t="s">
        <v>203</v>
      </c>
      <c r="D192" s="1" t="n">
        <v>2</v>
      </c>
      <c r="E192" s="1" t="n">
        <v>9</v>
      </c>
      <c r="F192" s="1" t="s">
        <v>28</v>
      </c>
      <c r="H192" s="1" t="s">
        <v>191</v>
      </c>
      <c r="I192" s="1" t="s">
        <v>191</v>
      </c>
      <c r="N192" s="1" t="s">
        <v>376</v>
      </c>
    </row>
    <row r="193" customFormat="false" ht="12" hidden="false" customHeight="false" outlineLevel="0" collapsed="false">
      <c r="A193" s="1" t="n">
        <v>74</v>
      </c>
      <c r="B193" s="1" t="s">
        <v>204</v>
      </c>
      <c r="C193" s="1" t="s">
        <v>205</v>
      </c>
      <c r="D193" s="1" t="n">
        <v>2</v>
      </c>
      <c r="E193" s="1" t="n">
        <v>1</v>
      </c>
      <c r="F193" s="1" t="s">
        <v>8</v>
      </c>
      <c r="H193" s="1" t="s">
        <v>191</v>
      </c>
      <c r="I193" s="1" t="s">
        <v>191</v>
      </c>
      <c r="N193" s="1" t="s">
        <v>376</v>
      </c>
    </row>
    <row r="194" customFormat="false" ht="12" hidden="false" customHeight="false" outlineLevel="0" collapsed="false">
      <c r="A194" s="1" t="n">
        <v>74</v>
      </c>
      <c r="B194" s="1" t="s">
        <v>204</v>
      </c>
      <c r="C194" s="1" t="s">
        <v>205</v>
      </c>
      <c r="D194" s="1" t="n">
        <v>2</v>
      </c>
      <c r="E194" s="1" t="n">
        <v>3</v>
      </c>
      <c r="F194" s="1" t="s">
        <v>12</v>
      </c>
      <c r="H194" s="1" t="s">
        <v>191</v>
      </c>
      <c r="I194" s="1" t="s">
        <v>191</v>
      </c>
      <c r="N194" s="1" t="s">
        <v>376</v>
      </c>
    </row>
    <row r="195" customFormat="false" ht="12" hidden="false" customHeight="false" outlineLevel="0" collapsed="false">
      <c r="A195" s="1" t="n">
        <v>74</v>
      </c>
      <c r="B195" s="1" t="s">
        <v>204</v>
      </c>
      <c r="C195" s="1" t="s">
        <v>205</v>
      </c>
      <c r="D195" s="1" t="n">
        <v>2</v>
      </c>
      <c r="E195" s="1" t="n">
        <v>9</v>
      </c>
      <c r="F195" s="1" t="s">
        <v>28</v>
      </c>
      <c r="H195" s="1" t="s">
        <v>191</v>
      </c>
      <c r="I195" s="1" t="s">
        <v>191</v>
      </c>
      <c r="N195" s="1" t="s">
        <v>376</v>
      </c>
    </row>
    <row r="196" customFormat="false" ht="12" hidden="false" customHeight="false" outlineLevel="0" collapsed="false">
      <c r="A196" s="1" t="n">
        <v>75</v>
      </c>
      <c r="B196" s="1" t="s">
        <v>206</v>
      </c>
      <c r="C196" s="1" t="s">
        <v>207</v>
      </c>
      <c r="D196" s="1" t="n">
        <v>2</v>
      </c>
      <c r="E196" s="1" t="n">
        <v>1</v>
      </c>
      <c r="F196" s="1" t="s">
        <v>8</v>
      </c>
      <c r="H196" s="1" t="s">
        <v>191</v>
      </c>
      <c r="I196" s="1" t="s">
        <v>191</v>
      </c>
      <c r="N196" s="1" t="s">
        <v>376</v>
      </c>
    </row>
    <row r="197" customFormat="false" ht="12" hidden="false" customHeight="false" outlineLevel="0" collapsed="false">
      <c r="A197" s="1" t="n">
        <v>75</v>
      </c>
      <c r="B197" s="1" t="s">
        <v>206</v>
      </c>
      <c r="C197" s="1" t="s">
        <v>207</v>
      </c>
      <c r="D197" s="1" t="n">
        <v>2</v>
      </c>
      <c r="E197" s="1" t="n">
        <v>3</v>
      </c>
      <c r="F197" s="1" t="s">
        <v>12</v>
      </c>
      <c r="H197" s="1" t="s">
        <v>191</v>
      </c>
      <c r="I197" s="1" t="s">
        <v>191</v>
      </c>
      <c r="N197" s="1" t="s">
        <v>376</v>
      </c>
    </row>
    <row r="198" customFormat="false" ht="12" hidden="false" customHeight="false" outlineLevel="0" collapsed="false">
      <c r="A198" s="1" t="n">
        <v>75</v>
      </c>
      <c r="B198" s="1" t="s">
        <v>206</v>
      </c>
      <c r="C198" s="1" t="s">
        <v>207</v>
      </c>
      <c r="D198" s="1" t="n">
        <v>2</v>
      </c>
      <c r="E198" s="1" t="n">
        <v>9</v>
      </c>
      <c r="F198" s="1" t="s">
        <v>28</v>
      </c>
      <c r="H198" s="1" t="s">
        <v>191</v>
      </c>
      <c r="I198" s="1" t="s">
        <v>191</v>
      </c>
      <c r="N198" s="1" t="s">
        <v>376</v>
      </c>
    </row>
    <row r="199" customFormat="false" ht="12" hidden="false" customHeight="false" outlineLevel="0" collapsed="false">
      <c r="A199" s="1" t="n">
        <v>76</v>
      </c>
      <c r="B199" s="1" t="s">
        <v>208</v>
      </c>
      <c r="C199" s="1" t="s">
        <v>209</v>
      </c>
      <c r="D199" s="1" t="n">
        <v>2</v>
      </c>
      <c r="E199" s="1" t="n">
        <v>1</v>
      </c>
      <c r="F199" s="1" t="s">
        <v>8</v>
      </c>
      <c r="H199" s="1" t="s">
        <v>191</v>
      </c>
      <c r="I199" s="1" t="s">
        <v>191</v>
      </c>
      <c r="N199" s="1" t="s">
        <v>376</v>
      </c>
    </row>
    <row r="200" customFormat="false" ht="12" hidden="false" customHeight="false" outlineLevel="0" collapsed="false">
      <c r="A200" s="1" t="n">
        <v>76</v>
      </c>
      <c r="B200" s="1" t="s">
        <v>208</v>
      </c>
      <c r="C200" s="1" t="s">
        <v>209</v>
      </c>
      <c r="D200" s="1" t="n">
        <v>2</v>
      </c>
      <c r="E200" s="1" t="n">
        <v>3</v>
      </c>
      <c r="F200" s="1" t="s">
        <v>12</v>
      </c>
      <c r="H200" s="1" t="s">
        <v>191</v>
      </c>
      <c r="I200" s="1" t="s">
        <v>191</v>
      </c>
      <c r="N200" s="1" t="s">
        <v>376</v>
      </c>
    </row>
    <row r="201" customFormat="false" ht="12" hidden="false" customHeight="false" outlineLevel="0" collapsed="false">
      <c r="A201" s="1" t="n">
        <v>76</v>
      </c>
      <c r="B201" s="1" t="s">
        <v>208</v>
      </c>
      <c r="C201" s="1" t="s">
        <v>209</v>
      </c>
      <c r="D201" s="1" t="n">
        <v>2</v>
      </c>
      <c r="E201" s="1" t="n">
        <v>9</v>
      </c>
      <c r="F201" s="1" t="s">
        <v>28</v>
      </c>
      <c r="H201" s="1" t="s">
        <v>191</v>
      </c>
      <c r="I201" s="1" t="s">
        <v>191</v>
      </c>
      <c r="N201" s="1" t="s">
        <v>376</v>
      </c>
    </row>
    <row r="202" customFormat="false" ht="12" hidden="false" customHeight="false" outlineLevel="0" collapsed="false">
      <c r="A202" s="1" t="n">
        <v>77</v>
      </c>
      <c r="B202" s="1" t="n">
        <v>130105006</v>
      </c>
      <c r="C202" s="1" t="s">
        <v>210</v>
      </c>
      <c r="D202" s="1" t="n">
        <v>3</v>
      </c>
      <c r="E202" s="1" t="n">
        <v>1</v>
      </c>
      <c r="F202" s="1" t="s">
        <v>8</v>
      </c>
      <c r="H202" s="1" t="s">
        <v>211</v>
      </c>
      <c r="I202" s="1" t="s">
        <v>211</v>
      </c>
      <c r="N202" s="1" t="s">
        <v>377</v>
      </c>
    </row>
    <row r="203" customFormat="false" ht="12" hidden="false" customHeight="false" outlineLevel="0" collapsed="false">
      <c r="A203" s="1" t="n">
        <v>77</v>
      </c>
      <c r="B203" s="1" t="n">
        <v>130105006</v>
      </c>
      <c r="C203" s="1" t="s">
        <v>210</v>
      </c>
      <c r="D203" s="1" t="n">
        <v>3</v>
      </c>
      <c r="E203" s="1" t="n">
        <v>3</v>
      </c>
      <c r="F203" s="1" t="s">
        <v>12</v>
      </c>
      <c r="H203" s="1" t="s">
        <v>211</v>
      </c>
      <c r="I203" s="1" t="s">
        <v>211</v>
      </c>
      <c r="N203" s="1" t="s">
        <v>377</v>
      </c>
    </row>
    <row r="204" customFormat="false" ht="12" hidden="false" customHeight="false" outlineLevel="0" collapsed="false">
      <c r="A204" s="1" t="n">
        <v>77</v>
      </c>
      <c r="B204" s="1" t="n">
        <v>130105006</v>
      </c>
      <c r="C204" s="1" t="s">
        <v>210</v>
      </c>
      <c r="D204" s="1" t="n">
        <v>3</v>
      </c>
      <c r="E204" s="1" t="n">
        <v>9</v>
      </c>
      <c r="F204" s="1" t="s">
        <v>28</v>
      </c>
      <c r="H204" s="1" t="s">
        <v>211</v>
      </c>
      <c r="I204" s="1" t="s">
        <v>211</v>
      </c>
      <c r="N204" s="1" t="s">
        <v>377</v>
      </c>
    </row>
    <row r="205" customFormat="false" ht="12" hidden="false" customHeight="false" outlineLevel="0" collapsed="false">
      <c r="A205" s="1" t="n">
        <v>78</v>
      </c>
      <c r="B205" s="1" t="n">
        <v>130105002</v>
      </c>
      <c r="C205" s="1" t="s">
        <v>214</v>
      </c>
      <c r="D205" s="1" t="n">
        <v>3</v>
      </c>
      <c r="E205" s="1" t="n">
        <v>1</v>
      </c>
      <c r="F205" s="1" t="s">
        <v>8</v>
      </c>
      <c r="H205" s="1" t="s">
        <v>211</v>
      </c>
      <c r="I205" s="1" t="s">
        <v>211</v>
      </c>
      <c r="N205" s="1" t="s">
        <v>377</v>
      </c>
    </row>
    <row r="206" customFormat="false" ht="12" hidden="false" customHeight="false" outlineLevel="0" collapsed="false">
      <c r="A206" s="1" t="n">
        <v>78</v>
      </c>
      <c r="B206" s="1" t="n">
        <v>130105002</v>
      </c>
      <c r="C206" s="1" t="s">
        <v>214</v>
      </c>
      <c r="D206" s="1" t="n">
        <v>3</v>
      </c>
      <c r="E206" s="1" t="n">
        <v>3</v>
      </c>
      <c r="F206" s="1" t="s">
        <v>12</v>
      </c>
      <c r="H206" s="1" t="s">
        <v>211</v>
      </c>
      <c r="I206" s="1" t="s">
        <v>211</v>
      </c>
      <c r="N206" s="1" t="s">
        <v>377</v>
      </c>
    </row>
    <row r="207" customFormat="false" ht="12" hidden="false" customHeight="false" outlineLevel="0" collapsed="false">
      <c r="A207" s="1" t="n">
        <v>78</v>
      </c>
      <c r="B207" s="1" t="n">
        <v>130105002</v>
      </c>
      <c r="C207" s="1" t="s">
        <v>214</v>
      </c>
      <c r="D207" s="1" t="n">
        <v>3</v>
      </c>
      <c r="E207" s="1" t="n">
        <v>9</v>
      </c>
      <c r="F207" s="1" t="s">
        <v>28</v>
      </c>
      <c r="H207" s="1" t="s">
        <v>211</v>
      </c>
      <c r="I207" s="1" t="s">
        <v>211</v>
      </c>
      <c r="N207" s="1" t="s">
        <v>377</v>
      </c>
    </row>
    <row r="208" customFormat="false" ht="12" hidden="false" customHeight="false" outlineLevel="0" collapsed="false">
      <c r="A208" s="1" t="n">
        <v>79</v>
      </c>
      <c r="B208" s="1" t="n">
        <v>130105005</v>
      </c>
      <c r="C208" s="1" t="s">
        <v>215</v>
      </c>
      <c r="D208" s="1" t="n">
        <v>3</v>
      </c>
      <c r="E208" s="1" t="n">
        <v>1</v>
      </c>
      <c r="F208" s="1" t="s">
        <v>8</v>
      </c>
      <c r="H208" s="1" t="s">
        <v>211</v>
      </c>
      <c r="I208" s="1" t="s">
        <v>211</v>
      </c>
      <c r="N208" s="1" t="s">
        <v>377</v>
      </c>
    </row>
    <row r="209" customFormat="false" ht="12" hidden="false" customHeight="false" outlineLevel="0" collapsed="false">
      <c r="A209" s="1" t="n">
        <v>79</v>
      </c>
      <c r="B209" s="1" t="n">
        <v>130105005</v>
      </c>
      <c r="C209" s="1" t="s">
        <v>215</v>
      </c>
      <c r="D209" s="1" t="n">
        <v>3</v>
      </c>
      <c r="E209" s="1" t="n">
        <v>3</v>
      </c>
      <c r="F209" s="1" t="s">
        <v>12</v>
      </c>
      <c r="H209" s="1" t="s">
        <v>211</v>
      </c>
      <c r="I209" s="1" t="s">
        <v>211</v>
      </c>
      <c r="N209" s="1" t="s">
        <v>377</v>
      </c>
    </row>
    <row r="210" customFormat="false" ht="12" hidden="false" customHeight="false" outlineLevel="0" collapsed="false">
      <c r="A210" s="1" t="n">
        <v>79</v>
      </c>
      <c r="B210" s="1" t="n">
        <v>130105005</v>
      </c>
      <c r="C210" s="1" t="s">
        <v>215</v>
      </c>
      <c r="D210" s="1" t="n">
        <v>3</v>
      </c>
      <c r="E210" s="1" t="n">
        <v>9</v>
      </c>
      <c r="F210" s="1" t="s">
        <v>28</v>
      </c>
      <c r="H210" s="1" t="s">
        <v>211</v>
      </c>
      <c r="I210" s="1" t="s">
        <v>211</v>
      </c>
      <c r="N210" s="1" t="s">
        <v>377</v>
      </c>
    </row>
    <row r="211" customFormat="false" ht="12" hidden="false" customHeight="false" outlineLevel="0" collapsed="false">
      <c r="A211" s="1" t="n">
        <v>80</v>
      </c>
      <c r="B211" s="1" t="n">
        <v>130105001</v>
      </c>
      <c r="C211" s="1" t="s">
        <v>216</v>
      </c>
      <c r="D211" s="1" t="n">
        <v>3</v>
      </c>
      <c r="E211" s="1" t="n">
        <v>1</v>
      </c>
      <c r="F211" s="1" t="s">
        <v>8</v>
      </c>
      <c r="H211" s="1" t="s">
        <v>211</v>
      </c>
      <c r="I211" s="1" t="s">
        <v>211</v>
      </c>
      <c r="N211" s="1" t="s">
        <v>377</v>
      </c>
    </row>
    <row r="212" customFormat="false" ht="12" hidden="false" customHeight="false" outlineLevel="0" collapsed="false">
      <c r="A212" s="1" t="n">
        <v>80</v>
      </c>
      <c r="B212" s="1" t="n">
        <v>130105001</v>
      </c>
      <c r="C212" s="1" t="s">
        <v>216</v>
      </c>
      <c r="D212" s="1" t="n">
        <v>3</v>
      </c>
      <c r="E212" s="1" t="n">
        <v>3</v>
      </c>
      <c r="F212" s="1" t="s">
        <v>12</v>
      </c>
      <c r="H212" s="1" t="s">
        <v>211</v>
      </c>
      <c r="I212" s="1" t="s">
        <v>211</v>
      </c>
      <c r="N212" s="1" t="s">
        <v>377</v>
      </c>
    </row>
    <row r="213" customFormat="false" ht="12" hidden="false" customHeight="false" outlineLevel="0" collapsed="false">
      <c r="A213" s="1" t="n">
        <v>80</v>
      </c>
      <c r="B213" s="1" t="n">
        <v>130105001</v>
      </c>
      <c r="C213" s="1" t="s">
        <v>216</v>
      </c>
      <c r="D213" s="1" t="n">
        <v>3</v>
      </c>
      <c r="E213" s="1" t="n">
        <v>9</v>
      </c>
      <c r="F213" s="1" t="s">
        <v>28</v>
      </c>
      <c r="H213" s="1" t="s">
        <v>211</v>
      </c>
      <c r="I213" s="1" t="s">
        <v>211</v>
      </c>
      <c r="N213" s="1" t="s">
        <v>377</v>
      </c>
    </row>
    <row r="214" customFormat="false" ht="12" hidden="false" customHeight="false" outlineLevel="0" collapsed="false">
      <c r="A214" s="1" t="n">
        <v>81</v>
      </c>
      <c r="B214" s="1" t="n">
        <v>130205204</v>
      </c>
      <c r="C214" s="1" t="s">
        <v>217</v>
      </c>
      <c r="D214" s="1" t="n">
        <v>3</v>
      </c>
      <c r="E214" s="1" t="n">
        <v>1</v>
      </c>
      <c r="F214" s="1" t="s">
        <v>8</v>
      </c>
      <c r="H214" s="1" t="s">
        <v>211</v>
      </c>
      <c r="I214" s="1" t="s">
        <v>211</v>
      </c>
      <c r="N214" s="1" t="s">
        <v>377</v>
      </c>
    </row>
    <row r="215" customFormat="false" ht="12" hidden="false" customHeight="false" outlineLevel="0" collapsed="false">
      <c r="A215" s="1" t="n">
        <v>81</v>
      </c>
      <c r="B215" s="1" t="n">
        <v>130205204</v>
      </c>
      <c r="C215" s="1" t="s">
        <v>217</v>
      </c>
      <c r="D215" s="1" t="n">
        <v>3</v>
      </c>
      <c r="E215" s="1" t="n">
        <v>4</v>
      </c>
      <c r="F215" s="1" t="s">
        <v>13</v>
      </c>
      <c r="H215" s="1" t="s">
        <v>211</v>
      </c>
      <c r="I215" s="1" t="s">
        <v>211</v>
      </c>
      <c r="N215" s="1" t="s">
        <v>377</v>
      </c>
    </row>
    <row r="216" customFormat="false" ht="12" hidden="false" customHeight="false" outlineLevel="0" collapsed="false">
      <c r="A216" s="1" t="n">
        <v>81</v>
      </c>
      <c r="B216" s="1" t="n">
        <v>130205204</v>
      </c>
      <c r="C216" s="1" t="s">
        <v>217</v>
      </c>
      <c r="D216" s="1" t="n">
        <v>3</v>
      </c>
      <c r="E216" s="1" t="n">
        <v>9</v>
      </c>
      <c r="F216" s="1" t="s">
        <v>28</v>
      </c>
      <c r="H216" s="1" t="s">
        <v>211</v>
      </c>
      <c r="I216" s="1" t="s">
        <v>211</v>
      </c>
      <c r="N216" s="1" t="s">
        <v>377</v>
      </c>
    </row>
    <row r="217" customFormat="false" ht="12" hidden="false" customHeight="false" outlineLevel="0" collapsed="false">
      <c r="A217" s="1" t="n">
        <v>82</v>
      </c>
      <c r="B217" s="1" t="n">
        <v>130205203</v>
      </c>
      <c r="C217" s="1" t="s">
        <v>218</v>
      </c>
      <c r="D217" s="1" t="n">
        <v>3</v>
      </c>
      <c r="E217" s="1" t="n">
        <v>1</v>
      </c>
      <c r="F217" s="1" t="s">
        <v>8</v>
      </c>
      <c r="H217" s="1" t="s">
        <v>211</v>
      </c>
      <c r="I217" s="1" t="s">
        <v>211</v>
      </c>
      <c r="N217" s="1" t="s">
        <v>377</v>
      </c>
    </row>
    <row r="218" customFormat="false" ht="12" hidden="false" customHeight="false" outlineLevel="0" collapsed="false">
      <c r="A218" s="1" t="n">
        <v>82</v>
      </c>
      <c r="B218" s="1" t="n">
        <v>130205203</v>
      </c>
      <c r="C218" s="1" t="s">
        <v>218</v>
      </c>
      <c r="D218" s="1" t="n">
        <v>3</v>
      </c>
      <c r="E218" s="1" t="n">
        <v>4</v>
      </c>
      <c r="F218" s="1" t="s">
        <v>13</v>
      </c>
      <c r="H218" s="1" t="s">
        <v>211</v>
      </c>
      <c r="I218" s="1" t="s">
        <v>211</v>
      </c>
      <c r="N218" s="1" t="s">
        <v>377</v>
      </c>
    </row>
    <row r="219" customFormat="false" ht="12" hidden="false" customHeight="false" outlineLevel="0" collapsed="false">
      <c r="A219" s="1" t="n">
        <v>82</v>
      </c>
      <c r="B219" s="1" t="n">
        <v>130205203</v>
      </c>
      <c r="C219" s="1" t="s">
        <v>218</v>
      </c>
      <c r="D219" s="1" t="n">
        <v>3</v>
      </c>
      <c r="E219" s="1" t="n">
        <v>9</v>
      </c>
      <c r="F219" s="1" t="s">
        <v>28</v>
      </c>
      <c r="H219" s="1" t="s">
        <v>211</v>
      </c>
      <c r="I219" s="1" t="s">
        <v>211</v>
      </c>
      <c r="N219" s="1" t="s">
        <v>377</v>
      </c>
    </row>
    <row r="220" customFormat="false" ht="12" hidden="false" customHeight="false" outlineLevel="0" collapsed="false">
      <c r="A220" s="1" t="n">
        <v>83</v>
      </c>
      <c r="B220" s="1" t="n">
        <v>130205205</v>
      </c>
      <c r="C220" s="1" t="s">
        <v>219</v>
      </c>
      <c r="D220" s="1" t="n">
        <v>3</v>
      </c>
      <c r="E220" s="1" t="n">
        <v>1</v>
      </c>
      <c r="F220" s="1" t="s">
        <v>8</v>
      </c>
      <c r="H220" s="1" t="s">
        <v>211</v>
      </c>
      <c r="I220" s="1" t="s">
        <v>211</v>
      </c>
      <c r="N220" s="1" t="s">
        <v>377</v>
      </c>
    </row>
    <row r="221" customFormat="false" ht="12" hidden="false" customHeight="false" outlineLevel="0" collapsed="false">
      <c r="A221" s="1" t="n">
        <v>83</v>
      </c>
      <c r="B221" s="1" t="n">
        <v>130205205</v>
      </c>
      <c r="C221" s="1" t="s">
        <v>219</v>
      </c>
      <c r="D221" s="1" t="n">
        <v>3</v>
      </c>
      <c r="E221" s="1" t="n">
        <v>4</v>
      </c>
      <c r="F221" s="1" t="s">
        <v>13</v>
      </c>
      <c r="H221" s="1" t="s">
        <v>211</v>
      </c>
      <c r="I221" s="1" t="s">
        <v>211</v>
      </c>
      <c r="N221" s="1" t="s">
        <v>377</v>
      </c>
    </row>
    <row r="222" customFormat="false" ht="12" hidden="false" customHeight="false" outlineLevel="0" collapsed="false">
      <c r="A222" s="1" t="n">
        <v>83</v>
      </c>
      <c r="B222" s="1" t="n">
        <v>130205205</v>
      </c>
      <c r="C222" s="1" t="s">
        <v>219</v>
      </c>
      <c r="D222" s="1" t="n">
        <v>3</v>
      </c>
      <c r="E222" s="1" t="n">
        <v>9</v>
      </c>
      <c r="F222" s="1" t="s">
        <v>28</v>
      </c>
      <c r="H222" s="1" t="s">
        <v>211</v>
      </c>
      <c r="I222" s="1" t="s">
        <v>211</v>
      </c>
      <c r="N222" s="1" t="s">
        <v>377</v>
      </c>
    </row>
    <row r="223" customFormat="false" ht="12" hidden="false" customHeight="false" outlineLevel="0" collapsed="false">
      <c r="A223" s="1" t="n">
        <v>84</v>
      </c>
      <c r="B223" s="1" t="n">
        <v>130205201</v>
      </c>
      <c r="C223" s="1" t="s">
        <v>220</v>
      </c>
      <c r="D223" s="1" t="n">
        <v>3</v>
      </c>
      <c r="E223" s="1" t="n">
        <v>1</v>
      </c>
      <c r="F223" s="1" t="s">
        <v>8</v>
      </c>
      <c r="H223" s="1" t="s">
        <v>211</v>
      </c>
      <c r="I223" s="1" t="s">
        <v>211</v>
      </c>
      <c r="N223" s="1" t="s">
        <v>377</v>
      </c>
    </row>
    <row r="224" customFormat="false" ht="12" hidden="false" customHeight="false" outlineLevel="0" collapsed="false">
      <c r="A224" s="1" t="n">
        <v>84</v>
      </c>
      <c r="B224" s="1" t="n">
        <v>130205201</v>
      </c>
      <c r="C224" s="1" t="s">
        <v>220</v>
      </c>
      <c r="D224" s="1" t="n">
        <v>3</v>
      </c>
      <c r="E224" s="1" t="n">
        <v>4</v>
      </c>
      <c r="F224" s="1" t="s">
        <v>13</v>
      </c>
      <c r="H224" s="1" t="s">
        <v>211</v>
      </c>
      <c r="I224" s="1" t="s">
        <v>211</v>
      </c>
      <c r="N224" s="1" t="s">
        <v>377</v>
      </c>
    </row>
    <row r="225" customFormat="false" ht="12" hidden="false" customHeight="false" outlineLevel="0" collapsed="false">
      <c r="A225" s="1" t="n">
        <v>84</v>
      </c>
      <c r="B225" s="1" t="n">
        <v>130205201</v>
      </c>
      <c r="C225" s="1" t="s">
        <v>220</v>
      </c>
      <c r="D225" s="1" t="n">
        <v>3</v>
      </c>
      <c r="E225" s="1" t="n">
        <v>9</v>
      </c>
      <c r="F225" s="1" t="s">
        <v>28</v>
      </c>
      <c r="H225" s="1" t="s">
        <v>211</v>
      </c>
      <c r="I225" s="1" t="s">
        <v>211</v>
      </c>
      <c r="N225" s="1" t="s">
        <v>377</v>
      </c>
    </row>
    <row r="226" customFormat="false" ht="12" hidden="false" customHeight="false" outlineLevel="0" collapsed="false">
      <c r="A226" s="1" t="n">
        <v>85</v>
      </c>
      <c r="B226" s="1" t="n">
        <v>130205202</v>
      </c>
      <c r="C226" s="1" t="s">
        <v>221</v>
      </c>
      <c r="D226" s="1" t="n">
        <v>3</v>
      </c>
      <c r="E226" s="1" t="n">
        <v>1</v>
      </c>
      <c r="F226" s="1" t="s">
        <v>8</v>
      </c>
      <c r="H226" s="1" t="s">
        <v>211</v>
      </c>
      <c r="I226" s="1" t="s">
        <v>211</v>
      </c>
      <c r="N226" s="1" t="s">
        <v>377</v>
      </c>
    </row>
    <row r="227" customFormat="false" ht="12" hidden="false" customHeight="false" outlineLevel="0" collapsed="false">
      <c r="A227" s="1" t="n">
        <v>85</v>
      </c>
      <c r="B227" s="1" t="n">
        <v>130205203</v>
      </c>
      <c r="C227" s="1" t="s">
        <v>221</v>
      </c>
      <c r="D227" s="1" t="n">
        <v>3</v>
      </c>
      <c r="E227" s="1" t="n">
        <v>4</v>
      </c>
      <c r="F227" s="1" t="s">
        <v>13</v>
      </c>
      <c r="H227" s="1" t="s">
        <v>211</v>
      </c>
      <c r="I227" s="1" t="s">
        <v>211</v>
      </c>
      <c r="N227" s="1" t="s">
        <v>377</v>
      </c>
    </row>
    <row r="228" customFormat="false" ht="12" hidden="false" customHeight="false" outlineLevel="0" collapsed="false">
      <c r="A228" s="1" t="n">
        <v>85</v>
      </c>
      <c r="B228" s="1" t="n">
        <v>130205204</v>
      </c>
      <c r="C228" s="1" t="s">
        <v>221</v>
      </c>
      <c r="D228" s="1" t="n">
        <v>3</v>
      </c>
      <c r="E228" s="1" t="n">
        <v>9</v>
      </c>
      <c r="F228" s="1" t="s">
        <v>28</v>
      </c>
      <c r="H228" s="1" t="s">
        <v>211</v>
      </c>
      <c r="I228" s="1" t="s">
        <v>211</v>
      </c>
      <c r="N228" s="1" t="s">
        <v>377</v>
      </c>
    </row>
    <row r="229" customFormat="false" ht="12" hidden="false" customHeight="false" outlineLevel="0" collapsed="false">
      <c r="A229" s="1" t="n">
        <v>86</v>
      </c>
      <c r="B229" s="1" t="n">
        <v>431533</v>
      </c>
      <c r="C229" s="1" t="s">
        <v>222</v>
      </c>
      <c r="D229" s="1" t="n">
        <v>3</v>
      </c>
      <c r="E229" s="1" t="n">
        <v>1</v>
      </c>
      <c r="F229" s="1" t="s">
        <v>8</v>
      </c>
      <c r="H229" s="1" t="s">
        <v>223</v>
      </c>
      <c r="I229" s="1" t="s">
        <v>223</v>
      </c>
      <c r="N229" s="1" t="s">
        <v>376</v>
      </c>
    </row>
    <row r="230" customFormat="false" ht="12" hidden="false" customHeight="false" outlineLevel="0" collapsed="false">
      <c r="A230" s="1" t="n">
        <v>86</v>
      </c>
      <c r="B230" s="1" t="n">
        <v>431533</v>
      </c>
      <c r="C230" s="1" t="s">
        <v>222</v>
      </c>
      <c r="D230" s="1" t="n">
        <v>3</v>
      </c>
      <c r="E230" s="1" t="n">
        <v>8</v>
      </c>
      <c r="F230" s="1" t="s">
        <v>24</v>
      </c>
      <c r="H230" s="1" t="s">
        <v>223</v>
      </c>
      <c r="I230" s="1" t="s">
        <v>223</v>
      </c>
      <c r="N230" s="1" t="s">
        <v>376</v>
      </c>
    </row>
    <row r="231" customFormat="false" ht="12" hidden="false" customHeight="false" outlineLevel="0" collapsed="false">
      <c r="A231" s="1" t="n">
        <v>86</v>
      </c>
      <c r="B231" s="1" t="n">
        <v>431533</v>
      </c>
      <c r="C231" s="1" t="s">
        <v>222</v>
      </c>
      <c r="D231" s="1" t="n">
        <v>3</v>
      </c>
      <c r="E231" s="1" t="n">
        <v>9</v>
      </c>
      <c r="F231" s="1" t="s">
        <v>28</v>
      </c>
      <c r="H231" s="1" t="s">
        <v>223</v>
      </c>
      <c r="I231" s="1" t="s">
        <v>223</v>
      </c>
      <c r="N231" s="1" t="s">
        <v>376</v>
      </c>
    </row>
    <row r="232" customFormat="false" ht="12" hidden="false" customHeight="false" outlineLevel="0" collapsed="false">
      <c r="A232" s="1" t="n">
        <v>87</v>
      </c>
      <c r="B232" s="1" t="n">
        <v>431531</v>
      </c>
      <c r="C232" s="1" t="s">
        <v>225</v>
      </c>
      <c r="D232" s="1" t="n">
        <v>3</v>
      </c>
      <c r="E232" s="1" t="n">
        <v>1</v>
      </c>
      <c r="F232" s="1" t="s">
        <v>8</v>
      </c>
      <c r="H232" s="1" t="s">
        <v>223</v>
      </c>
      <c r="I232" s="1" t="s">
        <v>223</v>
      </c>
      <c r="N232" s="1" t="s">
        <v>376</v>
      </c>
    </row>
    <row r="233" customFormat="false" ht="12" hidden="false" customHeight="false" outlineLevel="0" collapsed="false">
      <c r="A233" s="1" t="n">
        <v>87</v>
      </c>
      <c r="B233" s="1" t="n">
        <v>431531</v>
      </c>
      <c r="C233" s="1" t="s">
        <v>225</v>
      </c>
      <c r="D233" s="1" t="n">
        <v>3</v>
      </c>
      <c r="E233" s="1" t="n">
        <v>8</v>
      </c>
      <c r="F233" s="1" t="s">
        <v>24</v>
      </c>
      <c r="H233" s="1" t="s">
        <v>223</v>
      </c>
      <c r="I233" s="1" t="s">
        <v>223</v>
      </c>
      <c r="N233" s="1" t="s">
        <v>376</v>
      </c>
    </row>
    <row r="234" customFormat="false" ht="12" hidden="false" customHeight="false" outlineLevel="0" collapsed="false">
      <c r="A234" s="1" t="n">
        <v>87</v>
      </c>
      <c r="B234" s="1" t="n">
        <v>431531</v>
      </c>
      <c r="C234" s="1" t="s">
        <v>225</v>
      </c>
      <c r="D234" s="1" t="n">
        <v>3</v>
      </c>
      <c r="E234" s="1" t="n">
        <v>9</v>
      </c>
      <c r="F234" s="1" t="s">
        <v>28</v>
      </c>
      <c r="H234" s="1" t="s">
        <v>223</v>
      </c>
      <c r="I234" s="1" t="s">
        <v>223</v>
      </c>
      <c r="N234" s="1" t="s">
        <v>376</v>
      </c>
    </row>
    <row r="235" customFormat="false" ht="12" hidden="false" customHeight="false" outlineLevel="0" collapsed="false">
      <c r="A235" s="1" t="n">
        <v>88</v>
      </c>
      <c r="B235" s="1" t="n">
        <v>437689</v>
      </c>
      <c r="C235" s="1" t="s">
        <v>226</v>
      </c>
      <c r="D235" s="1" t="n">
        <v>3</v>
      </c>
      <c r="E235" s="1" t="n">
        <v>1</v>
      </c>
      <c r="F235" s="1" t="s">
        <v>8</v>
      </c>
      <c r="H235" s="1" t="s">
        <v>223</v>
      </c>
      <c r="I235" s="1" t="s">
        <v>223</v>
      </c>
      <c r="N235" s="1" t="s">
        <v>376</v>
      </c>
    </row>
    <row r="236" customFormat="false" ht="12" hidden="false" customHeight="false" outlineLevel="0" collapsed="false">
      <c r="A236" s="1" t="n">
        <v>88</v>
      </c>
      <c r="B236" s="1" t="n">
        <v>437689</v>
      </c>
      <c r="C236" s="1" t="s">
        <v>226</v>
      </c>
      <c r="D236" s="1" t="n">
        <v>3</v>
      </c>
      <c r="E236" s="1" t="n">
        <v>8</v>
      </c>
      <c r="F236" s="1" t="s">
        <v>24</v>
      </c>
      <c r="H236" s="1" t="s">
        <v>223</v>
      </c>
      <c r="I236" s="1" t="s">
        <v>223</v>
      </c>
      <c r="N236" s="1" t="s">
        <v>376</v>
      </c>
    </row>
    <row r="237" customFormat="false" ht="12" hidden="false" customHeight="false" outlineLevel="0" collapsed="false">
      <c r="A237" s="1" t="n">
        <v>88</v>
      </c>
      <c r="B237" s="1" t="n">
        <v>437689</v>
      </c>
      <c r="C237" s="1" t="s">
        <v>226</v>
      </c>
      <c r="D237" s="1" t="n">
        <v>3</v>
      </c>
      <c r="E237" s="1" t="n">
        <v>9</v>
      </c>
      <c r="F237" s="1" t="s">
        <v>28</v>
      </c>
      <c r="H237" s="1" t="s">
        <v>223</v>
      </c>
      <c r="I237" s="1" t="s">
        <v>223</v>
      </c>
      <c r="N237" s="1" t="s">
        <v>376</v>
      </c>
    </row>
    <row r="238" customFormat="false" ht="12" hidden="false" customHeight="false" outlineLevel="0" collapsed="false">
      <c r="A238" s="1" t="n">
        <v>89</v>
      </c>
      <c r="B238" s="1" t="n">
        <v>431532</v>
      </c>
      <c r="C238" s="1" t="s">
        <v>227</v>
      </c>
      <c r="D238" s="1" t="n">
        <v>3</v>
      </c>
      <c r="E238" s="1" t="n">
        <v>1</v>
      </c>
      <c r="F238" s="1" t="s">
        <v>8</v>
      </c>
      <c r="H238" s="1" t="s">
        <v>223</v>
      </c>
      <c r="I238" s="1" t="s">
        <v>223</v>
      </c>
      <c r="N238" s="1" t="s">
        <v>376</v>
      </c>
    </row>
    <row r="239" customFormat="false" ht="12" hidden="false" customHeight="false" outlineLevel="0" collapsed="false">
      <c r="A239" s="1" t="n">
        <v>89</v>
      </c>
      <c r="B239" s="1" t="n">
        <v>431532</v>
      </c>
      <c r="C239" s="1" t="s">
        <v>227</v>
      </c>
      <c r="D239" s="1" t="n">
        <v>3</v>
      </c>
      <c r="E239" s="1" t="n">
        <v>8</v>
      </c>
      <c r="F239" s="1" t="s">
        <v>24</v>
      </c>
      <c r="H239" s="1" t="s">
        <v>223</v>
      </c>
      <c r="I239" s="1" t="s">
        <v>223</v>
      </c>
      <c r="N239" s="1" t="s">
        <v>376</v>
      </c>
    </row>
    <row r="240" customFormat="false" ht="12" hidden="false" customHeight="false" outlineLevel="0" collapsed="false">
      <c r="A240" s="1" t="n">
        <v>89</v>
      </c>
      <c r="B240" s="1" t="n">
        <v>431532</v>
      </c>
      <c r="C240" s="1" t="s">
        <v>227</v>
      </c>
      <c r="D240" s="1" t="n">
        <v>3</v>
      </c>
      <c r="E240" s="1" t="n">
        <v>9</v>
      </c>
      <c r="F240" s="1" t="s">
        <v>28</v>
      </c>
      <c r="H240" s="1" t="s">
        <v>223</v>
      </c>
      <c r="I240" s="1" t="s">
        <v>223</v>
      </c>
      <c r="N240" s="1" t="s">
        <v>376</v>
      </c>
    </row>
    <row r="241" customFormat="false" ht="12" hidden="false" customHeight="false" outlineLevel="0" collapsed="false">
      <c r="A241" s="1" t="n">
        <v>90</v>
      </c>
      <c r="B241" s="1" t="n">
        <v>431530</v>
      </c>
      <c r="C241" s="1" t="s">
        <v>228</v>
      </c>
      <c r="D241" s="1" t="n">
        <v>3</v>
      </c>
      <c r="E241" s="1" t="n">
        <v>1</v>
      </c>
      <c r="F241" s="1" t="s">
        <v>8</v>
      </c>
      <c r="H241" s="1" t="s">
        <v>223</v>
      </c>
      <c r="I241" s="1" t="s">
        <v>223</v>
      </c>
      <c r="N241" s="1" t="s">
        <v>376</v>
      </c>
    </row>
    <row r="242" customFormat="false" ht="12" hidden="false" customHeight="false" outlineLevel="0" collapsed="false">
      <c r="A242" s="1" t="n">
        <v>90</v>
      </c>
      <c r="B242" s="1" t="n">
        <v>431530</v>
      </c>
      <c r="C242" s="1" t="s">
        <v>228</v>
      </c>
      <c r="D242" s="1" t="n">
        <v>3</v>
      </c>
      <c r="E242" s="1" t="n">
        <v>8</v>
      </c>
      <c r="F242" s="1" t="s">
        <v>24</v>
      </c>
      <c r="H242" s="1" t="s">
        <v>223</v>
      </c>
      <c r="I242" s="1" t="s">
        <v>223</v>
      </c>
      <c r="N242" s="1" t="s">
        <v>376</v>
      </c>
    </row>
    <row r="243" customFormat="false" ht="12" hidden="false" customHeight="false" outlineLevel="0" collapsed="false">
      <c r="A243" s="1" t="n">
        <v>90</v>
      </c>
      <c r="B243" s="1" t="n">
        <v>431530</v>
      </c>
      <c r="C243" s="1" t="s">
        <v>228</v>
      </c>
      <c r="D243" s="1" t="n">
        <v>3</v>
      </c>
      <c r="E243" s="1" t="n">
        <v>9</v>
      </c>
      <c r="F243" s="1" t="s">
        <v>28</v>
      </c>
      <c r="H243" s="1" t="s">
        <v>223</v>
      </c>
      <c r="I243" s="1" t="s">
        <v>223</v>
      </c>
      <c r="N243" s="1" t="s">
        <v>376</v>
      </c>
    </row>
    <row r="244" customFormat="false" ht="12" hidden="false" customHeight="false" outlineLevel="0" collapsed="false">
      <c r="A244" s="1" t="n">
        <v>91</v>
      </c>
      <c r="B244" s="1" t="n">
        <v>419710</v>
      </c>
      <c r="C244" s="1" t="s">
        <v>229</v>
      </c>
      <c r="D244" s="1" t="n">
        <v>3</v>
      </c>
      <c r="E244" s="1" t="n">
        <v>1</v>
      </c>
      <c r="F244" s="1" t="s">
        <v>8</v>
      </c>
      <c r="H244" s="1" t="s">
        <v>223</v>
      </c>
      <c r="I244" s="1" t="s">
        <v>223</v>
      </c>
      <c r="N244" s="1" t="s">
        <v>376</v>
      </c>
    </row>
    <row r="245" customFormat="false" ht="12" hidden="false" customHeight="false" outlineLevel="0" collapsed="false">
      <c r="A245" s="1" t="n">
        <v>91</v>
      </c>
      <c r="B245" s="1" t="n">
        <v>419710</v>
      </c>
      <c r="C245" s="1" t="s">
        <v>229</v>
      </c>
      <c r="D245" s="1" t="n">
        <v>3</v>
      </c>
      <c r="E245" s="1" t="n">
        <v>8</v>
      </c>
      <c r="F245" s="1" t="s">
        <v>24</v>
      </c>
      <c r="H245" s="1" t="s">
        <v>223</v>
      </c>
      <c r="I245" s="1" t="s">
        <v>223</v>
      </c>
      <c r="N245" s="1" t="s">
        <v>376</v>
      </c>
    </row>
    <row r="246" customFormat="false" ht="12" hidden="false" customHeight="false" outlineLevel="0" collapsed="false">
      <c r="A246" s="1" t="n">
        <v>91</v>
      </c>
      <c r="B246" s="1" t="n">
        <v>419710</v>
      </c>
      <c r="C246" s="1" t="s">
        <v>229</v>
      </c>
      <c r="D246" s="1" t="n">
        <v>3</v>
      </c>
      <c r="E246" s="1" t="n">
        <v>9</v>
      </c>
      <c r="F246" s="1" t="s">
        <v>28</v>
      </c>
      <c r="H246" s="1" t="s">
        <v>223</v>
      </c>
      <c r="I246" s="1" t="s">
        <v>223</v>
      </c>
      <c r="N246" s="1" t="s">
        <v>376</v>
      </c>
    </row>
    <row r="247" customFormat="false" ht="12" hidden="false" customHeight="false" outlineLevel="0" collapsed="false">
      <c r="A247" s="1" t="n">
        <v>92</v>
      </c>
      <c r="B247" s="1" t="n">
        <v>400582</v>
      </c>
      <c r="C247" s="1" t="s">
        <v>230</v>
      </c>
      <c r="D247" s="1" t="n">
        <v>3</v>
      </c>
      <c r="E247" s="1" t="n">
        <v>1</v>
      </c>
      <c r="F247" s="1" t="s">
        <v>8</v>
      </c>
      <c r="H247" s="1" t="s">
        <v>223</v>
      </c>
      <c r="I247" s="1" t="s">
        <v>223</v>
      </c>
      <c r="N247" s="1" t="s">
        <v>376</v>
      </c>
    </row>
    <row r="248" customFormat="false" ht="12" hidden="false" customHeight="false" outlineLevel="0" collapsed="false">
      <c r="A248" s="1" t="n">
        <v>92</v>
      </c>
      <c r="B248" s="1" t="n">
        <v>400582</v>
      </c>
      <c r="C248" s="1" t="s">
        <v>230</v>
      </c>
      <c r="D248" s="1" t="n">
        <v>3</v>
      </c>
      <c r="E248" s="1" t="n">
        <v>8</v>
      </c>
      <c r="F248" s="1" t="s">
        <v>24</v>
      </c>
      <c r="H248" s="1" t="s">
        <v>223</v>
      </c>
      <c r="I248" s="1" t="s">
        <v>223</v>
      </c>
      <c r="N248" s="1" t="s">
        <v>376</v>
      </c>
    </row>
    <row r="249" customFormat="false" ht="12" hidden="false" customHeight="false" outlineLevel="0" collapsed="false">
      <c r="A249" s="1" t="n">
        <v>92</v>
      </c>
      <c r="B249" s="1" t="n">
        <v>400582</v>
      </c>
      <c r="C249" s="1" t="s">
        <v>230</v>
      </c>
      <c r="D249" s="1" t="n">
        <v>3</v>
      </c>
      <c r="E249" s="1" t="n">
        <v>9</v>
      </c>
      <c r="F249" s="1" t="s">
        <v>28</v>
      </c>
      <c r="H249" s="1" t="s">
        <v>223</v>
      </c>
      <c r="I249" s="1" t="s">
        <v>223</v>
      </c>
      <c r="N249" s="1" t="s">
        <v>376</v>
      </c>
    </row>
    <row r="250" customFormat="false" ht="12" hidden="false" customHeight="false" outlineLevel="0" collapsed="false">
      <c r="A250" s="1" t="n">
        <v>93</v>
      </c>
      <c r="B250" s="1" t="n">
        <v>436739</v>
      </c>
      <c r="C250" s="1" t="s">
        <v>231</v>
      </c>
      <c r="D250" s="1" t="n">
        <v>3</v>
      </c>
      <c r="E250" s="1" t="n">
        <v>1</v>
      </c>
      <c r="F250" s="1" t="s">
        <v>8</v>
      </c>
      <c r="H250" s="1" t="s">
        <v>223</v>
      </c>
      <c r="I250" s="1" t="s">
        <v>223</v>
      </c>
      <c r="N250" s="1" t="s">
        <v>376</v>
      </c>
    </row>
    <row r="251" customFormat="false" ht="12" hidden="false" customHeight="false" outlineLevel="0" collapsed="false">
      <c r="A251" s="1" t="n">
        <v>93</v>
      </c>
      <c r="B251" s="1" t="n">
        <v>436740</v>
      </c>
      <c r="C251" s="1" t="s">
        <v>232</v>
      </c>
      <c r="D251" s="1" t="n">
        <v>3</v>
      </c>
      <c r="E251" s="1" t="n">
        <v>8</v>
      </c>
      <c r="F251" s="1" t="s">
        <v>24</v>
      </c>
      <c r="H251" s="1" t="s">
        <v>223</v>
      </c>
      <c r="I251" s="1" t="s">
        <v>223</v>
      </c>
      <c r="N251" s="1" t="s">
        <v>376</v>
      </c>
    </row>
    <row r="252" customFormat="false" ht="12" hidden="false" customHeight="false" outlineLevel="0" collapsed="false">
      <c r="A252" s="1" t="n">
        <v>93</v>
      </c>
      <c r="B252" s="1" t="n">
        <v>436741</v>
      </c>
      <c r="C252" s="1" t="s">
        <v>233</v>
      </c>
      <c r="D252" s="1" t="n">
        <v>3</v>
      </c>
      <c r="E252" s="1" t="n">
        <v>9</v>
      </c>
      <c r="F252" s="1" t="s">
        <v>28</v>
      </c>
      <c r="H252" s="1" t="s">
        <v>223</v>
      </c>
      <c r="I252" s="1" t="s">
        <v>223</v>
      </c>
      <c r="N252" s="1" t="s">
        <v>376</v>
      </c>
    </row>
    <row r="253" customFormat="false" ht="12" hidden="false" customHeight="false" outlineLevel="0" collapsed="false">
      <c r="A253" s="1" t="n">
        <v>94</v>
      </c>
      <c r="B253" s="1" t="n">
        <v>915314</v>
      </c>
      <c r="C253" s="1" t="s">
        <v>234</v>
      </c>
      <c r="D253" s="1" t="n">
        <v>3</v>
      </c>
      <c r="E253" s="1" t="n">
        <v>1</v>
      </c>
      <c r="F253" s="1" t="s">
        <v>8</v>
      </c>
      <c r="H253" s="1" t="s">
        <v>235</v>
      </c>
      <c r="I253" s="1" t="s">
        <v>235</v>
      </c>
      <c r="N253" s="1" t="s">
        <v>376</v>
      </c>
    </row>
    <row r="254" customFormat="false" ht="12" hidden="false" customHeight="false" outlineLevel="0" collapsed="false">
      <c r="A254" s="1" t="n">
        <v>94</v>
      </c>
      <c r="B254" s="1" t="n">
        <v>915314</v>
      </c>
      <c r="C254" s="1" t="s">
        <v>234</v>
      </c>
      <c r="D254" s="1" t="n">
        <v>3</v>
      </c>
      <c r="E254" s="1" t="n">
        <v>4</v>
      </c>
      <c r="F254" s="1" t="s">
        <v>13</v>
      </c>
      <c r="H254" s="1" t="s">
        <v>235</v>
      </c>
      <c r="I254" s="1" t="s">
        <v>235</v>
      </c>
      <c r="N254" s="1" t="s">
        <v>376</v>
      </c>
    </row>
    <row r="255" customFormat="false" ht="12" hidden="false" customHeight="false" outlineLevel="0" collapsed="false">
      <c r="A255" s="1" t="n">
        <v>94</v>
      </c>
      <c r="B255" s="1" t="n">
        <v>915314</v>
      </c>
      <c r="C255" s="1" t="s">
        <v>234</v>
      </c>
      <c r="D255" s="1" t="n">
        <v>3</v>
      </c>
      <c r="E255" s="1" t="n">
        <v>9</v>
      </c>
      <c r="F255" s="1" t="s">
        <v>28</v>
      </c>
      <c r="H255" s="1" t="s">
        <v>235</v>
      </c>
      <c r="I255" s="1" t="s">
        <v>235</v>
      </c>
      <c r="N255" s="1" t="s">
        <v>376</v>
      </c>
    </row>
    <row r="256" customFormat="false" ht="12" hidden="false" customHeight="false" outlineLevel="0" collapsed="false">
      <c r="A256" s="1" t="n">
        <v>95</v>
      </c>
      <c r="B256" s="1" t="n">
        <v>915315</v>
      </c>
      <c r="C256" s="1" t="s">
        <v>237</v>
      </c>
      <c r="D256" s="1" t="n">
        <v>3</v>
      </c>
      <c r="E256" s="1" t="n">
        <v>1</v>
      </c>
      <c r="F256" s="1" t="s">
        <v>8</v>
      </c>
      <c r="H256" s="1" t="s">
        <v>235</v>
      </c>
      <c r="I256" s="1" t="s">
        <v>235</v>
      </c>
      <c r="N256" s="1" t="s">
        <v>376</v>
      </c>
    </row>
    <row r="257" customFormat="false" ht="12" hidden="false" customHeight="false" outlineLevel="0" collapsed="false">
      <c r="A257" s="1" t="n">
        <v>95</v>
      </c>
      <c r="B257" s="1" t="n">
        <v>915315</v>
      </c>
      <c r="C257" s="1" t="s">
        <v>237</v>
      </c>
      <c r="D257" s="1" t="n">
        <v>3</v>
      </c>
      <c r="E257" s="1" t="n">
        <v>4</v>
      </c>
      <c r="F257" s="1" t="s">
        <v>13</v>
      </c>
      <c r="H257" s="1" t="s">
        <v>235</v>
      </c>
      <c r="I257" s="1" t="s">
        <v>235</v>
      </c>
      <c r="N257" s="1" t="s">
        <v>376</v>
      </c>
    </row>
    <row r="258" customFormat="false" ht="12" hidden="false" customHeight="false" outlineLevel="0" collapsed="false">
      <c r="A258" s="1" t="n">
        <v>95</v>
      </c>
      <c r="B258" s="1" t="n">
        <v>915315</v>
      </c>
      <c r="C258" s="1" t="s">
        <v>237</v>
      </c>
      <c r="D258" s="1" t="n">
        <v>3</v>
      </c>
      <c r="E258" s="1" t="n">
        <v>9</v>
      </c>
      <c r="F258" s="1" t="s">
        <v>28</v>
      </c>
      <c r="H258" s="1" t="s">
        <v>235</v>
      </c>
      <c r="I258" s="1" t="s">
        <v>235</v>
      </c>
      <c r="N258" s="1" t="s">
        <v>376</v>
      </c>
    </row>
    <row r="259" customFormat="false" ht="12" hidden="false" customHeight="false" outlineLevel="0" collapsed="false">
      <c r="A259" s="1" t="n">
        <v>96</v>
      </c>
      <c r="B259" s="1" t="n">
        <v>915316</v>
      </c>
      <c r="C259" s="1" t="s">
        <v>238</v>
      </c>
      <c r="D259" s="1" t="n">
        <v>3</v>
      </c>
      <c r="E259" s="1" t="n">
        <v>1</v>
      </c>
      <c r="F259" s="1" t="s">
        <v>8</v>
      </c>
      <c r="H259" s="1" t="s">
        <v>235</v>
      </c>
      <c r="I259" s="1" t="s">
        <v>235</v>
      </c>
      <c r="N259" s="1" t="s">
        <v>376</v>
      </c>
    </row>
    <row r="260" customFormat="false" ht="12" hidden="false" customHeight="false" outlineLevel="0" collapsed="false">
      <c r="A260" s="1" t="n">
        <v>96</v>
      </c>
      <c r="B260" s="1" t="n">
        <v>915316</v>
      </c>
      <c r="C260" s="1" t="s">
        <v>238</v>
      </c>
      <c r="D260" s="1" t="n">
        <v>3</v>
      </c>
      <c r="E260" s="1" t="n">
        <v>4</v>
      </c>
      <c r="F260" s="1" t="s">
        <v>13</v>
      </c>
      <c r="H260" s="1" t="s">
        <v>235</v>
      </c>
      <c r="I260" s="1" t="s">
        <v>235</v>
      </c>
      <c r="N260" s="1" t="s">
        <v>376</v>
      </c>
    </row>
    <row r="261" customFormat="false" ht="12" hidden="false" customHeight="false" outlineLevel="0" collapsed="false">
      <c r="A261" s="1" t="n">
        <v>96</v>
      </c>
      <c r="B261" s="1" t="n">
        <v>915316</v>
      </c>
      <c r="C261" s="1" t="s">
        <v>238</v>
      </c>
      <c r="D261" s="1" t="n">
        <v>3</v>
      </c>
      <c r="E261" s="1" t="n">
        <v>9</v>
      </c>
      <c r="F261" s="1" t="s">
        <v>28</v>
      </c>
      <c r="H261" s="1" t="s">
        <v>235</v>
      </c>
      <c r="I261" s="1" t="s">
        <v>235</v>
      </c>
      <c r="N261" s="1" t="s">
        <v>376</v>
      </c>
    </row>
    <row r="262" customFormat="false" ht="12" hidden="false" customHeight="false" outlineLevel="0" collapsed="false">
      <c r="A262" s="1" t="n">
        <v>97</v>
      </c>
      <c r="B262" s="1" t="n">
        <v>931108</v>
      </c>
      <c r="C262" s="1" t="s">
        <v>239</v>
      </c>
      <c r="D262" s="1" t="n">
        <v>3</v>
      </c>
      <c r="E262" s="1" t="n">
        <v>1</v>
      </c>
      <c r="F262" s="1" t="s">
        <v>8</v>
      </c>
      <c r="H262" s="1" t="s">
        <v>235</v>
      </c>
      <c r="I262" s="1" t="s">
        <v>235</v>
      </c>
      <c r="N262" s="1" t="s">
        <v>376</v>
      </c>
    </row>
    <row r="263" customFormat="false" ht="12" hidden="false" customHeight="false" outlineLevel="0" collapsed="false">
      <c r="A263" s="1" t="n">
        <v>97</v>
      </c>
      <c r="B263" s="1" t="n">
        <v>931108</v>
      </c>
      <c r="C263" s="1" t="s">
        <v>239</v>
      </c>
      <c r="D263" s="1" t="n">
        <v>3</v>
      </c>
      <c r="E263" s="1" t="n">
        <v>8</v>
      </c>
      <c r="F263" s="1" t="s">
        <v>24</v>
      </c>
      <c r="H263" s="1" t="s">
        <v>235</v>
      </c>
      <c r="I263" s="1" t="s">
        <v>235</v>
      </c>
      <c r="N263" s="1" t="s">
        <v>376</v>
      </c>
    </row>
    <row r="264" customFormat="false" ht="12" hidden="false" customHeight="false" outlineLevel="0" collapsed="false">
      <c r="A264" s="1" t="n">
        <v>97</v>
      </c>
      <c r="B264" s="1" t="n">
        <v>931108</v>
      </c>
      <c r="C264" s="1" t="s">
        <v>239</v>
      </c>
      <c r="D264" s="1" t="n">
        <v>3</v>
      </c>
      <c r="E264" s="1" t="n">
        <v>9</v>
      </c>
      <c r="F264" s="1" t="s">
        <v>28</v>
      </c>
      <c r="H264" s="1" t="s">
        <v>235</v>
      </c>
      <c r="I264" s="1" t="s">
        <v>235</v>
      </c>
      <c r="N264" s="1" t="s">
        <v>376</v>
      </c>
    </row>
    <row r="265" customFormat="false" ht="12" hidden="false" customHeight="false" outlineLevel="0" collapsed="false">
      <c r="A265" s="1" t="n">
        <v>98</v>
      </c>
      <c r="B265" s="1" t="n">
        <v>931109</v>
      </c>
      <c r="C265" s="1" t="s">
        <v>240</v>
      </c>
      <c r="D265" s="1" t="n">
        <v>3</v>
      </c>
      <c r="E265" s="1" t="n">
        <v>1</v>
      </c>
      <c r="F265" s="1" t="s">
        <v>8</v>
      </c>
      <c r="H265" s="1" t="s">
        <v>235</v>
      </c>
      <c r="I265" s="1" t="s">
        <v>235</v>
      </c>
      <c r="N265" s="1" t="s">
        <v>376</v>
      </c>
    </row>
    <row r="266" customFormat="false" ht="12" hidden="false" customHeight="false" outlineLevel="0" collapsed="false">
      <c r="A266" s="1" t="n">
        <v>98</v>
      </c>
      <c r="B266" s="1" t="n">
        <v>931109</v>
      </c>
      <c r="C266" s="1" t="s">
        <v>240</v>
      </c>
      <c r="D266" s="1" t="n">
        <v>3</v>
      </c>
      <c r="E266" s="1" t="n">
        <v>8</v>
      </c>
      <c r="F266" s="1" t="s">
        <v>24</v>
      </c>
      <c r="H266" s="1" t="s">
        <v>235</v>
      </c>
      <c r="I266" s="1" t="s">
        <v>235</v>
      </c>
      <c r="N266" s="1" t="s">
        <v>376</v>
      </c>
    </row>
    <row r="267" customFormat="false" ht="12" hidden="false" customHeight="false" outlineLevel="0" collapsed="false">
      <c r="A267" s="1" t="n">
        <v>98</v>
      </c>
      <c r="B267" s="1" t="n">
        <v>931109</v>
      </c>
      <c r="C267" s="1" t="s">
        <v>240</v>
      </c>
      <c r="D267" s="1" t="n">
        <v>3</v>
      </c>
      <c r="E267" s="1" t="n">
        <v>9</v>
      </c>
      <c r="F267" s="1" t="s">
        <v>28</v>
      </c>
      <c r="H267" s="1" t="s">
        <v>235</v>
      </c>
      <c r="I267" s="1" t="s">
        <v>235</v>
      </c>
      <c r="N267" s="1" t="s">
        <v>376</v>
      </c>
    </row>
    <row r="268" customFormat="false" ht="12" hidden="false" customHeight="false" outlineLevel="0" collapsed="false">
      <c r="A268" s="1" t="n">
        <v>99</v>
      </c>
      <c r="B268" s="1" t="n">
        <v>931115</v>
      </c>
      <c r="C268" s="1" t="s">
        <v>241</v>
      </c>
      <c r="D268" s="1" t="n">
        <v>3</v>
      </c>
      <c r="E268" s="1" t="n">
        <v>1</v>
      </c>
      <c r="F268" s="1" t="s">
        <v>8</v>
      </c>
      <c r="H268" s="1" t="s">
        <v>235</v>
      </c>
      <c r="I268" s="1" t="s">
        <v>235</v>
      </c>
      <c r="N268" s="1" t="s">
        <v>376</v>
      </c>
    </row>
    <row r="269" customFormat="false" ht="12" hidden="false" customHeight="false" outlineLevel="0" collapsed="false">
      <c r="A269" s="1" t="n">
        <v>99</v>
      </c>
      <c r="B269" s="1" t="n">
        <v>931115</v>
      </c>
      <c r="C269" s="1" t="s">
        <v>241</v>
      </c>
      <c r="D269" s="1" t="n">
        <v>3</v>
      </c>
      <c r="E269" s="1" t="n">
        <v>8</v>
      </c>
      <c r="F269" s="1" t="s">
        <v>24</v>
      </c>
      <c r="H269" s="1" t="s">
        <v>235</v>
      </c>
      <c r="I269" s="1" t="s">
        <v>235</v>
      </c>
      <c r="N269" s="1" t="s">
        <v>376</v>
      </c>
    </row>
    <row r="270" customFormat="false" ht="12" hidden="false" customHeight="false" outlineLevel="0" collapsed="false">
      <c r="A270" s="1" t="n">
        <v>99</v>
      </c>
      <c r="B270" s="1" t="n">
        <v>931115</v>
      </c>
      <c r="C270" s="1" t="s">
        <v>241</v>
      </c>
      <c r="D270" s="1" t="n">
        <v>3</v>
      </c>
      <c r="E270" s="1" t="n">
        <v>9</v>
      </c>
      <c r="F270" s="1" t="s">
        <v>28</v>
      </c>
      <c r="H270" s="1" t="s">
        <v>235</v>
      </c>
      <c r="I270" s="1" t="s">
        <v>235</v>
      </c>
      <c r="N270" s="1" t="s">
        <v>376</v>
      </c>
    </row>
    <row r="271" customFormat="false" ht="12" hidden="false" customHeight="false" outlineLevel="0" collapsed="false">
      <c r="A271" s="1" t="n">
        <v>100</v>
      </c>
      <c r="B271" s="1" t="n">
        <v>931211</v>
      </c>
      <c r="C271" s="1" t="s">
        <v>242</v>
      </c>
      <c r="D271" s="1" t="n">
        <v>3</v>
      </c>
      <c r="E271" s="1" t="n">
        <v>1</v>
      </c>
      <c r="F271" s="1" t="s">
        <v>8</v>
      </c>
      <c r="H271" s="1" t="s">
        <v>235</v>
      </c>
      <c r="I271" s="1" t="s">
        <v>235</v>
      </c>
      <c r="N271" s="1" t="s">
        <v>376</v>
      </c>
    </row>
    <row r="272" customFormat="false" ht="12" hidden="false" customHeight="false" outlineLevel="0" collapsed="false">
      <c r="A272" s="1" t="n">
        <v>100</v>
      </c>
      <c r="B272" s="1" t="n">
        <v>931211</v>
      </c>
      <c r="C272" s="1" t="s">
        <v>242</v>
      </c>
      <c r="D272" s="1" t="n">
        <v>3</v>
      </c>
      <c r="E272" s="1" t="n">
        <v>9</v>
      </c>
      <c r="F272" s="1" t="s">
        <v>28</v>
      </c>
      <c r="H272" s="1" t="s">
        <v>235</v>
      </c>
      <c r="I272" s="1" t="s">
        <v>235</v>
      </c>
      <c r="N272" s="1" t="s">
        <v>376</v>
      </c>
    </row>
    <row r="273" customFormat="false" ht="12" hidden="false" customHeight="false" outlineLevel="0" collapsed="false">
      <c r="A273" s="1" t="n">
        <v>101</v>
      </c>
      <c r="B273" s="1" t="n">
        <v>24006</v>
      </c>
      <c r="C273" s="1" t="s">
        <v>243</v>
      </c>
      <c r="D273" s="1" t="n">
        <v>3</v>
      </c>
      <c r="E273" s="1" t="n">
        <v>1</v>
      </c>
      <c r="F273" s="1" t="s">
        <v>8</v>
      </c>
      <c r="H273" s="1" t="s">
        <v>244</v>
      </c>
      <c r="I273" s="1" t="s">
        <v>244</v>
      </c>
      <c r="N273" s="1" t="s">
        <v>377</v>
      </c>
    </row>
    <row r="274" customFormat="false" ht="12" hidden="false" customHeight="false" outlineLevel="0" collapsed="false">
      <c r="A274" s="1" t="n">
        <v>101</v>
      </c>
      <c r="B274" s="1" t="n">
        <v>24006</v>
      </c>
      <c r="C274" s="1" t="s">
        <v>243</v>
      </c>
      <c r="D274" s="1" t="n">
        <v>3</v>
      </c>
      <c r="E274" s="1" t="n">
        <v>3</v>
      </c>
      <c r="F274" s="1" t="s">
        <v>12</v>
      </c>
      <c r="H274" s="1" t="s">
        <v>244</v>
      </c>
      <c r="I274" s="1" t="s">
        <v>244</v>
      </c>
      <c r="N274" s="1" t="s">
        <v>377</v>
      </c>
    </row>
    <row r="275" customFormat="false" ht="12" hidden="false" customHeight="false" outlineLevel="0" collapsed="false">
      <c r="A275" s="1" t="n">
        <v>101</v>
      </c>
      <c r="B275" s="1" t="n">
        <v>24006</v>
      </c>
      <c r="C275" s="1" t="s">
        <v>243</v>
      </c>
      <c r="D275" s="1" t="n">
        <v>3</v>
      </c>
      <c r="E275" s="1" t="n">
        <v>8</v>
      </c>
      <c r="F275" s="1" t="s">
        <v>24</v>
      </c>
      <c r="H275" s="1" t="s">
        <v>244</v>
      </c>
      <c r="I275" s="1" t="s">
        <v>244</v>
      </c>
      <c r="N275" s="1" t="s">
        <v>377</v>
      </c>
    </row>
    <row r="276" customFormat="false" ht="12" hidden="false" customHeight="false" outlineLevel="0" collapsed="false">
      <c r="A276" s="1" t="n">
        <v>101</v>
      </c>
      <c r="B276" s="1" t="n">
        <v>24006</v>
      </c>
      <c r="C276" s="1" t="s">
        <v>243</v>
      </c>
      <c r="D276" s="1" t="n">
        <v>3</v>
      </c>
      <c r="E276" s="1" t="n">
        <v>9</v>
      </c>
      <c r="F276" s="1" t="s">
        <v>28</v>
      </c>
      <c r="H276" s="1" t="s">
        <v>244</v>
      </c>
      <c r="I276" s="1" t="s">
        <v>244</v>
      </c>
      <c r="N276" s="1" t="s">
        <v>377</v>
      </c>
    </row>
    <row r="277" customFormat="false" ht="12" hidden="false" customHeight="false" outlineLevel="0" collapsed="false">
      <c r="A277" s="1" t="n">
        <v>102</v>
      </c>
      <c r="B277" s="1" t="n">
        <v>24007</v>
      </c>
      <c r="C277" s="1" t="s">
        <v>246</v>
      </c>
      <c r="D277" s="1" t="n">
        <v>3</v>
      </c>
      <c r="E277" s="1" t="n">
        <v>1</v>
      </c>
      <c r="F277" s="1" t="s">
        <v>8</v>
      </c>
      <c r="H277" s="1" t="s">
        <v>244</v>
      </c>
      <c r="I277" s="1" t="s">
        <v>244</v>
      </c>
      <c r="N277" s="1" t="s">
        <v>377</v>
      </c>
    </row>
    <row r="278" customFormat="false" ht="12" hidden="false" customHeight="false" outlineLevel="0" collapsed="false">
      <c r="A278" s="1" t="n">
        <v>102</v>
      </c>
      <c r="B278" s="1" t="n">
        <v>24007</v>
      </c>
      <c r="C278" s="1" t="s">
        <v>246</v>
      </c>
      <c r="D278" s="1" t="n">
        <v>3</v>
      </c>
      <c r="E278" s="1" t="n">
        <v>3</v>
      </c>
      <c r="F278" s="1" t="s">
        <v>12</v>
      </c>
      <c r="H278" s="1" t="s">
        <v>244</v>
      </c>
      <c r="I278" s="1" t="s">
        <v>244</v>
      </c>
      <c r="N278" s="1" t="s">
        <v>377</v>
      </c>
    </row>
    <row r="279" customFormat="false" ht="12" hidden="false" customHeight="false" outlineLevel="0" collapsed="false">
      <c r="A279" s="1" t="n">
        <v>102</v>
      </c>
      <c r="B279" s="1" t="n">
        <v>24007</v>
      </c>
      <c r="C279" s="1" t="s">
        <v>246</v>
      </c>
      <c r="D279" s="1" t="n">
        <v>3</v>
      </c>
      <c r="E279" s="1" t="n">
        <v>8</v>
      </c>
      <c r="F279" s="1" t="s">
        <v>24</v>
      </c>
      <c r="H279" s="1" t="s">
        <v>244</v>
      </c>
      <c r="I279" s="1" t="s">
        <v>244</v>
      </c>
      <c r="N279" s="1" t="s">
        <v>377</v>
      </c>
    </row>
    <row r="280" customFormat="false" ht="12" hidden="false" customHeight="false" outlineLevel="0" collapsed="false">
      <c r="A280" s="1" t="n">
        <v>102</v>
      </c>
      <c r="B280" s="1" t="n">
        <v>24007</v>
      </c>
      <c r="C280" s="1" t="s">
        <v>246</v>
      </c>
      <c r="D280" s="1" t="n">
        <v>3</v>
      </c>
      <c r="E280" s="1" t="n">
        <v>9</v>
      </c>
      <c r="F280" s="1" t="s">
        <v>28</v>
      </c>
      <c r="H280" s="1" t="s">
        <v>244</v>
      </c>
      <c r="I280" s="1" t="s">
        <v>244</v>
      </c>
      <c r="N280" s="1" t="s">
        <v>377</v>
      </c>
    </row>
    <row r="281" customFormat="false" ht="12" hidden="false" customHeight="false" outlineLevel="0" collapsed="false">
      <c r="A281" s="1" t="n">
        <v>103</v>
      </c>
      <c r="B281" s="1" t="n">
        <v>24008</v>
      </c>
      <c r="C281" s="1" t="s">
        <v>247</v>
      </c>
      <c r="D281" s="1" t="n">
        <v>3</v>
      </c>
      <c r="E281" s="1" t="n">
        <v>1</v>
      </c>
      <c r="F281" s="1" t="s">
        <v>8</v>
      </c>
      <c r="H281" s="1" t="s">
        <v>244</v>
      </c>
      <c r="I281" s="1" t="s">
        <v>244</v>
      </c>
      <c r="N281" s="1" t="s">
        <v>377</v>
      </c>
    </row>
    <row r="282" customFormat="false" ht="12" hidden="false" customHeight="false" outlineLevel="0" collapsed="false">
      <c r="A282" s="1" t="n">
        <v>103</v>
      </c>
      <c r="B282" s="1" t="n">
        <v>24008</v>
      </c>
      <c r="C282" s="1" t="s">
        <v>247</v>
      </c>
      <c r="D282" s="1" t="n">
        <v>3</v>
      </c>
      <c r="E282" s="1" t="n">
        <v>8</v>
      </c>
      <c r="F282" s="1" t="s">
        <v>24</v>
      </c>
      <c r="H282" s="1" t="s">
        <v>244</v>
      </c>
      <c r="I282" s="1" t="s">
        <v>244</v>
      </c>
      <c r="N282" s="1" t="s">
        <v>377</v>
      </c>
    </row>
    <row r="283" customFormat="false" ht="12" hidden="false" customHeight="false" outlineLevel="0" collapsed="false">
      <c r="A283" s="1" t="n">
        <v>103</v>
      </c>
      <c r="B283" s="1" t="n">
        <v>24008</v>
      </c>
      <c r="C283" s="1" t="s">
        <v>247</v>
      </c>
      <c r="D283" s="1" t="n">
        <v>3</v>
      </c>
      <c r="E283" s="1" t="n">
        <v>9</v>
      </c>
      <c r="F283" s="1" t="s">
        <v>28</v>
      </c>
      <c r="H283" s="1" t="s">
        <v>244</v>
      </c>
      <c r="I283" s="1" t="s">
        <v>244</v>
      </c>
      <c r="N283" s="1" t="s">
        <v>377</v>
      </c>
    </row>
    <row r="284" customFormat="false" ht="12" hidden="false" customHeight="false" outlineLevel="0" collapsed="false">
      <c r="A284" s="1" t="n">
        <v>104</v>
      </c>
      <c r="B284" s="1" t="n">
        <v>24013</v>
      </c>
      <c r="C284" s="1" t="s">
        <v>248</v>
      </c>
      <c r="D284" s="1" t="n">
        <v>3</v>
      </c>
      <c r="E284" s="1" t="n">
        <v>1</v>
      </c>
      <c r="F284" s="1" t="s">
        <v>8</v>
      </c>
      <c r="H284" s="1" t="s">
        <v>244</v>
      </c>
      <c r="I284" s="1" t="s">
        <v>244</v>
      </c>
      <c r="N284" s="1" t="s">
        <v>377</v>
      </c>
    </row>
    <row r="285" customFormat="false" ht="12" hidden="false" customHeight="false" outlineLevel="0" collapsed="false">
      <c r="A285" s="1" t="n">
        <v>104</v>
      </c>
      <c r="B285" s="1" t="n">
        <v>24013</v>
      </c>
      <c r="C285" s="1" t="s">
        <v>248</v>
      </c>
      <c r="D285" s="1" t="n">
        <v>3</v>
      </c>
      <c r="E285" s="1" t="n">
        <v>3</v>
      </c>
      <c r="F285" s="1" t="s">
        <v>12</v>
      </c>
      <c r="H285" s="1" t="s">
        <v>244</v>
      </c>
      <c r="I285" s="1" t="s">
        <v>244</v>
      </c>
      <c r="N285" s="1" t="s">
        <v>377</v>
      </c>
    </row>
    <row r="286" customFormat="false" ht="12" hidden="false" customHeight="false" outlineLevel="0" collapsed="false">
      <c r="A286" s="1" t="n">
        <v>104</v>
      </c>
      <c r="B286" s="1" t="n">
        <v>24013</v>
      </c>
      <c r="C286" s="1" t="s">
        <v>248</v>
      </c>
      <c r="D286" s="1" t="n">
        <v>3</v>
      </c>
      <c r="E286" s="1" t="n">
        <v>8</v>
      </c>
      <c r="F286" s="1" t="s">
        <v>24</v>
      </c>
      <c r="H286" s="1" t="s">
        <v>244</v>
      </c>
      <c r="I286" s="1" t="s">
        <v>244</v>
      </c>
      <c r="N286" s="1" t="s">
        <v>377</v>
      </c>
    </row>
    <row r="287" customFormat="false" ht="12" hidden="false" customHeight="false" outlineLevel="0" collapsed="false">
      <c r="A287" s="1" t="n">
        <v>104</v>
      </c>
      <c r="B287" s="1" t="n">
        <v>24013</v>
      </c>
      <c r="C287" s="1" t="s">
        <v>248</v>
      </c>
      <c r="D287" s="1" t="n">
        <v>3</v>
      </c>
      <c r="E287" s="1" t="n">
        <v>9</v>
      </c>
      <c r="F287" s="1" t="s">
        <v>28</v>
      </c>
      <c r="H287" s="1" t="s">
        <v>244</v>
      </c>
      <c r="I287" s="1" t="s">
        <v>244</v>
      </c>
      <c r="N287" s="1" t="s">
        <v>377</v>
      </c>
    </row>
    <row r="288" customFormat="false" ht="12" hidden="false" customHeight="false" outlineLevel="0" collapsed="false">
      <c r="A288" s="1" t="n">
        <v>105</v>
      </c>
      <c r="B288" s="1" t="n">
        <v>24009</v>
      </c>
      <c r="C288" s="1" t="s">
        <v>249</v>
      </c>
      <c r="D288" s="1" t="n">
        <v>3</v>
      </c>
      <c r="E288" s="1" t="n">
        <v>1</v>
      </c>
      <c r="F288" s="1" t="s">
        <v>8</v>
      </c>
      <c r="H288" s="1" t="s">
        <v>244</v>
      </c>
      <c r="I288" s="1" t="s">
        <v>244</v>
      </c>
      <c r="N288" s="1" t="s">
        <v>377</v>
      </c>
    </row>
    <row r="289" customFormat="false" ht="12" hidden="false" customHeight="false" outlineLevel="0" collapsed="false">
      <c r="A289" s="1" t="n">
        <v>105</v>
      </c>
      <c r="B289" s="1" t="n">
        <v>24009</v>
      </c>
      <c r="C289" s="1" t="s">
        <v>249</v>
      </c>
      <c r="D289" s="1" t="n">
        <v>3</v>
      </c>
      <c r="E289" s="1" t="n">
        <v>3</v>
      </c>
      <c r="F289" s="1" t="s">
        <v>12</v>
      </c>
      <c r="H289" s="1" t="s">
        <v>244</v>
      </c>
      <c r="I289" s="1" t="s">
        <v>244</v>
      </c>
      <c r="N289" s="1" t="s">
        <v>377</v>
      </c>
    </row>
    <row r="290" customFormat="false" ht="12" hidden="false" customHeight="false" outlineLevel="0" collapsed="false">
      <c r="A290" s="1" t="n">
        <v>105</v>
      </c>
      <c r="B290" s="1" t="n">
        <v>24009</v>
      </c>
      <c r="C290" s="1" t="s">
        <v>249</v>
      </c>
      <c r="D290" s="1" t="n">
        <v>3</v>
      </c>
      <c r="E290" s="1" t="n">
        <v>8</v>
      </c>
      <c r="F290" s="1" t="s">
        <v>24</v>
      </c>
      <c r="H290" s="1" t="s">
        <v>244</v>
      </c>
      <c r="I290" s="1" t="s">
        <v>244</v>
      </c>
      <c r="N290" s="1" t="s">
        <v>377</v>
      </c>
    </row>
    <row r="291" customFormat="false" ht="12" hidden="false" customHeight="false" outlineLevel="0" collapsed="false">
      <c r="A291" s="1" t="n">
        <v>105</v>
      </c>
      <c r="B291" s="1" t="n">
        <v>24009</v>
      </c>
      <c r="C291" s="1" t="s">
        <v>249</v>
      </c>
      <c r="D291" s="1" t="n">
        <v>3</v>
      </c>
      <c r="E291" s="1" t="n">
        <v>9</v>
      </c>
      <c r="F291" s="1" t="s">
        <v>28</v>
      </c>
      <c r="H291" s="1" t="s">
        <v>244</v>
      </c>
      <c r="I291" s="1" t="s">
        <v>244</v>
      </c>
      <c r="N291" s="1" t="s">
        <v>377</v>
      </c>
    </row>
    <row r="292" customFormat="false" ht="12" hidden="false" customHeight="false" outlineLevel="0" collapsed="false">
      <c r="A292" s="1" t="n">
        <v>106</v>
      </c>
      <c r="B292" s="1" t="n">
        <v>24002</v>
      </c>
      <c r="C292" s="1" t="s">
        <v>250</v>
      </c>
      <c r="D292" s="1" t="n">
        <v>3</v>
      </c>
      <c r="E292" s="1" t="n">
        <v>1</v>
      </c>
      <c r="F292" s="1" t="s">
        <v>8</v>
      </c>
      <c r="H292" s="1" t="s">
        <v>244</v>
      </c>
      <c r="I292" s="1" t="s">
        <v>244</v>
      </c>
      <c r="N292" s="1" t="s">
        <v>377</v>
      </c>
    </row>
    <row r="293" customFormat="false" ht="12" hidden="false" customHeight="false" outlineLevel="0" collapsed="false">
      <c r="A293" s="1" t="n">
        <v>106</v>
      </c>
      <c r="B293" s="1" t="n">
        <v>24002</v>
      </c>
      <c r="C293" s="1" t="s">
        <v>250</v>
      </c>
      <c r="D293" s="1" t="n">
        <v>3</v>
      </c>
      <c r="E293" s="1" t="n">
        <v>3</v>
      </c>
      <c r="F293" s="1" t="s">
        <v>12</v>
      </c>
      <c r="H293" s="1" t="s">
        <v>244</v>
      </c>
      <c r="I293" s="1" t="s">
        <v>244</v>
      </c>
      <c r="N293" s="1" t="s">
        <v>377</v>
      </c>
    </row>
    <row r="294" customFormat="false" ht="12" hidden="false" customHeight="false" outlineLevel="0" collapsed="false">
      <c r="A294" s="1" t="n">
        <v>106</v>
      </c>
      <c r="B294" s="1" t="n">
        <v>24002</v>
      </c>
      <c r="C294" s="1" t="s">
        <v>250</v>
      </c>
      <c r="D294" s="1" t="n">
        <v>3</v>
      </c>
      <c r="E294" s="1" t="n">
        <v>9</v>
      </c>
      <c r="F294" s="1" t="s">
        <v>28</v>
      </c>
      <c r="H294" s="1" t="s">
        <v>244</v>
      </c>
      <c r="I294" s="1" t="s">
        <v>244</v>
      </c>
      <c r="N294" s="1" t="s">
        <v>377</v>
      </c>
    </row>
    <row r="295" customFormat="false" ht="12" hidden="false" customHeight="false" outlineLevel="0" collapsed="false">
      <c r="A295" s="1" t="n">
        <v>107</v>
      </c>
      <c r="B295" s="1" t="n">
        <v>24011</v>
      </c>
      <c r="C295" s="1" t="s">
        <v>251</v>
      </c>
      <c r="D295" s="1" t="n">
        <v>3</v>
      </c>
      <c r="E295" s="1" t="n">
        <v>1</v>
      </c>
      <c r="F295" s="1" t="s">
        <v>8</v>
      </c>
      <c r="H295" s="1" t="s">
        <v>244</v>
      </c>
      <c r="I295" s="1" t="s">
        <v>244</v>
      </c>
      <c r="N295" s="1" t="s">
        <v>377</v>
      </c>
    </row>
    <row r="296" customFormat="false" ht="12" hidden="false" customHeight="false" outlineLevel="0" collapsed="false">
      <c r="A296" s="1" t="n">
        <v>107</v>
      </c>
      <c r="B296" s="1" t="n">
        <v>24011</v>
      </c>
      <c r="C296" s="1" t="s">
        <v>251</v>
      </c>
      <c r="D296" s="1" t="n">
        <v>3</v>
      </c>
      <c r="E296" s="1" t="n">
        <v>3</v>
      </c>
      <c r="F296" s="1" t="s">
        <v>12</v>
      </c>
      <c r="H296" s="1" t="s">
        <v>244</v>
      </c>
      <c r="I296" s="1" t="s">
        <v>244</v>
      </c>
      <c r="N296" s="1" t="s">
        <v>377</v>
      </c>
    </row>
    <row r="297" customFormat="false" ht="12" hidden="false" customHeight="false" outlineLevel="0" collapsed="false">
      <c r="A297" s="1" t="n">
        <v>107</v>
      </c>
      <c r="B297" s="1" t="n">
        <v>24011</v>
      </c>
      <c r="C297" s="1" t="s">
        <v>251</v>
      </c>
      <c r="D297" s="1" t="n">
        <v>3</v>
      </c>
      <c r="E297" s="1" t="n">
        <v>9</v>
      </c>
      <c r="F297" s="1" t="s">
        <v>28</v>
      </c>
      <c r="H297" s="1" t="s">
        <v>244</v>
      </c>
      <c r="I297" s="1" t="s">
        <v>244</v>
      </c>
      <c r="N297" s="1" t="s">
        <v>377</v>
      </c>
    </row>
    <row r="298" customFormat="false" ht="12" hidden="false" customHeight="false" outlineLevel="0" collapsed="false">
      <c r="A298" s="1" t="n">
        <v>108</v>
      </c>
      <c r="B298" s="1" t="n">
        <v>24001</v>
      </c>
      <c r="C298" s="1" t="s">
        <v>252</v>
      </c>
      <c r="D298" s="1" t="n">
        <v>3</v>
      </c>
      <c r="E298" s="1" t="n">
        <v>1</v>
      </c>
      <c r="F298" s="1" t="s">
        <v>8</v>
      </c>
      <c r="H298" s="1" t="s">
        <v>244</v>
      </c>
      <c r="I298" s="1" t="s">
        <v>244</v>
      </c>
      <c r="N298" s="1" t="s">
        <v>377</v>
      </c>
    </row>
    <row r="299" customFormat="false" ht="12" hidden="false" customHeight="false" outlineLevel="0" collapsed="false">
      <c r="A299" s="1" t="n">
        <v>108</v>
      </c>
      <c r="B299" s="1" t="n">
        <v>24001</v>
      </c>
      <c r="C299" s="1" t="s">
        <v>252</v>
      </c>
      <c r="D299" s="1" t="n">
        <v>3</v>
      </c>
      <c r="E299" s="1" t="n">
        <v>3</v>
      </c>
      <c r="F299" s="1" t="s">
        <v>12</v>
      </c>
      <c r="H299" s="1" t="s">
        <v>244</v>
      </c>
      <c r="I299" s="1" t="s">
        <v>244</v>
      </c>
      <c r="N299" s="1" t="s">
        <v>377</v>
      </c>
    </row>
    <row r="300" customFormat="false" ht="12" hidden="false" customHeight="false" outlineLevel="0" collapsed="false">
      <c r="A300" s="1" t="n">
        <v>108</v>
      </c>
      <c r="B300" s="1" t="n">
        <v>24001</v>
      </c>
      <c r="C300" s="1" t="s">
        <v>252</v>
      </c>
      <c r="D300" s="1" t="n">
        <v>3</v>
      </c>
      <c r="E300" s="1" t="n">
        <v>9</v>
      </c>
      <c r="F300" s="1" t="s">
        <v>28</v>
      </c>
      <c r="H300" s="1" t="s">
        <v>244</v>
      </c>
      <c r="I300" s="1" t="s">
        <v>244</v>
      </c>
      <c r="N300" s="1" t="s">
        <v>377</v>
      </c>
    </row>
    <row r="301" customFormat="false" ht="12" hidden="false" customHeight="false" outlineLevel="0" collapsed="false">
      <c r="A301" s="1" t="n">
        <v>109</v>
      </c>
      <c r="B301" s="1" t="n">
        <v>24005</v>
      </c>
      <c r="C301" s="1" t="s">
        <v>253</v>
      </c>
      <c r="D301" s="1" t="n">
        <v>3</v>
      </c>
      <c r="E301" s="1" t="n">
        <v>1</v>
      </c>
      <c r="F301" s="1" t="s">
        <v>8</v>
      </c>
      <c r="H301" s="1" t="s">
        <v>244</v>
      </c>
      <c r="I301" s="1" t="s">
        <v>244</v>
      </c>
      <c r="N301" s="1" t="s">
        <v>377</v>
      </c>
    </row>
    <row r="302" customFormat="false" ht="12" hidden="false" customHeight="false" outlineLevel="0" collapsed="false">
      <c r="A302" s="1" t="n">
        <v>109</v>
      </c>
      <c r="B302" s="1" t="n">
        <v>24005</v>
      </c>
      <c r="C302" s="1" t="s">
        <v>253</v>
      </c>
      <c r="D302" s="1" t="n">
        <v>3</v>
      </c>
      <c r="E302" s="1" t="n">
        <v>3</v>
      </c>
      <c r="F302" s="1" t="s">
        <v>12</v>
      </c>
      <c r="H302" s="1" t="s">
        <v>244</v>
      </c>
      <c r="I302" s="1" t="s">
        <v>244</v>
      </c>
      <c r="N302" s="1" t="s">
        <v>377</v>
      </c>
    </row>
    <row r="303" customFormat="false" ht="12" hidden="false" customHeight="false" outlineLevel="0" collapsed="false">
      <c r="A303" s="1" t="n">
        <v>109</v>
      </c>
      <c r="B303" s="1" t="n">
        <v>24005</v>
      </c>
      <c r="C303" s="1" t="s">
        <v>253</v>
      </c>
      <c r="D303" s="1" t="n">
        <v>3</v>
      </c>
      <c r="E303" s="1" t="n">
        <v>9</v>
      </c>
      <c r="F303" s="1" t="s">
        <v>28</v>
      </c>
      <c r="H303" s="1" t="s">
        <v>244</v>
      </c>
      <c r="I303" s="1" t="s">
        <v>244</v>
      </c>
      <c r="N303" s="1" t="s">
        <v>377</v>
      </c>
    </row>
    <row r="304" customFormat="false" ht="12" hidden="false" customHeight="false" outlineLevel="0" collapsed="false">
      <c r="A304" s="1" t="n">
        <v>110</v>
      </c>
      <c r="C304" s="1" t="s">
        <v>254</v>
      </c>
      <c r="D304" s="1" t="n">
        <v>3</v>
      </c>
      <c r="E304" s="1" t="n">
        <v>1</v>
      </c>
      <c r="F304" s="1" t="s">
        <v>8</v>
      </c>
      <c r="H304" s="1" t="s">
        <v>255</v>
      </c>
      <c r="I304" s="1" t="s">
        <v>255</v>
      </c>
      <c r="N304" s="1" t="s">
        <v>376</v>
      </c>
    </row>
    <row r="305" customFormat="false" ht="12" hidden="false" customHeight="false" outlineLevel="0" collapsed="false">
      <c r="A305" s="1" t="n">
        <v>110</v>
      </c>
      <c r="C305" s="1" t="s">
        <v>254</v>
      </c>
      <c r="D305" s="1" t="n">
        <v>3</v>
      </c>
      <c r="E305" s="1" t="n">
        <v>8</v>
      </c>
      <c r="F305" s="1" t="s">
        <v>24</v>
      </c>
      <c r="H305" s="1" t="s">
        <v>255</v>
      </c>
      <c r="I305" s="1" t="s">
        <v>255</v>
      </c>
      <c r="N305" s="1" t="s">
        <v>376</v>
      </c>
    </row>
    <row r="306" customFormat="false" ht="12" hidden="false" customHeight="false" outlineLevel="0" collapsed="false">
      <c r="A306" s="1" t="n">
        <v>110</v>
      </c>
      <c r="C306" s="1" t="s">
        <v>254</v>
      </c>
      <c r="D306" s="1" t="n">
        <v>3</v>
      </c>
      <c r="E306" s="1" t="n">
        <v>9</v>
      </c>
      <c r="F306" s="1" t="s">
        <v>28</v>
      </c>
      <c r="H306" s="1" t="s">
        <v>255</v>
      </c>
      <c r="I306" s="1" t="s">
        <v>255</v>
      </c>
      <c r="N306" s="1" t="s">
        <v>376</v>
      </c>
    </row>
    <row r="307" customFormat="false" ht="12" hidden="false" customHeight="false" outlineLevel="0" collapsed="false">
      <c r="A307" s="1" t="n">
        <v>111</v>
      </c>
      <c r="C307" s="1" t="s">
        <v>257</v>
      </c>
      <c r="D307" s="1" t="n">
        <v>3</v>
      </c>
      <c r="E307" s="1" t="n">
        <v>1</v>
      </c>
      <c r="F307" s="1" t="s">
        <v>8</v>
      </c>
      <c r="H307" s="1" t="s">
        <v>255</v>
      </c>
      <c r="I307" s="1" t="s">
        <v>255</v>
      </c>
      <c r="N307" s="1" t="s">
        <v>376</v>
      </c>
    </row>
    <row r="308" customFormat="false" ht="12" hidden="false" customHeight="false" outlineLevel="0" collapsed="false">
      <c r="A308" s="1" t="n">
        <v>111</v>
      </c>
      <c r="C308" s="1" t="s">
        <v>257</v>
      </c>
      <c r="D308" s="1" t="n">
        <v>3</v>
      </c>
      <c r="E308" s="1" t="n">
        <v>8</v>
      </c>
      <c r="F308" s="1" t="s">
        <v>24</v>
      </c>
      <c r="H308" s="1" t="s">
        <v>255</v>
      </c>
      <c r="I308" s="1" t="s">
        <v>255</v>
      </c>
      <c r="N308" s="1" t="s">
        <v>376</v>
      </c>
    </row>
    <row r="309" customFormat="false" ht="12" hidden="false" customHeight="false" outlineLevel="0" collapsed="false">
      <c r="A309" s="1" t="n">
        <v>111</v>
      </c>
      <c r="C309" s="1" t="s">
        <v>257</v>
      </c>
      <c r="D309" s="1" t="n">
        <v>3</v>
      </c>
      <c r="E309" s="1" t="n">
        <v>9</v>
      </c>
      <c r="F309" s="1" t="s">
        <v>28</v>
      </c>
      <c r="H309" s="1" t="s">
        <v>255</v>
      </c>
      <c r="I309" s="1" t="s">
        <v>255</v>
      </c>
      <c r="N309" s="1" t="s">
        <v>376</v>
      </c>
    </row>
    <row r="310" customFormat="false" ht="12" hidden="false" customHeight="false" outlineLevel="0" collapsed="false">
      <c r="A310" s="1" t="n">
        <v>112</v>
      </c>
      <c r="C310" s="1" t="s">
        <v>258</v>
      </c>
      <c r="D310" s="1" t="n">
        <v>3</v>
      </c>
      <c r="E310" s="1" t="n">
        <v>1</v>
      </c>
      <c r="F310" s="1" t="s">
        <v>8</v>
      </c>
      <c r="H310" s="1" t="s">
        <v>255</v>
      </c>
      <c r="I310" s="1" t="s">
        <v>255</v>
      </c>
      <c r="N310" s="1" t="s">
        <v>376</v>
      </c>
    </row>
    <row r="311" customFormat="false" ht="12" hidden="false" customHeight="false" outlineLevel="0" collapsed="false">
      <c r="A311" s="1" t="n">
        <v>112</v>
      </c>
      <c r="C311" s="1" t="s">
        <v>258</v>
      </c>
      <c r="D311" s="1" t="n">
        <v>3</v>
      </c>
      <c r="E311" s="1" t="n">
        <v>3</v>
      </c>
      <c r="F311" s="1" t="s">
        <v>12</v>
      </c>
      <c r="H311" s="1" t="s">
        <v>255</v>
      </c>
      <c r="I311" s="1" t="s">
        <v>255</v>
      </c>
      <c r="N311" s="1" t="s">
        <v>376</v>
      </c>
    </row>
    <row r="312" customFormat="false" ht="12" hidden="false" customHeight="false" outlineLevel="0" collapsed="false">
      <c r="A312" s="1" t="n">
        <v>112</v>
      </c>
      <c r="C312" s="1" t="s">
        <v>258</v>
      </c>
      <c r="D312" s="1" t="n">
        <v>3</v>
      </c>
      <c r="E312" s="1" t="n">
        <v>9</v>
      </c>
      <c r="F312" s="1" t="s">
        <v>28</v>
      </c>
      <c r="H312" s="1" t="s">
        <v>255</v>
      </c>
      <c r="I312" s="1" t="s">
        <v>255</v>
      </c>
      <c r="N312" s="1" t="s">
        <v>376</v>
      </c>
    </row>
    <row r="313" customFormat="false" ht="12" hidden="false" customHeight="false" outlineLevel="0" collapsed="false">
      <c r="A313" s="1" t="n">
        <v>113</v>
      </c>
      <c r="C313" s="1" t="s">
        <v>259</v>
      </c>
      <c r="D313" s="1" t="n">
        <v>3</v>
      </c>
      <c r="E313" s="1" t="n">
        <v>1</v>
      </c>
      <c r="F313" s="1" t="s">
        <v>8</v>
      </c>
      <c r="H313" s="1" t="s">
        <v>255</v>
      </c>
      <c r="I313" s="1" t="s">
        <v>255</v>
      </c>
      <c r="N313" s="1" t="s">
        <v>376</v>
      </c>
    </row>
    <row r="314" customFormat="false" ht="12" hidden="false" customHeight="false" outlineLevel="0" collapsed="false">
      <c r="A314" s="1" t="n">
        <v>113</v>
      </c>
      <c r="C314" s="1" t="s">
        <v>259</v>
      </c>
      <c r="D314" s="1" t="n">
        <v>3</v>
      </c>
      <c r="E314" s="1" t="n">
        <v>8</v>
      </c>
      <c r="F314" s="1" t="s">
        <v>24</v>
      </c>
      <c r="H314" s="1" t="s">
        <v>255</v>
      </c>
      <c r="I314" s="1" t="s">
        <v>255</v>
      </c>
      <c r="N314" s="1" t="s">
        <v>376</v>
      </c>
    </row>
    <row r="315" customFormat="false" ht="12" hidden="false" customHeight="false" outlineLevel="0" collapsed="false">
      <c r="A315" s="1" t="n">
        <v>113</v>
      </c>
      <c r="C315" s="1" t="s">
        <v>259</v>
      </c>
      <c r="D315" s="1" t="n">
        <v>3</v>
      </c>
      <c r="E315" s="1" t="n">
        <v>9</v>
      </c>
      <c r="F315" s="1" t="s">
        <v>28</v>
      </c>
      <c r="H315" s="1" t="s">
        <v>255</v>
      </c>
      <c r="I315" s="1" t="s">
        <v>255</v>
      </c>
      <c r="N315" s="1" t="s">
        <v>376</v>
      </c>
    </row>
    <row r="316" customFormat="false" ht="12" hidden="false" customHeight="false" outlineLevel="0" collapsed="false">
      <c r="A316" s="1" t="n">
        <v>114</v>
      </c>
      <c r="C316" s="1" t="s">
        <v>260</v>
      </c>
      <c r="D316" s="1" t="n">
        <v>3</v>
      </c>
      <c r="E316" s="1" t="n">
        <v>1</v>
      </c>
      <c r="F316" s="1" t="s">
        <v>8</v>
      </c>
      <c r="H316" s="1" t="s">
        <v>255</v>
      </c>
      <c r="I316" s="1" t="s">
        <v>255</v>
      </c>
      <c r="N316" s="1" t="s">
        <v>376</v>
      </c>
    </row>
    <row r="317" customFormat="false" ht="12" hidden="false" customHeight="false" outlineLevel="0" collapsed="false">
      <c r="A317" s="1" t="n">
        <v>114</v>
      </c>
      <c r="C317" s="1" t="s">
        <v>260</v>
      </c>
      <c r="D317" s="1" t="n">
        <v>3</v>
      </c>
      <c r="E317" s="1" t="n">
        <v>8</v>
      </c>
      <c r="F317" s="1" t="s">
        <v>24</v>
      </c>
      <c r="H317" s="1" t="s">
        <v>255</v>
      </c>
      <c r="I317" s="1" t="s">
        <v>255</v>
      </c>
      <c r="N317" s="1" t="s">
        <v>376</v>
      </c>
    </row>
    <row r="318" customFormat="false" ht="12" hidden="false" customHeight="false" outlineLevel="0" collapsed="false">
      <c r="A318" s="1" t="n">
        <v>114</v>
      </c>
      <c r="C318" s="1" t="s">
        <v>260</v>
      </c>
      <c r="D318" s="1" t="n">
        <v>3</v>
      </c>
      <c r="E318" s="1" t="n">
        <v>9</v>
      </c>
      <c r="F318" s="1" t="s">
        <v>28</v>
      </c>
      <c r="H318" s="1" t="s">
        <v>255</v>
      </c>
      <c r="I318" s="1" t="s">
        <v>255</v>
      </c>
      <c r="N318" s="1" t="s">
        <v>376</v>
      </c>
    </row>
    <row r="319" customFormat="false" ht="12" hidden="false" customHeight="false" outlineLevel="0" collapsed="false">
      <c r="A319" s="1" t="n">
        <v>115</v>
      </c>
      <c r="C319" s="1" t="s">
        <v>261</v>
      </c>
      <c r="D319" s="1" t="n">
        <v>3</v>
      </c>
      <c r="E319" s="1" t="n">
        <v>1</v>
      </c>
      <c r="F319" s="1" t="s">
        <v>8</v>
      </c>
      <c r="H319" s="1" t="s">
        <v>255</v>
      </c>
      <c r="I319" s="1" t="s">
        <v>255</v>
      </c>
      <c r="N319" s="1" t="s">
        <v>376</v>
      </c>
    </row>
    <row r="320" customFormat="false" ht="12" hidden="false" customHeight="false" outlineLevel="0" collapsed="false">
      <c r="A320" s="1" t="n">
        <v>115</v>
      </c>
      <c r="C320" s="1" t="s">
        <v>261</v>
      </c>
      <c r="D320" s="1" t="n">
        <v>3</v>
      </c>
      <c r="E320" s="1" t="n">
        <v>8</v>
      </c>
      <c r="F320" s="1" t="s">
        <v>24</v>
      </c>
      <c r="H320" s="1" t="s">
        <v>255</v>
      </c>
      <c r="I320" s="1" t="s">
        <v>255</v>
      </c>
      <c r="N320" s="1" t="s">
        <v>376</v>
      </c>
    </row>
    <row r="321" customFormat="false" ht="12" hidden="false" customHeight="false" outlineLevel="0" collapsed="false">
      <c r="A321" s="1" t="n">
        <v>115</v>
      </c>
      <c r="C321" s="1" t="s">
        <v>261</v>
      </c>
      <c r="D321" s="1" t="n">
        <v>3</v>
      </c>
      <c r="E321" s="1" t="n">
        <v>9</v>
      </c>
      <c r="F321" s="1" t="s">
        <v>28</v>
      </c>
      <c r="H321" s="1" t="s">
        <v>255</v>
      </c>
      <c r="I321" s="1" t="s">
        <v>255</v>
      </c>
      <c r="N321" s="1" t="s">
        <v>376</v>
      </c>
    </row>
    <row r="322" customFormat="false" ht="12" hidden="false" customHeight="false" outlineLevel="0" collapsed="false">
      <c r="A322" s="1" t="n">
        <v>116</v>
      </c>
      <c r="C322" s="1" t="s">
        <v>262</v>
      </c>
      <c r="D322" s="1" t="n">
        <v>3</v>
      </c>
      <c r="E322" s="1" t="n">
        <v>1</v>
      </c>
      <c r="F322" s="1" t="s">
        <v>8</v>
      </c>
      <c r="H322" s="1" t="s">
        <v>255</v>
      </c>
      <c r="I322" s="1" t="s">
        <v>255</v>
      </c>
      <c r="N322" s="1" t="s">
        <v>376</v>
      </c>
    </row>
    <row r="323" customFormat="false" ht="12" hidden="false" customHeight="false" outlineLevel="0" collapsed="false">
      <c r="A323" s="1" t="n">
        <v>116</v>
      </c>
      <c r="C323" s="1" t="s">
        <v>262</v>
      </c>
      <c r="D323" s="1" t="n">
        <v>3</v>
      </c>
      <c r="E323" s="1" t="n">
        <v>8</v>
      </c>
      <c r="F323" s="1" t="s">
        <v>24</v>
      </c>
      <c r="H323" s="1" t="s">
        <v>255</v>
      </c>
      <c r="I323" s="1" t="s">
        <v>255</v>
      </c>
      <c r="N323" s="1" t="s">
        <v>376</v>
      </c>
    </row>
    <row r="324" customFormat="false" ht="12" hidden="false" customHeight="false" outlineLevel="0" collapsed="false">
      <c r="A324" s="1" t="n">
        <v>116</v>
      </c>
      <c r="C324" s="1" t="s">
        <v>262</v>
      </c>
      <c r="D324" s="1" t="n">
        <v>3</v>
      </c>
      <c r="E324" s="1" t="n">
        <v>9</v>
      </c>
      <c r="F324" s="1" t="s">
        <v>28</v>
      </c>
      <c r="H324" s="1" t="s">
        <v>255</v>
      </c>
      <c r="I324" s="1" t="s">
        <v>255</v>
      </c>
      <c r="N324" s="1" t="s">
        <v>376</v>
      </c>
    </row>
    <row r="325" customFormat="false" ht="12" hidden="false" customHeight="false" outlineLevel="0" collapsed="false">
      <c r="A325" s="1" t="n">
        <v>117</v>
      </c>
      <c r="C325" s="1" t="s">
        <v>263</v>
      </c>
      <c r="D325" s="1" t="n">
        <v>3</v>
      </c>
      <c r="E325" s="1" t="n">
        <v>1</v>
      </c>
      <c r="F325" s="1" t="s">
        <v>8</v>
      </c>
      <c r="H325" s="1" t="s">
        <v>255</v>
      </c>
      <c r="I325" s="1" t="s">
        <v>255</v>
      </c>
      <c r="N325" s="1" t="s">
        <v>376</v>
      </c>
    </row>
    <row r="326" customFormat="false" ht="12" hidden="false" customHeight="false" outlineLevel="0" collapsed="false">
      <c r="A326" s="1" t="n">
        <v>117</v>
      </c>
      <c r="C326" s="1" t="s">
        <v>263</v>
      </c>
      <c r="D326" s="1" t="n">
        <v>3</v>
      </c>
      <c r="E326" s="1" t="n">
        <v>8</v>
      </c>
      <c r="F326" s="1" t="s">
        <v>24</v>
      </c>
      <c r="H326" s="1" t="s">
        <v>255</v>
      </c>
      <c r="I326" s="1" t="s">
        <v>255</v>
      </c>
      <c r="N326" s="1" t="s">
        <v>376</v>
      </c>
    </row>
    <row r="327" customFormat="false" ht="12" hidden="false" customHeight="false" outlineLevel="0" collapsed="false">
      <c r="A327" s="1" t="n">
        <v>117</v>
      </c>
      <c r="C327" s="1" t="s">
        <v>263</v>
      </c>
      <c r="D327" s="1" t="n">
        <v>3</v>
      </c>
      <c r="E327" s="1" t="n">
        <v>9</v>
      </c>
      <c r="F327" s="1" t="s">
        <v>28</v>
      </c>
      <c r="H327" s="1" t="s">
        <v>255</v>
      </c>
      <c r="I327" s="1" t="s">
        <v>255</v>
      </c>
      <c r="N327" s="1" t="s">
        <v>376</v>
      </c>
    </row>
    <row r="328" customFormat="false" ht="12" hidden="false" customHeight="false" outlineLevel="0" collapsed="false">
      <c r="A328" s="1" t="n">
        <v>118</v>
      </c>
      <c r="C328" s="1" t="s">
        <v>264</v>
      </c>
      <c r="D328" s="1" t="n">
        <v>1</v>
      </c>
      <c r="E328" s="1" t="n">
        <v>1</v>
      </c>
      <c r="F328" s="1" t="s">
        <v>8</v>
      </c>
      <c r="H328" s="1" t="s">
        <v>265</v>
      </c>
      <c r="I328" s="1" t="s">
        <v>265</v>
      </c>
      <c r="N328" s="1" t="s">
        <v>376</v>
      </c>
    </row>
    <row r="329" customFormat="false" ht="12" hidden="false" customHeight="false" outlineLevel="0" collapsed="false">
      <c r="A329" s="1" t="n">
        <v>118</v>
      </c>
      <c r="C329" s="1" t="s">
        <v>264</v>
      </c>
      <c r="D329" s="1" t="n">
        <v>1</v>
      </c>
      <c r="E329" s="1" t="n">
        <v>8</v>
      </c>
      <c r="F329" s="1" t="s">
        <v>24</v>
      </c>
      <c r="H329" s="1" t="s">
        <v>265</v>
      </c>
      <c r="I329" s="1" t="s">
        <v>265</v>
      </c>
      <c r="N329" s="1" t="s">
        <v>376</v>
      </c>
    </row>
    <row r="330" customFormat="false" ht="12" hidden="false" customHeight="false" outlineLevel="0" collapsed="false">
      <c r="A330" s="1" t="n">
        <v>118</v>
      </c>
      <c r="C330" s="1" t="s">
        <v>264</v>
      </c>
      <c r="D330" s="1" t="n">
        <v>1</v>
      </c>
      <c r="E330" s="1" t="n">
        <v>9</v>
      </c>
      <c r="F330" s="1" t="s">
        <v>28</v>
      </c>
      <c r="H330" s="1" t="s">
        <v>265</v>
      </c>
      <c r="I330" s="1" t="s">
        <v>265</v>
      </c>
      <c r="N330" s="1" t="s">
        <v>376</v>
      </c>
    </row>
    <row r="331" customFormat="false" ht="12" hidden="false" customHeight="false" outlineLevel="0" collapsed="false">
      <c r="A331" s="1" t="n">
        <v>119</v>
      </c>
      <c r="C331" s="1" t="s">
        <v>267</v>
      </c>
      <c r="D331" s="1" t="n">
        <v>1</v>
      </c>
      <c r="E331" s="1" t="n">
        <v>1</v>
      </c>
      <c r="F331" s="1" t="s">
        <v>8</v>
      </c>
      <c r="H331" s="1" t="s">
        <v>265</v>
      </c>
      <c r="I331" s="1" t="s">
        <v>265</v>
      </c>
      <c r="N331" s="1" t="s">
        <v>376</v>
      </c>
    </row>
    <row r="332" customFormat="false" ht="12" hidden="false" customHeight="false" outlineLevel="0" collapsed="false">
      <c r="A332" s="1" t="n">
        <v>119</v>
      </c>
      <c r="C332" s="1" t="s">
        <v>267</v>
      </c>
      <c r="D332" s="1" t="n">
        <v>1</v>
      </c>
      <c r="E332" s="1" t="n">
        <v>8</v>
      </c>
      <c r="F332" s="1" t="s">
        <v>24</v>
      </c>
      <c r="H332" s="1" t="s">
        <v>265</v>
      </c>
      <c r="I332" s="1" t="s">
        <v>265</v>
      </c>
      <c r="N332" s="1" t="s">
        <v>376</v>
      </c>
    </row>
    <row r="333" customFormat="false" ht="12" hidden="false" customHeight="false" outlineLevel="0" collapsed="false">
      <c r="A333" s="1" t="n">
        <v>119</v>
      </c>
      <c r="C333" s="1" t="s">
        <v>267</v>
      </c>
      <c r="D333" s="1" t="n">
        <v>1</v>
      </c>
      <c r="E333" s="1" t="n">
        <v>9</v>
      </c>
      <c r="F333" s="1" t="s">
        <v>28</v>
      </c>
      <c r="H333" s="1" t="s">
        <v>265</v>
      </c>
      <c r="I333" s="1" t="s">
        <v>265</v>
      </c>
      <c r="N333" s="1" t="s">
        <v>376</v>
      </c>
    </row>
    <row r="334" customFormat="false" ht="12" hidden="false" customHeight="false" outlineLevel="0" collapsed="false">
      <c r="A334" s="1" t="n">
        <v>120</v>
      </c>
      <c r="C334" s="1" t="s">
        <v>268</v>
      </c>
      <c r="D334" s="1" t="n">
        <v>1</v>
      </c>
      <c r="E334" s="1" t="n">
        <v>1</v>
      </c>
      <c r="F334" s="1" t="s">
        <v>8</v>
      </c>
      <c r="H334" s="1" t="s">
        <v>265</v>
      </c>
      <c r="I334" s="1" t="s">
        <v>265</v>
      </c>
      <c r="N334" s="1" t="s">
        <v>376</v>
      </c>
    </row>
    <row r="335" customFormat="false" ht="12" hidden="false" customHeight="false" outlineLevel="0" collapsed="false">
      <c r="A335" s="1" t="n">
        <v>120</v>
      </c>
      <c r="C335" s="1" t="s">
        <v>268</v>
      </c>
      <c r="D335" s="1" t="n">
        <v>1</v>
      </c>
      <c r="E335" s="1" t="n">
        <v>9</v>
      </c>
      <c r="F335" s="1" t="s">
        <v>28</v>
      </c>
      <c r="H335" s="1" t="s">
        <v>265</v>
      </c>
      <c r="I335" s="1" t="s">
        <v>265</v>
      </c>
      <c r="N335" s="1" t="s">
        <v>376</v>
      </c>
    </row>
    <row r="336" customFormat="false" ht="12" hidden="false" customHeight="false" outlineLevel="0" collapsed="false">
      <c r="A336" s="1" t="n">
        <v>121</v>
      </c>
      <c r="C336" s="1" t="s">
        <v>269</v>
      </c>
      <c r="D336" s="1" t="n">
        <v>1</v>
      </c>
      <c r="E336" s="1" t="n">
        <v>1</v>
      </c>
      <c r="F336" s="1" t="s">
        <v>8</v>
      </c>
      <c r="H336" s="1" t="s">
        <v>270</v>
      </c>
      <c r="I336" s="1" t="s">
        <v>269</v>
      </c>
      <c r="N336" s="1" t="s">
        <v>376</v>
      </c>
    </row>
    <row r="337" customFormat="false" ht="12" hidden="false" customHeight="false" outlineLevel="0" collapsed="false">
      <c r="A337" s="1" t="n">
        <v>121</v>
      </c>
      <c r="C337" s="1" t="s">
        <v>269</v>
      </c>
      <c r="D337" s="1" t="n">
        <v>1</v>
      </c>
      <c r="E337" s="1" t="n">
        <v>8</v>
      </c>
      <c r="F337" s="1" t="s">
        <v>24</v>
      </c>
      <c r="H337" s="1" t="s">
        <v>270</v>
      </c>
      <c r="I337" s="1" t="s">
        <v>269</v>
      </c>
      <c r="N337" s="1" t="s">
        <v>376</v>
      </c>
    </row>
    <row r="338" customFormat="false" ht="12" hidden="false" customHeight="false" outlineLevel="0" collapsed="false">
      <c r="A338" s="1" t="n">
        <v>121</v>
      </c>
      <c r="C338" s="1" t="s">
        <v>269</v>
      </c>
      <c r="D338" s="1" t="n">
        <v>1</v>
      </c>
      <c r="E338" s="1" t="n">
        <v>9</v>
      </c>
      <c r="F338" s="1" t="s">
        <v>28</v>
      </c>
      <c r="H338" s="1" t="s">
        <v>270</v>
      </c>
      <c r="I338" s="1" t="s">
        <v>269</v>
      </c>
      <c r="N338" s="1" t="s">
        <v>376</v>
      </c>
    </row>
    <row r="339" customFormat="false" ht="12" hidden="false" customHeight="false" outlineLevel="0" collapsed="false">
      <c r="A339" s="1" t="n">
        <v>122</v>
      </c>
      <c r="B339" s="1" t="s">
        <v>273</v>
      </c>
      <c r="C339" s="1" t="s">
        <v>274</v>
      </c>
      <c r="D339" s="1" t="n">
        <v>1</v>
      </c>
      <c r="E339" s="1" t="n">
        <v>1</v>
      </c>
      <c r="F339" s="1" t="s">
        <v>8</v>
      </c>
      <c r="H339" s="1" t="s">
        <v>275</v>
      </c>
      <c r="I339" s="1" t="s">
        <v>275</v>
      </c>
      <c r="N339" s="1" t="s">
        <v>376</v>
      </c>
    </row>
    <row r="340" customFormat="false" ht="12" hidden="false" customHeight="false" outlineLevel="0" collapsed="false">
      <c r="A340" s="1" t="n">
        <v>122</v>
      </c>
      <c r="B340" s="1" t="s">
        <v>273</v>
      </c>
      <c r="C340" s="1" t="s">
        <v>274</v>
      </c>
      <c r="D340" s="1" t="n">
        <v>1</v>
      </c>
      <c r="E340" s="1" t="n">
        <v>3</v>
      </c>
      <c r="F340" s="1" t="s">
        <v>12</v>
      </c>
      <c r="H340" s="1" t="s">
        <v>275</v>
      </c>
      <c r="I340" s="1" t="s">
        <v>275</v>
      </c>
      <c r="N340" s="1" t="s">
        <v>376</v>
      </c>
    </row>
    <row r="341" customFormat="false" ht="12" hidden="false" customHeight="false" outlineLevel="0" collapsed="false">
      <c r="A341" s="1" t="n">
        <v>123</v>
      </c>
      <c r="B341" s="1" t="s">
        <v>277</v>
      </c>
      <c r="C341" s="1" t="s">
        <v>278</v>
      </c>
      <c r="D341" s="1" t="n">
        <v>1</v>
      </c>
      <c r="E341" s="1" t="n">
        <v>1</v>
      </c>
      <c r="F341" s="1" t="s">
        <v>8</v>
      </c>
      <c r="H341" s="1" t="s">
        <v>275</v>
      </c>
      <c r="I341" s="1" t="s">
        <v>275</v>
      </c>
      <c r="N341" s="1" t="s">
        <v>376</v>
      </c>
    </row>
    <row r="342" customFormat="false" ht="12" hidden="false" customHeight="false" outlineLevel="0" collapsed="false">
      <c r="A342" s="1" t="n">
        <v>123</v>
      </c>
      <c r="B342" s="1" t="s">
        <v>277</v>
      </c>
      <c r="C342" s="1" t="s">
        <v>278</v>
      </c>
      <c r="D342" s="1" t="n">
        <v>1</v>
      </c>
      <c r="E342" s="1" t="n">
        <v>3</v>
      </c>
      <c r="F342" s="1" t="s">
        <v>12</v>
      </c>
      <c r="H342" s="1" t="s">
        <v>275</v>
      </c>
      <c r="I342" s="1" t="s">
        <v>275</v>
      </c>
      <c r="N342" s="1" t="s">
        <v>376</v>
      </c>
    </row>
    <row r="343" customFormat="false" ht="12" hidden="false" customHeight="false" outlineLevel="0" collapsed="false">
      <c r="A343" s="1" t="n">
        <v>124</v>
      </c>
      <c r="B343" s="1" t="s">
        <v>279</v>
      </c>
      <c r="C343" s="1" t="s">
        <v>280</v>
      </c>
      <c r="D343" s="1" t="n">
        <v>1</v>
      </c>
      <c r="E343" s="1" t="n">
        <v>1</v>
      </c>
      <c r="F343" s="1" t="s">
        <v>8</v>
      </c>
      <c r="H343" s="1" t="s">
        <v>275</v>
      </c>
      <c r="I343" s="1" t="s">
        <v>275</v>
      </c>
      <c r="N343" s="1" t="s">
        <v>376</v>
      </c>
    </row>
    <row r="344" customFormat="false" ht="12" hidden="false" customHeight="false" outlineLevel="0" collapsed="false">
      <c r="A344" s="1" t="n">
        <v>124</v>
      </c>
      <c r="B344" s="1" t="s">
        <v>279</v>
      </c>
      <c r="C344" s="1" t="s">
        <v>280</v>
      </c>
      <c r="D344" s="1" t="n">
        <v>1</v>
      </c>
      <c r="E344" s="1" t="n">
        <v>3</v>
      </c>
      <c r="F344" s="1" t="s">
        <v>12</v>
      </c>
      <c r="H344" s="1" t="s">
        <v>275</v>
      </c>
      <c r="I344" s="1" t="s">
        <v>275</v>
      </c>
      <c r="N344" s="1" t="s">
        <v>376</v>
      </c>
    </row>
    <row r="345" customFormat="false" ht="12" hidden="false" customHeight="false" outlineLevel="0" collapsed="false">
      <c r="A345" s="1" t="n">
        <v>125</v>
      </c>
      <c r="B345" s="1" t="s">
        <v>281</v>
      </c>
      <c r="C345" s="1" t="s">
        <v>282</v>
      </c>
      <c r="D345" s="1" t="n">
        <v>1</v>
      </c>
      <c r="E345" s="1" t="n">
        <v>1</v>
      </c>
      <c r="F345" s="1" t="s">
        <v>8</v>
      </c>
      <c r="H345" s="1" t="s">
        <v>275</v>
      </c>
      <c r="I345" s="1" t="s">
        <v>275</v>
      </c>
      <c r="N345" s="1" t="s">
        <v>376</v>
      </c>
    </row>
    <row r="346" customFormat="false" ht="12" hidden="false" customHeight="false" outlineLevel="0" collapsed="false">
      <c r="A346" s="1" t="n">
        <v>125</v>
      </c>
      <c r="B346" s="1" t="s">
        <v>281</v>
      </c>
      <c r="C346" s="1" t="s">
        <v>282</v>
      </c>
      <c r="D346" s="1" t="n">
        <v>1</v>
      </c>
      <c r="E346" s="1" t="n">
        <v>3</v>
      </c>
      <c r="F346" s="1" t="s">
        <v>12</v>
      </c>
      <c r="H346" s="1" t="s">
        <v>275</v>
      </c>
      <c r="I346" s="1" t="s">
        <v>275</v>
      </c>
      <c r="N346" s="1" t="s">
        <v>376</v>
      </c>
    </row>
    <row r="347" customFormat="false" ht="12" hidden="false" customHeight="false" outlineLevel="0" collapsed="false">
      <c r="A347" s="1" t="n">
        <v>126</v>
      </c>
      <c r="B347" s="1" t="s">
        <v>283</v>
      </c>
      <c r="C347" s="1" t="s">
        <v>284</v>
      </c>
      <c r="D347" s="1" t="n">
        <v>1</v>
      </c>
      <c r="E347" s="1" t="n">
        <v>1</v>
      </c>
      <c r="F347" s="1" t="s">
        <v>8</v>
      </c>
      <c r="H347" s="1" t="s">
        <v>275</v>
      </c>
      <c r="I347" s="1" t="s">
        <v>275</v>
      </c>
      <c r="N347" s="1" t="s">
        <v>376</v>
      </c>
    </row>
    <row r="348" customFormat="false" ht="12" hidden="false" customHeight="false" outlineLevel="0" collapsed="false">
      <c r="A348" s="1" t="n">
        <v>126</v>
      </c>
      <c r="B348" s="1" t="s">
        <v>283</v>
      </c>
      <c r="C348" s="1" t="s">
        <v>284</v>
      </c>
      <c r="D348" s="1" t="n">
        <v>1</v>
      </c>
      <c r="E348" s="1" t="n">
        <v>3</v>
      </c>
      <c r="F348" s="1" t="s">
        <v>12</v>
      </c>
      <c r="H348" s="1" t="s">
        <v>275</v>
      </c>
      <c r="I348" s="1" t="s">
        <v>275</v>
      </c>
      <c r="N348" s="1" t="s">
        <v>376</v>
      </c>
    </row>
    <row r="349" customFormat="false" ht="12" hidden="false" customHeight="false" outlineLevel="0" collapsed="false">
      <c r="A349" s="1" t="n">
        <v>127</v>
      </c>
      <c r="B349" s="1" t="s">
        <v>285</v>
      </c>
      <c r="C349" s="1" t="s">
        <v>286</v>
      </c>
      <c r="D349" s="1" t="n">
        <v>1</v>
      </c>
      <c r="E349" s="1" t="n">
        <v>1</v>
      </c>
      <c r="F349" s="1" t="s">
        <v>8</v>
      </c>
      <c r="H349" s="1" t="s">
        <v>275</v>
      </c>
      <c r="I349" s="1" t="s">
        <v>275</v>
      </c>
      <c r="N349" s="1" t="s">
        <v>376</v>
      </c>
    </row>
    <row r="350" customFormat="false" ht="12" hidden="false" customHeight="false" outlineLevel="0" collapsed="false">
      <c r="A350" s="1" t="n">
        <v>127</v>
      </c>
      <c r="B350" s="1" t="s">
        <v>285</v>
      </c>
      <c r="C350" s="1" t="s">
        <v>286</v>
      </c>
      <c r="D350" s="1" t="n">
        <v>1</v>
      </c>
      <c r="E350" s="1" t="n">
        <v>3</v>
      </c>
      <c r="F350" s="1" t="s">
        <v>12</v>
      </c>
      <c r="H350" s="1" t="s">
        <v>275</v>
      </c>
      <c r="I350" s="1" t="s">
        <v>275</v>
      </c>
      <c r="N350" s="1" t="s">
        <v>376</v>
      </c>
    </row>
    <row r="351" customFormat="false" ht="12" hidden="false" customHeight="false" outlineLevel="0" collapsed="false">
      <c r="A351" s="1" t="n">
        <v>128</v>
      </c>
      <c r="B351" s="1" t="s">
        <v>287</v>
      </c>
      <c r="C351" s="1" t="s">
        <v>288</v>
      </c>
      <c r="D351" s="1" t="n">
        <v>1</v>
      </c>
      <c r="E351" s="1" t="n">
        <v>1</v>
      </c>
      <c r="F351" s="1" t="s">
        <v>8</v>
      </c>
      <c r="H351" s="1" t="s">
        <v>275</v>
      </c>
      <c r="I351" s="1" t="s">
        <v>275</v>
      </c>
      <c r="N351" s="1" t="s">
        <v>376</v>
      </c>
    </row>
    <row r="352" customFormat="false" ht="12" hidden="false" customHeight="false" outlineLevel="0" collapsed="false">
      <c r="A352" s="1" t="n">
        <v>128</v>
      </c>
      <c r="B352" s="1" t="s">
        <v>287</v>
      </c>
      <c r="C352" s="1" t="s">
        <v>288</v>
      </c>
      <c r="D352" s="1" t="n">
        <v>1</v>
      </c>
      <c r="E352" s="1" t="n">
        <v>3</v>
      </c>
      <c r="F352" s="1" t="s">
        <v>12</v>
      </c>
      <c r="H352" s="1" t="s">
        <v>275</v>
      </c>
      <c r="I352" s="1" t="s">
        <v>275</v>
      </c>
      <c r="N352" s="1" t="s">
        <v>376</v>
      </c>
    </row>
    <row r="353" customFormat="false" ht="12" hidden="false" customHeight="false" outlineLevel="0" collapsed="false">
      <c r="A353" s="1" t="n">
        <v>129</v>
      </c>
      <c r="C353" s="1" t="s">
        <v>289</v>
      </c>
      <c r="D353" s="1" t="n">
        <v>1</v>
      </c>
      <c r="E353" s="1" t="n">
        <v>1</v>
      </c>
      <c r="F353" s="1" t="s">
        <v>8</v>
      </c>
      <c r="H353" s="1" t="s">
        <v>290</v>
      </c>
      <c r="I353" s="1" t="s">
        <v>290</v>
      </c>
      <c r="N353" s="1" t="s">
        <v>376</v>
      </c>
    </row>
    <row r="354" customFormat="false" ht="12" hidden="false" customHeight="false" outlineLevel="0" collapsed="false">
      <c r="A354" s="1" t="n">
        <v>129</v>
      </c>
      <c r="C354" s="1" t="s">
        <v>289</v>
      </c>
      <c r="D354" s="1" t="n">
        <v>1</v>
      </c>
      <c r="E354" s="1" t="n">
        <v>11</v>
      </c>
      <c r="F354" s="1" t="s">
        <v>34</v>
      </c>
      <c r="H354" s="1" t="s">
        <v>290</v>
      </c>
      <c r="I354" s="1" t="s">
        <v>290</v>
      </c>
      <c r="N354" s="1" t="s">
        <v>376</v>
      </c>
    </row>
    <row r="355" customFormat="false" ht="12" hidden="false" customHeight="false" outlineLevel="0" collapsed="false">
      <c r="A355" s="1" t="n">
        <v>130</v>
      </c>
      <c r="C355" s="1" t="s">
        <v>292</v>
      </c>
      <c r="D355" s="1" t="n">
        <v>1</v>
      </c>
      <c r="E355" s="1" t="n">
        <v>1</v>
      </c>
      <c r="F355" s="1" t="s">
        <v>8</v>
      </c>
      <c r="H355" s="1" t="s">
        <v>290</v>
      </c>
      <c r="I355" s="1" t="s">
        <v>290</v>
      </c>
      <c r="N355" s="1" t="s">
        <v>376</v>
      </c>
    </row>
    <row r="356" customFormat="false" ht="12" hidden="false" customHeight="false" outlineLevel="0" collapsed="false">
      <c r="A356" s="1" t="n">
        <v>130</v>
      </c>
      <c r="C356" s="1" t="s">
        <v>292</v>
      </c>
      <c r="D356" s="1" t="n">
        <v>1</v>
      </c>
      <c r="E356" s="1" t="n">
        <v>11</v>
      </c>
      <c r="F356" s="1" t="s">
        <v>34</v>
      </c>
      <c r="H356" s="1" t="s">
        <v>290</v>
      </c>
      <c r="I356" s="1" t="s">
        <v>290</v>
      </c>
      <c r="N356" s="1" t="s">
        <v>376</v>
      </c>
    </row>
    <row r="357" customFormat="false" ht="12" hidden="false" customHeight="false" outlineLevel="0" collapsed="false">
      <c r="A357" s="1" t="n">
        <v>131</v>
      </c>
      <c r="C357" s="1" t="s">
        <v>293</v>
      </c>
      <c r="D357" s="1" t="n">
        <v>1</v>
      </c>
      <c r="E357" s="1" t="n">
        <v>1</v>
      </c>
      <c r="F357" s="1" t="s">
        <v>8</v>
      </c>
      <c r="H357" s="1" t="s">
        <v>290</v>
      </c>
      <c r="I357" s="1" t="s">
        <v>290</v>
      </c>
      <c r="N357" s="1" t="s">
        <v>376</v>
      </c>
    </row>
    <row r="358" customFormat="false" ht="12" hidden="false" customHeight="false" outlineLevel="0" collapsed="false">
      <c r="A358" s="1" t="n">
        <v>131</v>
      </c>
      <c r="C358" s="1" t="s">
        <v>293</v>
      </c>
      <c r="D358" s="1" t="n">
        <v>1</v>
      </c>
      <c r="E358" s="1" t="n">
        <v>11</v>
      </c>
      <c r="F358" s="1" t="s">
        <v>34</v>
      </c>
      <c r="H358" s="1" t="s">
        <v>290</v>
      </c>
      <c r="I358" s="1" t="s">
        <v>290</v>
      </c>
      <c r="N358" s="1" t="s">
        <v>376</v>
      </c>
    </row>
    <row r="359" customFormat="false" ht="12" hidden="false" customHeight="false" outlineLevel="0" collapsed="false">
      <c r="A359" s="1" t="n">
        <v>132</v>
      </c>
      <c r="C359" s="1" t="s">
        <v>294</v>
      </c>
      <c r="D359" s="1" t="n">
        <v>1</v>
      </c>
      <c r="E359" s="1" t="n">
        <v>1</v>
      </c>
      <c r="F359" s="1" t="s">
        <v>8</v>
      </c>
      <c r="H359" s="1" t="s">
        <v>290</v>
      </c>
      <c r="I359" s="1" t="s">
        <v>290</v>
      </c>
      <c r="N359" s="1" t="s">
        <v>376</v>
      </c>
    </row>
    <row r="360" customFormat="false" ht="12" hidden="false" customHeight="false" outlineLevel="0" collapsed="false">
      <c r="A360" s="1" t="n">
        <v>132</v>
      </c>
      <c r="C360" s="1" t="s">
        <v>294</v>
      </c>
      <c r="D360" s="1" t="n">
        <v>1</v>
      </c>
      <c r="E360" s="1" t="n">
        <v>11</v>
      </c>
      <c r="F360" s="1" t="s">
        <v>34</v>
      </c>
      <c r="H360" s="1" t="s">
        <v>290</v>
      </c>
      <c r="I360" s="1" t="s">
        <v>290</v>
      </c>
      <c r="N360" s="1" t="s">
        <v>376</v>
      </c>
    </row>
    <row r="361" customFormat="false" ht="12" hidden="false" customHeight="false" outlineLevel="0" collapsed="false">
      <c r="A361" s="1" t="n">
        <v>133</v>
      </c>
      <c r="C361" s="1" t="s">
        <v>295</v>
      </c>
      <c r="D361" s="1" t="n">
        <v>1</v>
      </c>
      <c r="E361" s="1" t="n">
        <v>1</v>
      </c>
      <c r="F361" s="1" t="s">
        <v>8</v>
      </c>
      <c r="H361" s="1" t="s">
        <v>290</v>
      </c>
      <c r="I361" s="1" t="s">
        <v>290</v>
      </c>
      <c r="N361" s="1" t="s">
        <v>376</v>
      </c>
    </row>
    <row r="362" customFormat="false" ht="12" hidden="false" customHeight="false" outlineLevel="0" collapsed="false">
      <c r="A362" s="1" t="n">
        <v>133</v>
      </c>
      <c r="C362" s="1" t="s">
        <v>295</v>
      </c>
      <c r="D362" s="1" t="n">
        <v>1</v>
      </c>
      <c r="E362" s="1" t="n">
        <v>11</v>
      </c>
      <c r="F362" s="1" t="s">
        <v>34</v>
      </c>
      <c r="H362" s="1" t="s">
        <v>290</v>
      </c>
      <c r="I362" s="1" t="s">
        <v>290</v>
      </c>
      <c r="N362" s="1" t="s">
        <v>376</v>
      </c>
    </row>
    <row r="363" customFormat="false" ht="12" hidden="false" customHeight="false" outlineLevel="0" collapsed="false">
      <c r="A363" s="1" t="n">
        <v>134</v>
      </c>
      <c r="C363" s="1" t="s">
        <v>296</v>
      </c>
      <c r="D363" s="1" t="n">
        <v>1</v>
      </c>
      <c r="E363" s="1" t="n">
        <v>1</v>
      </c>
      <c r="F363" s="1" t="s">
        <v>8</v>
      </c>
      <c r="H363" s="1" t="s">
        <v>290</v>
      </c>
      <c r="I363" s="1" t="s">
        <v>290</v>
      </c>
      <c r="N363" s="1" t="s">
        <v>376</v>
      </c>
    </row>
    <row r="364" customFormat="false" ht="12" hidden="false" customHeight="false" outlineLevel="0" collapsed="false">
      <c r="A364" s="1" t="n">
        <v>134</v>
      </c>
      <c r="C364" s="1" t="s">
        <v>296</v>
      </c>
      <c r="D364" s="1" t="n">
        <v>1</v>
      </c>
      <c r="E364" s="1" t="n">
        <v>11</v>
      </c>
      <c r="F364" s="1" t="s">
        <v>34</v>
      </c>
      <c r="H364" s="1" t="s">
        <v>290</v>
      </c>
      <c r="I364" s="1" t="s">
        <v>290</v>
      </c>
      <c r="N364" s="1" t="s">
        <v>376</v>
      </c>
    </row>
    <row r="365" customFormat="false" ht="12" hidden="false" customHeight="false" outlineLevel="0" collapsed="false">
      <c r="A365" s="1" t="n">
        <v>135</v>
      </c>
      <c r="C365" s="1" t="s">
        <v>297</v>
      </c>
      <c r="D365" s="1" t="n">
        <v>1</v>
      </c>
      <c r="E365" s="1" t="n">
        <v>1</v>
      </c>
      <c r="F365" s="1" t="s">
        <v>8</v>
      </c>
      <c r="H365" s="1" t="s">
        <v>290</v>
      </c>
      <c r="I365" s="1" t="s">
        <v>290</v>
      </c>
      <c r="N365" s="1" t="s">
        <v>376</v>
      </c>
    </row>
    <row r="366" customFormat="false" ht="12" hidden="false" customHeight="false" outlineLevel="0" collapsed="false">
      <c r="A366" s="1" t="n">
        <v>135</v>
      </c>
      <c r="C366" s="1" t="s">
        <v>297</v>
      </c>
      <c r="D366" s="1" t="n">
        <v>1</v>
      </c>
      <c r="E366" s="1" t="n">
        <v>11</v>
      </c>
      <c r="F366" s="1" t="s">
        <v>34</v>
      </c>
      <c r="H366" s="1" t="s">
        <v>290</v>
      </c>
      <c r="I366" s="1" t="s">
        <v>290</v>
      </c>
      <c r="N366" s="1" t="s">
        <v>376</v>
      </c>
    </row>
    <row r="367" customFormat="false" ht="12" hidden="false" customHeight="false" outlineLevel="0" collapsed="false">
      <c r="A367" s="1" t="n">
        <v>136</v>
      </c>
      <c r="C367" s="1" t="s">
        <v>298</v>
      </c>
      <c r="D367" s="1" t="n">
        <v>1</v>
      </c>
      <c r="E367" s="1" t="n">
        <v>1</v>
      </c>
      <c r="F367" s="1" t="s">
        <v>8</v>
      </c>
      <c r="H367" s="1" t="s">
        <v>290</v>
      </c>
      <c r="I367" s="1" t="s">
        <v>290</v>
      </c>
      <c r="N367" s="1" t="s">
        <v>376</v>
      </c>
    </row>
    <row r="368" customFormat="false" ht="12" hidden="false" customHeight="false" outlineLevel="0" collapsed="false">
      <c r="A368" s="1" t="n">
        <v>136</v>
      </c>
      <c r="C368" s="1" t="s">
        <v>298</v>
      </c>
      <c r="D368" s="1" t="n">
        <v>1</v>
      </c>
      <c r="E368" s="1" t="n">
        <v>11</v>
      </c>
      <c r="F368" s="1" t="s">
        <v>34</v>
      </c>
      <c r="H368" s="1" t="s">
        <v>290</v>
      </c>
      <c r="I368" s="1" t="s">
        <v>290</v>
      </c>
      <c r="N368" s="1" t="s">
        <v>376</v>
      </c>
    </row>
    <row r="369" customFormat="false" ht="12" hidden="false" customHeight="false" outlineLevel="0" collapsed="false">
      <c r="A369" s="1" t="n">
        <v>137</v>
      </c>
      <c r="C369" s="1" t="s">
        <v>299</v>
      </c>
      <c r="D369" s="1" t="n">
        <v>1</v>
      </c>
      <c r="E369" s="1" t="n">
        <v>1</v>
      </c>
      <c r="F369" s="1" t="s">
        <v>8</v>
      </c>
      <c r="H369" s="1" t="s">
        <v>290</v>
      </c>
      <c r="I369" s="1" t="s">
        <v>290</v>
      </c>
      <c r="N369" s="1" t="s">
        <v>376</v>
      </c>
    </row>
    <row r="370" customFormat="false" ht="12" hidden="false" customHeight="false" outlineLevel="0" collapsed="false">
      <c r="A370" s="1" t="n">
        <v>137</v>
      </c>
      <c r="C370" s="1" t="s">
        <v>299</v>
      </c>
      <c r="D370" s="1" t="n">
        <v>1</v>
      </c>
      <c r="E370" s="1" t="n">
        <v>11</v>
      </c>
      <c r="F370" s="1" t="s">
        <v>34</v>
      </c>
      <c r="H370" s="1" t="s">
        <v>290</v>
      </c>
      <c r="I370" s="1" t="s">
        <v>290</v>
      </c>
      <c r="N370" s="1" t="s">
        <v>376</v>
      </c>
    </row>
    <row r="371" customFormat="false" ht="12" hidden="false" customHeight="false" outlineLevel="0" collapsed="false">
      <c r="A371" s="1" t="n">
        <v>138</v>
      </c>
      <c r="C371" s="1" t="s">
        <v>300</v>
      </c>
      <c r="D371" s="1" t="n">
        <v>1</v>
      </c>
      <c r="E371" s="1" t="n">
        <v>1</v>
      </c>
      <c r="F371" s="1" t="s">
        <v>8</v>
      </c>
      <c r="H371" s="1" t="s">
        <v>301</v>
      </c>
      <c r="I371" s="1" t="s">
        <v>301</v>
      </c>
      <c r="N371" s="1" t="s">
        <v>376</v>
      </c>
    </row>
    <row r="372" customFormat="false" ht="12" hidden="false" customHeight="false" outlineLevel="0" collapsed="false">
      <c r="A372" s="1" t="n">
        <v>138</v>
      </c>
      <c r="C372" s="1" t="s">
        <v>300</v>
      </c>
      <c r="D372" s="1" t="n">
        <v>1</v>
      </c>
      <c r="E372" s="1" t="n">
        <v>4</v>
      </c>
      <c r="F372" s="1" t="s">
        <v>13</v>
      </c>
      <c r="H372" s="1" t="s">
        <v>301</v>
      </c>
      <c r="I372" s="1" t="s">
        <v>301</v>
      </c>
      <c r="N372" s="1" t="s">
        <v>376</v>
      </c>
    </row>
    <row r="373" customFormat="false" ht="12" hidden="false" customHeight="false" outlineLevel="0" collapsed="false">
      <c r="A373" s="1" t="n">
        <v>138</v>
      </c>
      <c r="C373" s="1" t="s">
        <v>300</v>
      </c>
      <c r="D373" s="1" t="n">
        <v>1</v>
      </c>
      <c r="E373" s="1" t="n">
        <v>9</v>
      </c>
      <c r="F373" s="1" t="s">
        <v>28</v>
      </c>
      <c r="H373" s="1" t="s">
        <v>301</v>
      </c>
      <c r="I373" s="1" t="s">
        <v>301</v>
      </c>
      <c r="N373" s="1" t="s">
        <v>376</v>
      </c>
    </row>
    <row r="374" customFormat="false" ht="12" hidden="false" customHeight="false" outlineLevel="0" collapsed="false">
      <c r="A374" s="1" t="n">
        <v>139</v>
      </c>
      <c r="C374" s="1" t="s">
        <v>303</v>
      </c>
      <c r="D374" s="1" t="n">
        <v>1</v>
      </c>
      <c r="E374" s="1" t="n">
        <v>1</v>
      </c>
      <c r="F374" s="1" t="s">
        <v>8</v>
      </c>
      <c r="H374" s="1" t="s">
        <v>301</v>
      </c>
      <c r="I374" s="1" t="s">
        <v>301</v>
      </c>
      <c r="N374" s="1" t="s">
        <v>376</v>
      </c>
    </row>
    <row r="375" customFormat="false" ht="12" hidden="false" customHeight="false" outlineLevel="0" collapsed="false">
      <c r="A375" s="1" t="n">
        <v>139</v>
      </c>
      <c r="C375" s="1" t="s">
        <v>303</v>
      </c>
      <c r="D375" s="1" t="n">
        <v>1</v>
      </c>
      <c r="E375" s="1" t="n">
        <v>4</v>
      </c>
      <c r="F375" s="1" t="s">
        <v>13</v>
      </c>
      <c r="H375" s="1" t="s">
        <v>301</v>
      </c>
      <c r="I375" s="1" t="s">
        <v>301</v>
      </c>
      <c r="N375" s="1" t="s">
        <v>376</v>
      </c>
    </row>
    <row r="376" customFormat="false" ht="12" hidden="false" customHeight="false" outlineLevel="0" collapsed="false">
      <c r="A376" s="1" t="n">
        <v>139</v>
      </c>
      <c r="C376" s="1" t="s">
        <v>303</v>
      </c>
      <c r="D376" s="1" t="n">
        <v>1</v>
      </c>
      <c r="E376" s="1" t="n">
        <v>9</v>
      </c>
      <c r="F376" s="1" t="s">
        <v>28</v>
      </c>
      <c r="H376" s="1" t="s">
        <v>301</v>
      </c>
      <c r="I376" s="1" t="s">
        <v>301</v>
      </c>
      <c r="N376" s="1" t="s">
        <v>376</v>
      </c>
    </row>
    <row r="377" customFormat="false" ht="12" hidden="false" customHeight="false" outlineLevel="0" collapsed="false">
      <c r="A377" s="1" t="n">
        <v>140</v>
      </c>
      <c r="C377" s="1" t="s">
        <v>304</v>
      </c>
      <c r="D377" s="1" t="n">
        <v>1</v>
      </c>
      <c r="E377" s="1" t="n">
        <v>1</v>
      </c>
      <c r="F377" s="1" t="s">
        <v>8</v>
      </c>
      <c r="H377" s="1" t="s">
        <v>301</v>
      </c>
      <c r="I377" s="1" t="s">
        <v>301</v>
      </c>
      <c r="N377" s="1" t="s">
        <v>376</v>
      </c>
    </row>
    <row r="378" customFormat="false" ht="12" hidden="false" customHeight="false" outlineLevel="0" collapsed="false">
      <c r="A378" s="1" t="n">
        <v>140</v>
      </c>
      <c r="C378" s="1" t="s">
        <v>304</v>
      </c>
      <c r="D378" s="1" t="n">
        <v>1</v>
      </c>
      <c r="E378" s="1" t="n">
        <v>4</v>
      </c>
      <c r="F378" s="1" t="s">
        <v>13</v>
      </c>
      <c r="H378" s="1" t="s">
        <v>301</v>
      </c>
      <c r="I378" s="1" t="s">
        <v>301</v>
      </c>
      <c r="N378" s="1" t="s">
        <v>376</v>
      </c>
    </row>
    <row r="379" customFormat="false" ht="12" hidden="false" customHeight="false" outlineLevel="0" collapsed="false">
      <c r="A379" s="1" t="n">
        <v>140</v>
      </c>
      <c r="C379" s="1" t="s">
        <v>304</v>
      </c>
      <c r="D379" s="1" t="n">
        <v>1</v>
      </c>
      <c r="E379" s="1" t="n">
        <v>9</v>
      </c>
      <c r="F379" s="1" t="s">
        <v>28</v>
      </c>
      <c r="H379" s="1" t="s">
        <v>301</v>
      </c>
      <c r="I379" s="1" t="s">
        <v>301</v>
      </c>
      <c r="N379" s="1" t="s">
        <v>376</v>
      </c>
    </row>
    <row r="380" customFormat="false" ht="12" hidden="false" customHeight="false" outlineLevel="0" collapsed="false">
      <c r="A380" s="1" t="n">
        <v>141</v>
      </c>
      <c r="C380" s="1" t="s">
        <v>305</v>
      </c>
      <c r="D380" s="1" t="n">
        <v>1</v>
      </c>
      <c r="E380" s="1" t="n">
        <v>1</v>
      </c>
      <c r="F380" s="1" t="s">
        <v>8</v>
      </c>
      <c r="H380" s="1" t="s">
        <v>301</v>
      </c>
      <c r="I380" s="1" t="s">
        <v>301</v>
      </c>
      <c r="N380" s="1" t="s">
        <v>376</v>
      </c>
    </row>
    <row r="381" customFormat="false" ht="12" hidden="false" customHeight="false" outlineLevel="0" collapsed="false">
      <c r="A381" s="1" t="n">
        <v>141</v>
      </c>
      <c r="C381" s="1" t="s">
        <v>305</v>
      </c>
      <c r="D381" s="1" t="n">
        <v>1</v>
      </c>
      <c r="E381" s="1" t="n">
        <v>4</v>
      </c>
      <c r="F381" s="1" t="s">
        <v>13</v>
      </c>
      <c r="H381" s="1" t="s">
        <v>301</v>
      </c>
      <c r="I381" s="1" t="s">
        <v>301</v>
      </c>
      <c r="N381" s="1" t="s">
        <v>376</v>
      </c>
    </row>
    <row r="382" customFormat="false" ht="12" hidden="false" customHeight="false" outlineLevel="0" collapsed="false">
      <c r="A382" s="1" t="n">
        <v>141</v>
      </c>
      <c r="C382" s="1" t="s">
        <v>305</v>
      </c>
      <c r="D382" s="1" t="n">
        <v>1</v>
      </c>
      <c r="E382" s="1" t="n">
        <v>9</v>
      </c>
      <c r="F382" s="1" t="s">
        <v>28</v>
      </c>
      <c r="H382" s="1" t="s">
        <v>301</v>
      </c>
      <c r="I382" s="1" t="s">
        <v>301</v>
      </c>
      <c r="N382" s="1" t="s">
        <v>376</v>
      </c>
    </row>
    <row r="383" customFormat="false" ht="12" hidden="false" customHeight="false" outlineLevel="0" collapsed="false">
      <c r="A383" s="1" t="n">
        <v>142</v>
      </c>
      <c r="C383" s="1" t="s">
        <v>306</v>
      </c>
      <c r="D383" s="1" t="n">
        <v>1</v>
      </c>
      <c r="E383" s="1" t="n">
        <v>1</v>
      </c>
      <c r="F383" s="1" t="s">
        <v>8</v>
      </c>
      <c r="H383" s="1" t="s">
        <v>307</v>
      </c>
      <c r="I383" s="1" t="s">
        <v>307</v>
      </c>
      <c r="N383" s="1" t="s">
        <v>376</v>
      </c>
    </row>
    <row r="384" customFormat="false" ht="12" hidden="false" customHeight="false" outlineLevel="0" collapsed="false">
      <c r="A384" s="1" t="n">
        <v>142</v>
      </c>
      <c r="C384" s="1" t="s">
        <v>306</v>
      </c>
      <c r="D384" s="1" t="n">
        <v>1</v>
      </c>
      <c r="E384" s="1" t="n">
        <v>4</v>
      </c>
      <c r="F384" s="1" t="s">
        <v>13</v>
      </c>
      <c r="H384" s="1" t="s">
        <v>307</v>
      </c>
      <c r="I384" s="1" t="s">
        <v>307</v>
      </c>
      <c r="N384" s="1" t="s">
        <v>376</v>
      </c>
    </row>
    <row r="385" customFormat="false" ht="12" hidden="false" customHeight="false" outlineLevel="0" collapsed="false">
      <c r="A385" s="1" t="n">
        <v>142</v>
      </c>
      <c r="C385" s="1" t="s">
        <v>306</v>
      </c>
      <c r="D385" s="1" t="n">
        <v>1</v>
      </c>
      <c r="E385" s="1" t="n">
        <v>9</v>
      </c>
      <c r="F385" s="1" t="s">
        <v>28</v>
      </c>
      <c r="H385" s="1" t="s">
        <v>307</v>
      </c>
      <c r="I385" s="1" t="s">
        <v>307</v>
      </c>
      <c r="N385" s="1" t="s">
        <v>376</v>
      </c>
    </row>
    <row r="386" customFormat="false" ht="12" hidden="false" customHeight="false" outlineLevel="0" collapsed="false">
      <c r="A386" s="1" t="n">
        <v>143</v>
      </c>
      <c r="C386" s="1" t="s">
        <v>308</v>
      </c>
      <c r="D386" s="1" t="n">
        <v>1</v>
      </c>
      <c r="E386" s="1" t="n">
        <v>1</v>
      </c>
      <c r="F386" s="1" t="s">
        <v>8</v>
      </c>
      <c r="H386" s="1" t="s">
        <v>307</v>
      </c>
      <c r="I386" s="1" t="s">
        <v>307</v>
      </c>
      <c r="N386" s="1" t="s">
        <v>376</v>
      </c>
    </row>
    <row r="387" customFormat="false" ht="12" hidden="false" customHeight="false" outlineLevel="0" collapsed="false">
      <c r="A387" s="1" t="n">
        <v>143</v>
      </c>
      <c r="C387" s="1" t="s">
        <v>308</v>
      </c>
      <c r="D387" s="1" t="n">
        <v>1</v>
      </c>
      <c r="E387" s="1" t="n">
        <v>4</v>
      </c>
      <c r="F387" s="1" t="s">
        <v>13</v>
      </c>
      <c r="H387" s="1" t="s">
        <v>307</v>
      </c>
      <c r="I387" s="1" t="s">
        <v>307</v>
      </c>
      <c r="N387" s="1" t="s">
        <v>376</v>
      </c>
    </row>
    <row r="388" customFormat="false" ht="12" hidden="false" customHeight="false" outlineLevel="0" collapsed="false">
      <c r="A388" s="1" t="n">
        <v>143</v>
      </c>
      <c r="C388" s="1" t="s">
        <v>308</v>
      </c>
      <c r="D388" s="1" t="n">
        <v>1</v>
      </c>
      <c r="E388" s="1" t="n">
        <v>9</v>
      </c>
      <c r="F388" s="1" t="s">
        <v>28</v>
      </c>
      <c r="H388" s="1" t="s">
        <v>307</v>
      </c>
      <c r="I388" s="1" t="s">
        <v>307</v>
      </c>
      <c r="N388" s="1" t="s">
        <v>376</v>
      </c>
    </row>
    <row r="389" customFormat="false" ht="12" hidden="false" customHeight="false" outlineLevel="0" collapsed="false">
      <c r="A389" s="1" t="n">
        <v>144</v>
      </c>
      <c r="C389" s="1" t="s">
        <v>309</v>
      </c>
      <c r="D389" s="1" t="n">
        <v>1</v>
      </c>
      <c r="E389" s="1" t="n">
        <v>1</v>
      </c>
      <c r="F389" s="1" t="s">
        <v>8</v>
      </c>
      <c r="H389" s="1" t="s">
        <v>310</v>
      </c>
      <c r="I389" s="1" t="s">
        <v>310</v>
      </c>
      <c r="N389" s="1" t="s">
        <v>376</v>
      </c>
    </row>
    <row r="390" customFormat="false" ht="12" hidden="false" customHeight="false" outlineLevel="0" collapsed="false">
      <c r="A390" s="1" t="n">
        <v>144</v>
      </c>
      <c r="C390" s="1" t="s">
        <v>309</v>
      </c>
      <c r="D390" s="1" t="n">
        <v>1</v>
      </c>
      <c r="E390" s="1" t="n">
        <v>4</v>
      </c>
      <c r="F390" s="1" t="s">
        <v>13</v>
      </c>
      <c r="H390" s="1" t="s">
        <v>310</v>
      </c>
      <c r="I390" s="1" t="s">
        <v>310</v>
      </c>
      <c r="N390" s="1" t="s">
        <v>376</v>
      </c>
    </row>
    <row r="391" customFormat="false" ht="12" hidden="false" customHeight="false" outlineLevel="0" collapsed="false">
      <c r="A391" s="1" t="n">
        <v>144</v>
      </c>
      <c r="C391" s="1" t="s">
        <v>309</v>
      </c>
      <c r="D391" s="1" t="n">
        <v>1</v>
      </c>
      <c r="E391" s="1" t="n">
        <v>8</v>
      </c>
      <c r="F391" s="1" t="s">
        <v>24</v>
      </c>
      <c r="H391" s="1" t="s">
        <v>310</v>
      </c>
      <c r="I391" s="1" t="s">
        <v>310</v>
      </c>
      <c r="N391" s="1" t="s">
        <v>376</v>
      </c>
    </row>
    <row r="392" customFormat="false" ht="12" hidden="false" customHeight="false" outlineLevel="0" collapsed="false">
      <c r="A392" s="1" t="n">
        <v>144</v>
      </c>
      <c r="C392" s="1" t="s">
        <v>309</v>
      </c>
      <c r="D392" s="1" t="n">
        <v>1</v>
      </c>
      <c r="E392" s="1" t="n">
        <v>9</v>
      </c>
      <c r="F392" s="1" t="s">
        <v>28</v>
      </c>
      <c r="H392" s="1" t="s">
        <v>310</v>
      </c>
      <c r="I392" s="1" t="s">
        <v>310</v>
      </c>
      <c r="N392" s="1" t="s">
        <v>376</v>
      </c>
    </row>
    <row r="393" customFormat="false" ht="12" hidden="false" customHeight="false" outlineLevel="0" collapsed="false">
      <c r="A393" s="1" t="n">
        <v>145</v>
      </c>
      <c r="C393" s="1" t="s">
        <v>312</v>
      </c>
      <c r="D393" s="1" t="n">
        <v>1</v>
      </c>
      <c r="E393" s="1" t="n">
        <v>1</v>
      </c>
      <c r="F393" s="1" t="s">
        <v>8</v>
      </c>
      <c r="H393" s="1" t="s">
        <v>310</v>
      </c>
      <c r="I393" s="1" t="s">
        <v>310</v>
      </c>
      <c r="N393" s="1" t="s">
        <v>376</v>
      </c>
    </row>
    <row r="394" customFormat="false" ht="12" hidden="false" customHeight="false" outlineLevel="0" collapsed="false">
      <c r="A394" s="1" t="n">
        <v>145</v>
      </c>
      <c r="C394" s="1" t="s">
        <v>312</v>
      </c>
      <c r="D394" s="1" t="n">
        <v>1</v>
      </c>
      <c r="E394" s="1" t="n">
        <v>3</v>
      </c>
      <c r="F394" s="1" t="s">
        <v>12</v>
      </c>
      <c r="H394" s="1" t="s">
        <v>310</v>
      </c>
      <c r="I394" s="1" t="s">
        <v>310</v>
      </c>
      <c r="N394" s="1" t="s">
        <v>376</v>
      </c>
    </row>
    <row r="395" customFormat="false" ht="12" hidden="false" customHeight="false" outlineLevel="0" collapsed="false">
      <c r="A395" s="1" t="n">
        <v>145</v>
      </c>
      <c r="C395" s="1" t="s">
        <v>312</v>
      </c>
      <c r="D395" s="1" t="n">
        <v>1</v>
      </c>
      <c r="E395" s="1" t="n">
        <v>8</v>
      </c>
      <c r="F395" s="1" t="s">
        <v>24</v>
      </c>
      <c r="H395" s="1" t="s">
        <v>310</v>
      </c>
      <c r="I395" s="1" t="s">
        <v>310</v>
      </c>
      <c r="N395" s="1" t="s">
        <v>376</v>
      </c>
    </row>
    <row r="396" customFormat="false" ht="12" hidden="false" customHeight="false" outlineLevel="0" collapsed="false">
      <c r="A396" s="1" t="n">
        <v>145</v>
      </c>
      <c r="C396" s="1" t="s">
        <v>312</v>
      </c>
      <c r="D396" s="1" t="n">
        <v>1</v>
      </c>
      <c r="E396" s="1" t="n">
        <v>9</v>
      </c>
      <c r="F396" s="1" t="s">
        <v>28</v>
      </c>
      <c r="H396" s="1" t="s">
        <v>310</v>
      </c>
      <c r="I396" s="1" t="s">
        <v>310</v>
      </c>
      <c r="N396" s="1" t="s">
        <v>376</v>
      </c>
    </row>
    <row r="397" customFormat="false" ht="12" hidden="false" customHeight="false" outlineLevel="0" collapsed="false">
      <c r="A397" s="1" t="n">
        <v>146</v>
      </c>
      <c r="C397" s="1" t="s">
        <v>313</v>
      </c>
      <c r="D397" s="1" t="n">
        <v>1</v>
      </c>
      <c r="E397" s="1" t="n">
        <v>1</v>
      </c>
      <c r="F397" s="1" t="s">
        <v>8</v>
      </c>
      <c r="H397" s="1" t="s">
        <v>310</v>
      </c>
      <c r="I397" s="1" t="s">
        <v>310</v>
      </c>
      <c r="N397" s="1" t="s">
        <v>376</v>
      </c>
    </row>
    <row r="398" customFormat="false" ht="12" hidden="false" customHeight="false" outlineLevel="0" collapsed="false">
      <c r="A398" s="1" t="n">
        <v>146</v>
      </c>
      <c r="C398" s="1" t="s">
        <v>313</v>
      </c>
      <c r="D398" s="1" t="n">
        <v>1</v>
      </c>
      <c r="E398" s="1" t="n">
        <v>9</v>
      </c>
      <c r="F398" s="1" t="s">
        <v>28</v>
      </c>
      <c r="H398" s="1" t="s">
        <v>310</v>
      </c>
      <c r="I398" s="1" t="s">
        <v>310</v>
      </c>
      <c r="N398" s="1" t="s">
        <v>376</v>
      </c>
    </row>
    <row r="399" customFormat="false" ht="12" hidden="false" customHeight="false" outlineLevel="0" collapsed="false">
      <c r="A399" s="1" t="n">
        <v>147</v>
      </c>
      <c r="C399" s="1" t="s">
        <v>314</v>
      </c>
      <c r="D399" s="1" t="n">
        <v>1</v>
      </c>
      <c r="E399" s="1" t="n">
        <v>1</v>
      </c>
      <c r="F399" s="1" t="s">
        <v>8</v>
      </c>
      <c r="H399" s="1" t="s">
        <v>310</v>
      </c>
      <c r="I399" s="1" t="s">
        <v>310</v>
      </c>
      <c r="N399" s="1" t="s">
        <v>376</v>
      </c>
    </row>
    <row r="400" customFormat="false" ht="12" hidden="false" customHeight="false" outlineLevel="0" collapsed="false">
      <c r="A400" s="1" t="n">
        <v>147</v>
      </c>
      <c r="C400" s="1" t="s">
        <v>314</v>
      </c>
      <c r="D400" s="1" t="n">
        <v>1</v>
      </c>
      <c r="E400" s="1" t="n">
        <v>3</v>
      </c>
      <c r="F400" s="1" t="s">
        <v>12</v>
      </c>
      <c r="H400" s="1" t="s">
        <v>310</v>
      </c>
      <c r="I400" s="1" t="s">
        <v>310</v>
      </c>
      <c r="N400" s="1" t="s">
        <v>376</v>
      </c>
    </row>
    <row r="401" customFormat="false" ht="12" hidden="false" customHeight="false" outlineLevel="0" collapsed="false">
      <c r="A401" s="1" t="n">
        <v>147</v>
      </c>
      <c r="C401" s="1" t="s">
        <v>314</v>
      </c>
      <c r="D401" s="1" t="n">
        <v>1</v>
      </c>
      <c r="E401" s="1" t="n">
        <v>9</v>
      </c>
      <c r="F401" s="1" t="s">
        <v>28</v>
      </c>
      <c r="H401" s="1" t="s">
        <v>310</v>
      </c>
      <c r="I401" s="1" t="s">
        <v>310</v>
      </c>
      <c r="N401" s="1" t="s">
        <v>376</v>
      </c>
    </row>
    <row r="402" customFormat="false" ht="12" hidden="false" customHeight="false" outlineLevel="0" collapsed="false">
      <c r="A402" s="1" t="n">
        <v>148</v>
      </c>
      <c r="C402" s="1" t="s">
        <v>315</v>
      </c>
      <c r="D402" s="1" t="n">
        <v>1</v>
      </c>
      <c r="E402" s="1" t="n">
        <v>1</v>
      </c>
      <c r="F402" s="1" t="s">
        <v>8</v>
      </c>
      <c r="H402" s="1" t="s">
        <v>310</v>
      </c>
      <c r="I402" s="1" t="s">
        <v>310</v>
      </c>
      <c r="N402" s="1" t="s">
        <v>376</v>
      </c>
    </row>
    <row r="403" customFormat="false" ht="12" hidden="false" customHeight="false" outlineLevel="0" collapsed="false">
      <c r="A403" s="1" t="n">
        <v>148</v>
      </c>
      <c r="C403" s="1" t="s">
        <v>315</v>
      </c>
      <c r="D403" s="1" t="n">
        <v>1</v>
      </c>
      <c r="E403" s="1" t="n">
        <v>7</v>
      </c>
      <c r="F403" s="1" t="s">
        <v>20</v>
      </c>
      <c r="H403" s="1" t="s">
        <v>310</v>
      </c>
      <c r="I403" s="1" t="s">
        <v>310</v>
      </c>
      <c r="N403" s="1" t="s">
        <v>376</v>
      </c>
    </row>
    <row r="404" customFormat="false" ht="12" hidden="false" customHeight="false" outlineLevel="0" collapsed="false">
      <c r="A404" s="1" t="n">
        <v>148</v>
      </c>
      <c r="C404" s="1" t="s">
        <v>315</v>
      </c>
      <c r="D404" s="1" t="n">
        <v>1</v>
      </c>
      <c r="E404" s="1" t="n">
        <v>9</v>
      </c>
      <c r="F404" s="1" t="s">
        <v>28</v>
      </c>
      <c r="H404" s="1" t="s">
        <v>310</v>
      </c>
      <c r="I404" s="1" t="s">
        <v>310</v>
      </c>
      <c r="N404" s="1" t="s">
        <v>376</v>
      </c>
    </row>
    <row r="405" customFormat="false" ht="12" hidden="false" customHeight="false" outlineLevel="0" collapsed="false">
      <c r="A405" s="1" t="n">
        <v>149</v>
      </c>
      <c r="C405" s="1" t="s">
        <v>316</v>
      </c>
      <c r="D405" s="1" t="n">
        <v>1</v>
      </c>
      <c r="E405" s="1" t="n">
        <v>1</v>
      </c>
      <c r="F405" s="1" t="s">
        <v>8</v>
      </c>
      <c r="H405" s="1" t="s">
        <v>310</v>
      </c>
      <c r="I405" s="1" t="s">
        <v>310</v>
      </c>
      <c r="N405" s="1" t="s">
        <v>376</v>
      </c>
    </row>
    <row r="406" customFormat="false" ht="12" hidden="false" customHeight="false" outlineLevel="0" collapsed="false">
      <c r="A406" s="1" t="n">
        <v>149</v>
      </c>
      <c r="C406" s="1" t="s">
        <v>316</v>
      </c>
      <c r="D406" s="1" t="n">
        <v>1</v>
      </c>
      <c r="E406" s="1" t="n">
        <v>7</v>
      </c>
      <c r="F406" s="1" t="s">
        <v>20</v>
      </c>
      <c r="H406" s="1" t="s">
        <v>310</v>
      </c>
      <c r="I406" s="1" t="s">
        <v>310</v>
      </c>
      <c r="N406" s="1" t="s">
        <v>376</v>
      </c>
    </row>
    <row r="407" customFormat="false" ht="12" hidden="false" customHeight="false" outlineLevel="0" collapsed="false">
      <c r="A407" s="1" t="n">
        <v>149</v>
      </c>
      <c r="C407" s="1" t="s">
        <v>316</v>
      </c>
      <c r="D407" s="1" t="n">
        <v>1</v>
      </c>
      <c r="E407" s="1" t="n">
        <v>9</v>
      </c>
      <c r="F407" s="1" t="s">
        <v>28</v>
      </c>
      <c r="H407" s="1" t="s">
        <v>310</v>
      </c>
      <c r="I407" s="1" t="s">
        <v>310</v>
      </c>
      <c r="N407" s="1" t="s">
        <v>376</v>
      </c>
    </row>
    <row r="408" customFormat="false" ht="12" hidden="false" customHeight="false" outlineLevel="0" collapsed="false">
      <c r="A408" s="1" t="n">
        <v>150</v>
      </c>
      <c r="C408" s="1" t="s">
        <v>317</v>
      </c>
      <c r="D408" s="1" t="n">
        <v>1</v>
      </c>
      <c r="E408" s="1" t="n">
        <v>1</v>
      </c>
      <c r="F408" s="1" t="s">
        <v>8</v>
      </c>
      <c r="H408" s="1" t="s">
        <v>310</v>
      </c>
      <c r="I408" s="1" t="s">
        <v>310</v>
      </c>
      <c r="N408" s="1" t="s">
        <v>376</v>
      </c>
    </row>
    <row r="409" customFormat="false" ht="12" hidden="false" customHeight="false" outlineLevel="0" collapsed="false">
      <c r="A409" s="1" t="n">
        <v>150</v>
      </c>
      <c r="C409" s="1" t="s">
        <v>317</v>
      </c>
      <c r="D409" s="1" t="n">
        <v>1</v>
      </c>
      <c r="E409" s="1" t="n">
        <v>9</v>
      </c>
      <c r="F409" s="1" t="s">
        <v>28</v>
      </c>
      <c r="H409" s="1" t="s">
        <v>310</v>
      </c>
      <c r="I409" s="1" t="s">
        <v>310</v>
      </c>
      <c r="N409" s="1" t="s">
        <v>376</v>
      </c>
    </row>
    <row r="410" customFormat="false" ht="12" hidden="false" customHeight="false" outlineLevel="0" collapsed="false">
      <c r="A410" s="1" t="n">
        <v>151</v>
      </c>
      <c r="C410" s="1" t="s">
        <v>318</v>
      </c>
      <c r="D410" s="1" t="n">
        <v>1</v>
      </c>
      <c r="E410" s="1" t="n">
        <v>1</v>
      </c>
      <c r="F410" s="1" t="s">
        <v>8</v>
      </c>
      <c r="H410" s="1" t="s">
        <v>310</v>
      </c>
      <c r="I410" s="1" t="s">
        <v>310</v>
      </c>
      <c r="N410" s="1" t="s">
        <v>376</v>
      </c>
    </row>
    <row r="411" customFormat="false" ht="12" hidden="false" customHeight="false" outlineLevel="0" collapsed="false">
      <c r="A411" s="1" t="n">
        <v>151</v>
      </c>
      <c r="C411" s="1" t="s">
        <v>318</v>
      </c>
      <c r="D411" s="1" t="n">
        <v>1</v>
      </c>
      <c r="E411" s="1" t="n">
        <v>3</v>
      </c>
      <c r="F411" s="1" t="s">
        <v>12</v>
      </c>
      <c r="H411" s="1" t="s">
        <v>310</v>
      </c>
      <c r="I411" s="1" t="s">
        <v>310</v>
      </c>
      <c r="N411" s="1" t="s">
        <v>376</v>
      </c>
    </row>
    <row r="412" customFormat="false" ht="12" hidden="false" customHeight="false" outlineLevel="0" collapsed="false">
      <c r="A412" s="1" t="n">
        <v>151</v>
      </c>
      <c r="C412" s="1" t="s">
        <v>318</v>
      </c>
      <c r="D412" s="1" t="n">
        <v>1</v>
      </c>
      <c r="E412" s="1" t="n">
        <v>9</v>
      </c>
      <c r="F412" s="1" t="s">
        <v>28</v>
      </c>
      <c r="H412" s="1" t="s">
        <v>310</v>
      </c>
      <c r="I412" s="1" t="s">
        <v>310</v>
      </c>
      <c r="N412" s="1" t="s">
        <v>376</v>
      </c>
    </row>
    <row r="413" customFormat="false" ht="12" hidden="false" customHeight="false" outlineLevel="0" collapsed="false">
      <c r="A413" s="1" t="n">
        <v>152</v>
      </c>
      <c r="C413" s="1" t="s">
        <v>319</v>
      </c>
      <c r="D413" s="1" t="n">
        <v>1</v>
      </c>
      <c r="E413" s="1" t="n">
        <v>1</v>
      </c>
      <c r="F413" s="1" t="s">
        <v>8</v>
      </c>
      <c r="H413" s="1" t="s">
        <v>310</v>
      </c>
      <c r="I413" s="1" t="s">
        <v>310</v>
      </c>
      <c r="N413" s="1" t="s">
        <v>376</v>
      </c>
    </row>
    <row r="414" customFormat="false" ht="12" hidden="false" customHeight="false" outlineLevel="0" collapsed="false">
      <c r="A414" s="1" t="n">
        <v>152</v>
      </c>
      <c r="C414" s="1" t="s">
        <v>319</v>
      </c>
      <c r="D414" s="1" t="n">
        <v>1</v>
      </c>
      <c r="E414" s="1" t="n">
        <v>9</v>
      </c>
      <c r="F414" s="1" t="s">
        <v>28</v>
      </c>
      <c r="H414" s="1" t="s">
        <v>310</v>
      </c>
      <c r="I414" s="1" t="s">
        <v>310</v>
      </c>
      <c r="N414" s="1" t="s">
        <v>376</v>
      </c>
    </row>
    <row r="415" customFormat="false" ht="12" hidden="false" customHeight="false" outlineLevel="0" collapsed="false">
      <c r="A415" s="1" t="n">
        <v>153</v>
      </c>
      <c r="C415" s="1" t="s">
        <v>320</v>
      </c>
      <c r="D415" s="1" t="n">
        <v>1</v>
      </c>
      <c r="E415" s="1" t="n">
        <v>1</v>
      </c>
      <c r="F415" s="1" t="s">
        <v>8</v>
      </c>
      <c r="H415" s="1" t="s">
        <v>310</v>
      </c>
      <c r="I415" s="1" t="s">
        <v>310</v>
      </c>
      <c r="N415" s="1" t="s">
        <v>376</v>
      </c>
    </row>
    <row r="416" customFormat="false" ht="12" hidden="false" customHeight="false" outlineLevel="0" collapsed="false">
      <c r="A416" s="1" t="n">
        <v>153</v>
      </c>
      <c r="C416" s="1" t="s">
        <v>320</v>
      </c>
      <c r="D416" s="1" t="n">
        <v>1</v>
      </c>
      <c r="E416" s="1" t="n">
        <v>9</v>
      </c>
      <c r="F416" s="1" t="s">
        <v>28</v>
      </c>
      <c r="H416" s="1" t="s">
        <v>310</v>
      </c>
      <c r="I416" s="1" t="s">
        <v>310</v>
      </c>
      <c r="N416" s="1" t="s">
        <v>376</v>
      </c>
    </row>
    <row r="417" customFormat="false" ht="12" hidden="false" customHeight="false" outlineLevel="0" collapsed="false">
      <c r="A417" s="1" t="n">
        <v>154</v>
      </c>
      <c r="C417" s="1" t="s">
        <v>321</v>
      </c>
      <c r="D417" s="1" t="n">
        <v>1</v>
      </c>
      <c r="E417" s="1" t="n">
        <v>1</v>
      </c>
      <c r="F417" s="1" t="s">
        <v>8</v>
      </c>
      <c r="H417" s="1" t="s">
        <v>310</v>
      </c>
      <c r="I417" s="1" t="s">
        <v>310</v>
      </c>
      <c r="N417" s="1" t="s">
        <v>376</v>
      </c>
    </row>
    <row r="418" customFormat="false" ht="12" hidden="false" customHeight="false" outlineLevel="0" collapsed="false">
      <c r="A418" s="1" t="n">
        <v>154</v>
      </c>
      <c r="C418" s="1" t="s">
        <v>321</v>
      </c>
      <c r="D418" s="1" t="n">
        <v>1</v>
      </c>
      <c r="E418" s="1" t="n">
        <v>3</v>
      </c>
      <c r="F418" s="1" t="s">
        <v>12</v>
      </c>
      <c r="H418" s="1" t="s">
        <v>310</v>
      </c>
      <c r="I418" s="1" t="s">
        <v>310</v>
      </c>
      <c r="N418" s="1" t="s">
        <v>376</v>
      </c>
    </row>
    <row r="419" customFormat="false" ht="12" hidden="false" customHeight="false" outlineLevel="0" collapsed="false">
      <c r="A419" s="1" t="n">
        <v>154</v>
      </c>
      <c r="C419" s="1" t="s">
        <v>321</v>
      </c>
      <c r="D419" s="1" t="n">
        <v>1</v>
      </c>
      <c r="E419" s="1" t="n">
        <v>8</v>
      </c>
      <c r="F419" s="1" t="s">
        <v>24</v>
      </c>
      <c r="H419" s="1" t="s">
        <v>310</v>
      </c>
      <c r="I419" s="1" t="s">
        <v>310</v>
      </c>
      <c r="N419" s="1" t="s">
        <v>376</v>
      </c>
    </row>
    <row r="420" customFormat="false" ht="12" hidden="false" customHeight="false" outlineLevel="0" collapsed="false">
      <c r="A420" s="1" t="n">
        <v>154</v>
      </c>
      <c r="C420" s="1" t="s">
        <v>321</v>
      </c>
      <c r="D420" s="1" t="n">
        <v>1</v>
      </c>
      <c r="E420" s="1" t="n">
        <v>9</v>
      </c>
      <c r="F420" s="1" t="s">
        <v>28</v>
      </c>
      <c r="H420" s="1" t="s">
        <v>310</v>
      </c>
      <c r="I420" s="1" t="s">
        <v>310</v>
      </c>
      <c r="N420" s="1" t="s">
        <v>376</v>
      </c>
    </row>
    <row r="421" customFormat="false" ht="12" hidden="false" customHeight="false" outlineLevel="0" collapsed="false">
      <c r="A421" s="1" t="n">
        <v>155</v>
      </c>
      <c r="C421" s="1" t="s">
        <v>322</v>
      </c>
      <c r="D421" s="1" t="n">
        <v>1</v>
      </c>
      <c r="E421" s="1" t="n">
        <v>1</v>
      </c>
      <c r="F421" s="1" t="s">
        <v>8</v>
      </c>
      <c r="H421" s="1" t="s">
        <v>310</v>
      </c>
      <c r="I421" s="1" t="s">
        <v>310</v>
      </c>
      <c r="N421" s="1" t="s">
        <v>376</v>
      </c>
    </row>
    <row r="422" customFormat="false" ht="12" hidden="false" customHeight="false" outlineLevel="0" collapsed="false">
      <c r="A422" s="1" t="n">
        <v>155</v>
      </c>
      <c r="C422" s="1" t="s">
        <v>322</v>
      </c>
      <c r="D422" s="1" t="n">
        <v>1</v>
      </c>
      <c r="E422" s="1" t="n">
        <v>3</v>
      </c>
      <c r="F422" s="1" t="s">
        <v>12</v>
      </c>
      <c r="H422" s="1" t="s">
        <v>310</v>
      </c>
      <c r="I422" s="1" t="s">
        <v>310</v>
      </c>
      <c r="N422" s="1" t="s">
        <v>376</v>
      </c>
    </row>
    <row r="423" customFormat="false" ht="12" hidden="false" customHeight="false" outlineLevel="0" collapsed="false">
      <c r="A423" s="1" t="n">
        <v>155</v>
      </c>
      <c r="C423" s="1" t="s">
        <v>322</v>
      </c>
      <c r="D423" s="1" t="n">
        <v>1</v>
      </c>
      <c r="E423" s="1" t="n">
        <v>8</v>
      </c>
      <c r="F423" s="1" t="s">
        <v>24</v>
      </c>
      <c r="H423" s="1" t="s">
        <v>310</v>
      </c>
      <c r="I423" s="1" t="s">
        <v>310</v>
      </c>
      <c r="N423" s="1" t="s">
        <v>376</v>
      </c>
    </row>
    <row r="424" customFormat="false" ht="12" hidden="false" customHeight="false" outlineLevel="0" collapsed="false">
      <c r="A424" s="1" t="n">
        <v>155</v>
      </c>
      <c r="C424" s="1" t="s">
        <v>322</v>
      </c>
      <c r="D424" s="1" t="n">
        <v>1</v>
      </c>
      <c r="E424" s="1" t="n">
        <v>9</v>
      </c>
      <c r="F424" s="1" t="s">
        <v>28</v>
      </c>
      <c r="H424" s="1" t="s">
        <v>310</v>
      </c>
      <c r="I424" s="1" t="s">
        <v>310</v>
      </c>
      <c r="N424" s="1" t="s">
        <v>376</v>
      </c>
    </row>
    <row r="425" customFormat="false" ht="12" hidden="false" customHeight="false" outlineLevel="0" collapsed="false">
      <c r="A425" s="1" t="n">
        <v>157</v>
      </c>
      <c r="C425" s="1" t="s">
        <v>323</v>
      </c>
      <c r="D425" s="1" t="n">
        <v>1</v>
      </c>
      <c r="E425" s="1" t="n">
        <v>1</v>
      </c>
      <c r="F425" s="1" t="s">
        <v>8</v>
      </c>
      <c r="H425" s="1" t="s">
        <v>310</v>
      </c>
      <c r="I425" s="1" t="s">
        <v>310</v>
      </c>
      <c r="N425" s="1" t="s">
        <v>376</v>
      </c>
    </row>
    <row r="426" customFormat="false" ht="12" hidden="false" customHeight="false" outlineLevel="0" collapsed="false">
      <c r="A426" s="1" t="n">
        <v>157</v>
      </c>
      <c r="C426" s="1" t="s">
        <v>323</v>
      </c>
      <c r="D426" s="1" t="n">
        <v>1</v>
      </c>
      <c r="E426" s="1" t="n">
        <v>9</v>
      </c>
      <c r="F426" s="1" t="s">
        <v>28</v>
      </c>
      <c r="H426" s="1" t="s">
        <v>310</v>
      </c>
      <c r="I426" s="1" t="s">
        <v>310</v>
      </c>
      <c r="N426" s="1" t="s">
        <v>376</v>
      </c>
    </row>
    <row r="427" customFormat="false" ht="12" hidden="false" customHeight="false" outlineLevel="0" collapsed="false">
      <c r="A427" s="1" t="n">
        <v>158</v>
      </c>
      <c r="C427" s="1" t="s">
        <v>324</v>
      </c>
      <c r="D427" s="1" t="n">
        <v>1</v>
      </c>
      <c r="E427" s="1" t="n">
        <v>1</v>
      </c>
      <c r="F427" s="1" t="s">
        <v>8</v>
      </c>
      <c r="H427" s="1" t="s">
        <v>310</v>
      </c>
      <c r="I427" s="1" t="s">
        <v>310</v>
      </c>
      <c r="N427" s="1" t="s">
        <v>376</v>
      </c>
    </row>
    <row r="428" customFormat="false" ht="12" hidden="false" customHeight="false" outlineLevel="0" collapsed="false">
      <c r="A428" s="1" t="n">
        <v>158</v>
      </c>
      <c r="C428" s="1" t="s">
        <v>324</v>
      </c>
      <c r="D428" s="1" t="n">
        <v>1</v>
      </c>
      <c r="E428" s="1" t="n">
        <v>9</v>
      </c>
      <c r="F428" s="1" t="s">
        <v>28</v>
      </c>
      <c r="H428" s="1" t="s">
        <v>310</v>
      </c>
      <c r="I428" s="1" t="s">
        <v>310</v>
      </c>
      <c r="N428" s="1" t="s">
        <v>376</v>
      </c>
    </row>
    <row r="429" customFormat="false" ht="12" hidden="false" customHeight="false" outlineLevel="0" collapsed="false">
      <c r="A429" s="1" t="n">
        <v>159</v>
      </c>
      <c r="C429" s="1" t="s">
        <v>325</v>
      </c>
      <c r="D429" s="1" t="n">
        <v>1</v>
      </c>
      <c r="E429" s="1" t="n">
        <v>1</v>
      </c>
      <c r="F429" s="1" t="s">
        <v>8</v>
      </c>
      <c r="H429" s="1" t="s">
        <v>310</v>
      </c>
      <c r="I429" s="1" t="s">
        <v>310</v>
      </c>
      <c r="N429" s="1" t="s">
        <v>376</v>
      </c>
    </row>
    <row r="430" customFormat="false" ht="12" hidden="false" customHeight="false" outlineLevel="0" collapsed="false">
      <c r="A430" s="1" t="n">
        <v>159</v>
      </c>
      <c r="C430" s="1" t="s">
        <v>325</v>
      </c>
      <c r="D430" s="1" t="n">
        <v>1</v>
      </c>
      <c r="E430" s="1" t="n">
        <v>9</v>
      </c>
      <c r="F430" s="1" t="s">
        <v>28</v>
      </c>
      <c r="H430" s="1" t="s">
        <v>310</v>
      </c>
      <c r="I430" s="1" t="s">
        <v>310</v>
      </c>
      <c r="N430" s="1" t="s">
        <v>376</v>
      </c>
    </row>
    <row r="431" customFormat="false" ht="12" hidden="false" customHeight="false" outlineLevel="0" collapsed="false">
      <c r="A431" s="1" t="n">
        <v>160</v>
      </c>
      <c r="C431" s="1" t="s">
        <v>326</v>
      </c>
      <c r="D431" s="1" t="n">
        <v>1</v>
      </c>
      <c r="E431" s="1" t="n">
        <v>1</v>
      </c>
      <c r="F431" s="1" t="s">
        <v>8</v>
      </c>
      <c r="H431" s="1" t="s">
        <v>310</v>
      </c>
      <c r="I431" s="1" t="s">
        <v>310</v>
      </c>
      <c r="N431" s="1" t="s">
        <v>376</v>
      </c>
    </row>
    <row r="432" customFormat="false" ht="12" hidden="false" customHeight="false" outlineLevel="0" collapsed="false">
      <c r="A432" s="1" t="n">
        <v>160</v>
      </c>
      <c r="C432" s="1" t="s">
        <v>326</v>
      </c>
      <c r="D432" s="1" t="n">
        <v>1</v>
      </c>
      <c r="E432" s="1" t="n">
        <v>3</v>
      </c>
      <c r="F432" s="1" t="s">
        <v>12</v>
      </c>
      <c r="H432" s="1" t="s">
        <v>310</v>
      </c>
      <c r="I432" s="1" t="s">
        <v>310</v>
      </c>
      <c r="N432" s="1" t="s">
        <v>376</v>
      </c>
    </row>
    <row r="433" customFormat="false" ht="12" hidden="false" customHeight="false" outlineLevel="0" collapsed="false">
      <c r="A433" s="1" t="n">
        <v>160</v>
      </c>
      <c r="C433" s="1" t="s">
        <v>326</v>
      </c>
      <c r="D433" s="1" t="n">
        <v>1</v>
      </c>
      <c r="E433" s="1" t="n">
        <v>8</v>
      </c>
      <c r="F433" s="1" t="s">
        <v>24</v>
      </c>
      <c r="H433" s="1" t="s">
        <v>310</v>
      </c>
      <c r="I433" s="1" t="s">
        <v>310</v>
      </c>
      <c r="N433" s="1" t="s">
        <v>376</v>
      </c>
    </row>
    <row r="434" customFormat="false" ht="12" hidden="false" customHeight="false" outlineLevel="0" collapsed="false">
      <c r="A434" s="1" t="n">
        <v>160</v>
      </c>
      <c r="C434" s="1" t="s">
        <v>326</v>
      </c>
      <c r="D434" s="1" t="n">
        <v>1</v>
      </c>
      <c r="E434" s="1" t="n">
        <v>9</v>
      </c>
      <c r="F434" s="1" t="s">
        <v>28</v>
      </c>
      <c r="H434" s="1" t="s">
        <v>310</v>
      </c>
      <c r="I434" s="1" t="s">
        <v>310</v>
      </c>
      <c r="N434" s="1" t="s">
        <v>376</v>
      </c>
    </row>
    <row r="435" customFormat="false" ht="12" hidden="false" customHeight="false" outlineLevel="0" collapsed="false">
      <c r="A435" s="1" t="n">
        <v>161</v>
      </c>
      <c r="C435" s="1" t="s">
        <v>327</v>
      </c>
      <c r="D435" s="1" t="n">
        <v>1</v>
      </c>
      <c r="E435" s="1" t="n">
        <v>1</v>
      </c>
      <c r="F435" s="1" t="s">
        <v>8</v>
      </c>
      <c r="H435" s="1" t="s">
        <v>310</v>
      </c>
      <c r="I435" s="1" t="s">
        <v>310</v>
      </c>
      <c r="N435" s="1" t="s">
        <v>376</v>
      </c>
    </row>
    <row r="436" customFormat="false" ht="12" hidden="false" customHeight="false" outlineLevel="0" collapsed="false">
      <c r="A436" s="1" t="n">
        <v>161</v>
      </c>
      <c r="C436" s="1" t="s">
        <v>327</v>
      </c>
      <c r="D436" s="1" t="n">
        <v>1</v>
      </c>
      <c r="E436" s="1" t="n">
        <v>9</v>
      </c>
      <c r="F436" s="1" t="s">
        <v>28</v>
      </c>
      <c r="H436" s="1" t="s">
        <v>310</v>
      </c>
      <c r="I436" s="1" t="s">
        <v>310</v>
      </c>
      <c r="N436" s="1" t="s">
        <v>376</v>
      </c>
    </row>
    <row r="437" customFormat="false" ht="12" hidden="false" customHeight="false" outlineLevel="0" collapsed="false">
      <c r="A437" s="1" t="n">
        <v>162</v>
      </c>
      <c r="C437" s="1" t="s">
        <v>328</v>
      </c>
      <c r="D437" s="1" t="n">
        <v>1</v>
      </c>
      <c r="E437" s="1" t="n">
        <v>1</v>
      </c>
      <c r="F437" s="1" t="s">
        <v>8</v>
      </c>
      <c r="H437" s="1" t="s">
        <v>310</v>
      </c>
      <c r="I437" s="1" t="s">
        <v>310</v>
      </c>
      <c r="N437" s="1" t="s">
        <v>376</v>
      </c>
    </row>
    <row r="438" customFormat="false" ht="12" hidden="false" customHeight="false" outlineLevel="0" collapsed="false">
      <c r="A438" s="1" t="n">
        <v>162</v>
      </c>
      <c r="C438" s="1" t="s">
        <v>328</v>
      </c>
      <c r="D438" s="1" t="n">
        <v>1</v>
      </c>
      <c r="E438" s="1" t="n">
        <v>9</v>
      </c>
      <c r="F438" s="1" t="s">
        <v>28</v>
      </c>
      <c r="H438" s="1" t="s">
        <v>310</v>
      </c>
      <c r="I438" s="1" t="s">
        <v>310</v>
      </c>
      <c r="N438" s="1" t="s">
        <v>376</v>
      </c>
    </row>
    <row r="439" customFormat="false" ht="12" hidden="false" customHeight="false" outlineLevel="0" collapsed="false">
      <c r="A439" s="1" t="n">
        <v>163</v>
      </c>
      <c r="C439" s="1" t="s">
        <v>329</v>
      </c>
      <c r="D439" s="1" t="n">
        <v>1</v>
      </c>
      <c r="E439" s="1" t="n">
        <v>1</v>
      </c>
      <c r="F439" s="1" t="s">
        <v>8</v>
      </c>
      <c r="H439" s="1" t="s">
        <v>330</v>
      </c>
      <c r="I439" s="1" t="s">
        <v>330</v>
      </c>
      <c r="N439" s="1" t="s">
        <v>376</v>
      </c>
    </row>
    <row r="440" customFormat="false" ht="12" hidden="false" customHeight="false" outlineLevel="0" collapsed="false">
      <c r="A440" s="1" t="n">
        <v>163</v>
      </c>
      <c r="C440" s="1" t="s">
        <v>329</v>
      </c>
      <c r="D440" s="1" t="n">
        <v>1</v>
      </c>
      <c r="E440" s="1" t="n">
        <v>5</v>
      </c>
      <c r="F440" s="1" t="s">
        <v>14</v>
      </c>
      <c r="H440" s="1" t="s">
        <v>330</v>
      </c>
      <c r="I440" s="1" t="s">
        <v>330</v>
      </c>
      <c r="N440" s="1" t="s">
        <v>376</v>
      </c>
    </row>
    <row r="441" customFormat="false" ht="12" hidden="false" customHeight="false" outlineLevel="0" collapsed="false">
      <c r="A441" s="1" t="n">
        <v>163</v>
      </c>
      <c r="C441" s="1" t="s">
        <v>329</v>
      </c>
      <c r="D441" s="1" t="n">
        <v>1</v>
      </c>
      <c r="E441" s="1" t="n">
        <v>9</v>
      </c>
      <c r="F441" s="1" t="s">
        <v>28</v>
      </c>
      <c r="H441" s="1" t="s">
        <v>330</v>
      </c>
      <c r="I441" s="1" t="s">
        <v>330</v>
      </c>
      <c r="N441" s="1" t="s">
        <v>376</v>
      </c>
    </row>
    <row r="442" customFormat="false" ht="12" hidden="false" customHeight="false" outlineLevel="0" collapsed="false">
      <c r="A442" s="1" t="n">
        <v>164</v>
      </c>
      <c r="C442" s="1" t="s">
        <v>332</v>
      </c>
      <c r="D442" s="1" t="n">
        <v>1</v>
      </c>
      <c r="E442" s="1" t="n">
        <v>1</v>
      </c>
      <c r="F442" s="1" t="s">
        <v>8</v>
      </c>
      <c r="H442" s="1" t="s">
        <v>330</v>
      </c>
      <c r="I442" s="1" t="s">
        <v>330</v>
      </c>
      <c r="N442" s="1" t="s">
        <v>376</v>
      </c>
    </row>
    <row r="443" customFormat="false" ht="12" hidden="false" customHeight="false" outlineLevel="0" collapsed="false">
      <c r="A443" s="1" t="n">
        <v>164</v>
      </c>
      <c r="C443" s="1" t="s">
        <v>332</v>
      </c>
      <c r="D443" s="1" t="n">
        <v>1</v>
      </c>
      <c r="E443" s="1" t="n">
        <v>3</v>
      </c>
      <c r="F443" s="1" t="s">
        <v>12</v>
      </c>
      <c r="H443" s="1" t="s">
        <v>330</v>
      </c>
      <c r="I443" s="1" t="s">
        <v>330</v>
      </c>
      <c r="N443" s="1" t="s">
        <v>376</v>
      </c>
    </row>
    <row r="444" customFormat="false" ht="12" hidden="false" customHeight="false" outlineLevel="0" collapsed="false">
      <c r="A444" s="1" t="n">
        <v>164</v>
      </c>
      <c r="C444" s="1" t="s">
        <v>332</v>
      </c>
      <c r="D444" s="1" t="n">
        <v>1</v>
      </c>
      <c r="E444" s="1" t="n">
        <v>9</v>
      </c>
      <c r="F444" s="1" t="s">
        <v>28</v>
      </c>
      <c r="H444" s="1" t="s">
        <v>330</v>
      </c>
      <c r="I444" s="1" t="s">
        <v>330</v>
      </c>
      <c r="N444" s="1" t="s">
        <v>376</v>
      </c>
    </row>
    <row r="445" customFormat="false" ht="12" hidden="false" customHeight="false" outlineLevel="0" collapsed="false">
      <c r="A445" s="1" t="n">
        <v>165</v>
      </c>
      <c r="C445" s="1" t="s">
        <v>333</v>
      </c>
      <c r="D445" s="1" t="n">
        <v>1</v>
      </c>
      <c r="E445" s="1" t="n">
        <v>1</v>
      </c>
      <c r="F445" s="1" t="s">
        <v>8</v>
      </c>
      <c r="H445" s="1" t="s">
        <v>330</v>
      </c>
      <c r="I445" s="1" t="s">
        <v>330</v>
      </c>
      <c r="N445" s="1" t="s">
        <v>376</v>
      </c>
    </row>
    <row r="446" customFormat="false" ht="12" hidden="false" customHeight="false" outlineLevel="0" collapsed="false">
      <c r="A446" s="1" t="n">
        <v>165</v>
      </c>
      <c r="C446" s="1" t="s">
        <v>333</v>
      </c>
      <c r="D446" s="1" t="n">
        <v>1</v>
      </c>
      <c r="E446" s="1" t="n">
        <v>3</v>
      </c>
      <c r="F446" s="1" t="s">
        <v>12</v>
      </c>
      <c r="H446" s="1" t="s">
        <v>330</v>
      </c>
      <c r="I446" s="1" t="s">
        <v>330</v>
      </c>
      <c r="N446" s="1" t="s">
        <v>376</v>
      </c>
    </row>
    <row r="447" customFormat="false" ht="12" hidden="false" customHeight="false" outlineLevel="0" collapsed="false">
      <c r="A447" s="1" t="n">
        <v>165</v>
      </c>
      <c r="C447" s="1" t="s">
        <v>333</v>
      </c>
      <c r="D447" s="1" t="n">
        <v>1</v>
      </c>
      <c r="E447" s="1" t="n">
        <v>9</v>
      </c>
      <c r="F447" s="1" t="s">
        <v>28</v>
      </c>
      <c r="H447" s="1" t="s">
        <v>330</v>
      </c>
      <c r="I447" s="1" t="s">
        <v>330</v>
      </c>
      <c r="N447" s="1" t="s">
        <v>376</v>
      </c>
    </row>
    <row r="448" customFormat="false" ht="12" hidden="false" customHeight="false" outlineLevel="0" collapsed="false">
      <c r="A448" s="1" t="n">
        <v>166</v>
      </c>
      <c r="C448" s="1" t="s">
        <v>334</v>
      </c>
      <c r="D448" s="1" t="n">
        <v>1</v>
      </c>
      <c r="E448" s="1" t="n">
        <v>1</v>
      </c>
      <c r="F448" s="1" t="s">
        <v>8</v>
      </c>
      <c r="H448" s="1" t="s">
        <v>330</v>
      </c>
      <c r="I448" s="1" t="s">
        <v>330</v>
      </c>
      <c r="N448" s="1" t="s">
        <v>376</v>
      </c>
    </row>
    <row r="449" customFormat="false" ht="12" hidden="false" customHeight="false" outlineLevel="0" collapsed="false">
      <c r="A449" s="1" t="n">
        <v>166</v>
      </c>
      <c r="C449" s="1" t="s">
        <v>334</v>
      </c>
      <c r="D449" s="1" t="n">
        <v>1</v>
      </c>
      <c r="E449" s="1" t="n">
        <v>4</v>
      </c>
      <c r="F449" s="1" t="s">
        <v>13</v>
      </c>
      <c r="H449" s="1" t="s">
        <v>330</v>
      </c>
      <c r="I449" s="1" t="s">
        <v>330</v>
      </c>
      <c r="N449" s="1" t="s">
        <v>376</v>
      </c>
    </row>
    <row r="450" customFormat="false" ht="12" hidden="false" customHeight="false" outlineLevel="0" collapsed="false">
      <c r="A450" s="1" t="n">
        <v>166</v>
      </c>
      <c r="C450" s="1" t="s">
        <v>334</v>
      </c>
      <c r="D450" s="1" t="n">
        <v>1</v>
      </c>
      <c r="E450" s="1" t="n">
        <v>9</v>
      </c>
      <c r="F450" s="1" t="s">
        <v>28</v>
      </c>
      <c r="H450" s="1" t="s">
        <v>330</v>
      </c>
      <c r="I450" s="1" t="s">
        <v>330</v>
      </c>
      <c r="N450" s="1" t="s">
        <v>376</v>
      </c>
    </row>
    <row r="451" customFormat="false" ht="12" hidden="false" customHeight="false" outlineLevel="0" collapsed="false">
      <c r="A451" s="1" t="n">
        <v>167</v>
      </c>
      <c r="C451" s="1" t="s">
        <v>335</v>
      </c>
      <c r="D451" s="1" t="n">
        <v>1</v>
      </c>
      <c r="E451" s="1" t="n">
        <v>1</v>
      </c>
      <c r="F451" s="1" t="s">
        <v>8</v>
      </c>
      <c r="H451" s="1" t="s">
        <v>330</v>
      </c>
      <c r="I451" s="1" t="s">
        <v>330</v>
      </c>
      <c r="N451" s="1" t="s">
        <v>376</v>
      </c>
    </row>
    <row r="452" customFormat="false" ht="12" hidden="false" customHeight="false" outlineLevel="0" collapsed="false">
      <c r="A452" s="1" t="n">
        <v>167</v>
      </c>
      <c r="C452" s="1" t="s">
        <v>335</v>
      </c>
      <c r="D452" s="1" t="n">
        <v>1</v>
      </c>
      <c r="E452" s="1" t="n">
        <v>5</v>
      </c>
      <c r="F452" s="1" t="s">
        <v>14</v>
      </c>
      <c r="H452" s="1" t="s">
        <v>330</v>
      </c>
      <c r="I452" s="1" t="s">
        <v>330</v>
      </c>
      <c r="N452" s="1" t="s">
        <v>376</v>
      </c>
    </row>
    <row r="453" customFormat="false" ht="12" hidden="false" customHeight="false" outlineLevel="0" collapsed="false">
      <c r="A453" s="1" t="n">
        <v>167</v>
      </c>
      <c r="C453" s="1" t="s">
        <v>335</v>
      </c>
      <c r="D453" s="1" t="n">
        <v>1</v>
      </c>
      <c r="E453" s="1" t="n">
        <v>9</v>
      </c>
      <c r="F453" s="1" t="s">
        <v>28</v>
      </c>
      <c r="H453" s="1" t="s">
        <v>330</v>
      </c>
      <c r="I453" s="1" t="s">
        <v>330</v>
      </c>
      <c r="N453" s="1" t="s">
        <v>376</v>
      </c>
    </row>
    <row r="454" customFormat="false" ht="12" hidden="false" customHeight="false" outlineLevel="0" collapsed="false">
      <c r="A454" s="1" t="n">
        <v>168</v>
      </c>
      <c r="C454" s="1" t="s">
        <v>336</v>
      </c>
      <c r="D454" s="1" t="n">
        <v>1</v>
      </c>
      <c r="E454" s="1" t="n">
        <v>1</v>
      </c>
      <c r="F454" s="1" t="s">
        <v>8</v>
      </c>
      <c r="H454" s="1" t="s">
        <v>330</v>
      </c>
      <c r="I454" s="1" t="s">
        <v>330</v>
      </c>
      <c r="N454" s="1" t="s">
        <v>376</v>
      </c>
    </row>
    <row r="455" customFormat="false" ht="12" hidden="false" customHeight="false" outlineLevel="0" collapsed="false">
      <c r="A455" s="1" t="n">
        <v>168</v>
      </c>
      <c r="C455" s="1" t="s">
        <v>336</v>
      </c>
      <c r="D455" s="1" t="n">
        <v>1</v>
      </c>
      <c r="E455" s="1" t="n">
        <v>4</v>
      </c>
      <c r="F455" s="1" t="s">
        <v>13</v>
      </c>
      <c r="H455" s="1" t="s">
        <v>330</v>
      </c>
      <c r="I455" s="1" t="s">
        <v>330</v>
      </c>
      <c r="N455" s="1" t="s">
        <v>376</v>
      </c>
    </row>
    <row r="456" customFormat="false" ht="12" hidden="false" customHeight="false" outlineLevel="0" collapsed="false">
      <c r="A456" s="1" t="n">
        <v>168</v>
      </c>
      <c r="C456" s="1" t="s">
        <v>336</v>
      </c>
      <c r="D456" s="1" t="n">
        <v>1</v>
      </c>
      <c r="E456" s="1" t="n">
        <v>9</v>
      </c>
      <c r="F456" s="1" t="s">
        <v>28</v>
      </c>
      <c r="H456" s="1" t="s">
        <v>330</v>
      </c>
      <c r="I456" s="1" t="s">
        <v>330</v>
      </c>
      <c r="N456" s="1" t="s">
        <v>376</v>
      </c>
    </row>
    <row r="457" customFormat="false" ht="12" hidden="false" customHeight="false" outlineLevel="0" collapsed="false">
      <c r="A457" s="1" t="n">
        <v>169</v>
      </c>
      <c r="C457" s="1" t="s">
        <v>337</v>
      </c>
      <c r="D457" s="1" t="n">
        <v>1</v>
      </c>
      <c r="E457" s="1" t="n">
        <v>1</v>
      </c>
      <c r="F457" s="1" t="s">
        <v>8</v>
      </c>
      <c r="H457" s="1" t="s">
        <v>330</v>
      </c>
      <c r="I457" s="1" t="s">
        <v>330</v>
      </c>
      <c r="N457" s="1" t="s">
        <v>376</v>
      </c>
    </row>
    <row r="458" customFormat="false" ht="12" hidden="false" customHeight="false" outlineLevel="0" collapsed="false">
      <c r="A458" s="1" t="n">
        <v>169</v>
      </c>
      <c r="C458" s="1" t="s">
        <v>337</v>
      </c>
      <c r="D458" s="1" t="n">
        <v>1</v>
      </c>
      <c r="E458" s="1" t="n">
        <v>4</v>
      </c>
      <c r="F458" s="1" t="s">
        <v>13</v>
      </c>
      <c r="H458" s="1" t="s">
        <v>330</v>
      </c>
      <c r="I458" s="1" t="s">
        <v>330</v>
      </c>
      <c r="N458" s="1" t="s">
        <v>376</v>
      </c>
    </row>
    <row r="459" customFormat="false" ht="12" hidden="false" customHeight="false" outlineLevel="0" collapsed="false">
      <c r="A459" s="1" t="n">
        <v>169</v>
      </c>
      <c r="C459" s="1" t="s">
        <v>337</v>
      </c>
      <c r="D459" s="1" t="n">
        <v>1</v>
      </c>
      <c r="E459" s="1" t="n">
        <v>9</v>
      </c>
      <c r="F459" s="1" t="s">
        <v>28</v>
      </c>
      <c r="H459" s="1" t="s">
        <v>330</v>
      </c>
      <c r="I459" s="1" t="s">
        <v>330</v>
      </c>
      <c r="N459" s="1" t="s">
        <v>376</v>
      </c>
    </row>
    <row r="460" customFormat="false" ht="12" hidden="false" customHeight="false" outlineLevel="0" collapsed="false">
      <c r="A460" s="1" t="n">
        <v>170</v>
      </c>
      <c r="C460" s="1" t="s">
        <v>338</v>
      </c>
      <c r="D460" s="1" t="n">
        <v>2</v>
      </c>
      <c r="E460" s="1" t="n">
        <v>1</v>
      </c>
      <c r="F460" s="1" t="s">
        <v>8</v>
      </c>
      <c r="H460" s="1" t="s">
        <v>339</v>
      </c>
      <c r="I460" s="1" t="s">
        <v>339</v>
      </c>
      <c r="N460" s="1" t="s">
        <v>376</v>
      </c>
    </row>
    <row r="461" customFormat="false" ht="12" hidden="false" customHeight="false" outlineLevel="0" collapsed="false">
      <c r="A461" s="1" t="n">
        <v>170</v>
      </c>
      <c r="C461" s="1" t="s">
        <v>338</v>
      </c>
      <c r="D461" s="1" t="n">
        <v>2</v>
      </c>
      <c r="E461" s="1" t="n">
        <v>4</v>
      </c>
      <c r="F461" s="1" t="s">
        <v>13</v>
      </c>
      <c r="H461" s="1" t="s">
        <v>339</v>
      </c>
      <c r="I461" s="1" t="s">
        <v>339</v>
      </c>
      <c r="N461" s="1" t="s">
        <v>376</v>
      </c>
    </row>
    <row r="462" customFormat="false" ht="12" hidden="false" customHeight="false" outlineLevel="0" collapsed="false">
      <c r="A462" s="1" t="n">
        <v>170</v>
      </c>
      <c r="C462" s="1" t="s">
        <v>338</v>
      </c>
      <c r="D462" s="1" t="n">
        <v>2</v>
      </c>
      <c r="E462" s="1" t="n">
        <v>9</v>
      </c>
      <c r="F462" s="1" t="s">
        <v>28</v>
      </c>
      <c r="H462" s="1" t="s">
        <v>339</v>
      </c>
      <c r="I462" s="1" t="s">
        <v>339</v>
      </c>
      <c r="N462" s="1" t="s">
        <v>376</v>
      </c>
    </row>
    <row r="463" customFormat="false" ht="12" hidden="false" customHeight="false" outlineLevel="0" collapsed="false">
      <c r="A463" s="1" t="n">
        <v>171</v>
      </c>
      <c r="C463" s="1" t="s">
        <v>340</v>
      </c>
      <c r="D463" s="1" t="n">
        <v>2</v>
      </c>
      <c r="E463" s="1" t="n">
        <v>1</v>
      </c>
      <c r="F463" s="1" t="s">
        <v>8</v>
      </c>
      <c r="H463" s="1" t="s">
        <v>341</v>
      </c>
      <c r="I463" s="1" t="s">
        <v>341</v>
      </c>
      <c r="N463" s="1" t="s">
        <v>376</v>
      </c>
    </row>
    <row r="464" customFormat="false" ht="12" hidden="false" customHeight="false" outlineLevel="0" collapsed="false">
      <c r="A464" s="1" t="n">
        <v>171</v>
      </c>
      <c r="C464" s="1" t="s">
        <v>340</v>
      </c>
      <c r="D464" s="1" t="n">
        <v>2</v>
      </c>
      <c r="E464" s="1" t="n">
        <v>8</v>
      </c>
      <c r="F464" s="1" t="s">
        <v>24</v>
      </c>
      <c r="H464" s="1" t="s">
        <v>341</v>
      </c>
      <c r="I464" s="1" t="s">
        <v>341</v>
      </c>
      <c r="N464" s="1" t="s">
        <v>376</v>
      </c>
    </row>
    <row r="465" customFormat="false" ht="12" hidden="false" customHeight="false" outlineLevel="0" collapsed="false">
      <c r="A465" s="1" t="n">
        <v>171</v>
      </c>
      <c r="C465" s="1" t="s">
        <v>340</v>
      </c>
      <c r="D465" s="1" t="n">
        <v>2</v>
      </c>
      <c r="E465" s="1" t="n">
        <v>9</v>
      </c>
      <c r="F465" s="1" t="s">
        <v>28</v>
      </c>
      <c r="H465" s="1" t="s">
        <v>341</v>
      </c>
      <c r="I465" s="1" t="s">
        <v>341</v>
      </c>
      <c r="N465" s="1" t="s">
        <v>376</v>
      </c>
    </row>
    <row r="466" customFormat="false" ht="12" hidden="false" customHeight="false" outlineLevel="0" collapsed="false">
      <c r="A466" s="1" t="n">
        <v>172</v>
      </c>
      <c r="C466" s="1" t="s">
        <v>342</v>
      </c>
      <c r="D466" s="1" t="n">
        <v>2</v>
      </c>
      <c r="E466" s="1" t="n">
        <v>1</v>
      </c>
      <c r="F466" s="1" t="s">
        <v>8</v>
      </c>
      <c r="H466" s="1" t="s">
        <v>341</v>
      </c>
      <c r="I466" s="1" t="s">
        <v>341</v>
      </c>
      <c r="N466" s="1" t="s">
        <v>376</v>
      </c>
    </row>
    <row r="467" customFormat="false" ht="12" hidden="false" customHeight="false" outlineLevel="0" collapsed="false">
      <c r="A467" s="1" t="n">
        <v>172</v>
      </c>
      <c r="C467" s="1" t="s">
        <v>342</v>
      </c>
      <c r="D467" s="1" t="n">
        <v>2</v>
      </c>
      <c r="E467" s="1" t="n">
        <v>4</v>
      </c>
      <c r="F467" s="1" t="s">
        <v>13</v>
      </c>
      <c r="H467" s="1" t="s">
        <v>341</v>
      </c>
      <c r="I467" s="1" t="s">
        <v>341</v>
      </c>
      <c r="N467" s="1" t="s">
        <v>376</v>
      </c>
    </row>
    <row r="468" customFormat="false" ht="12" hidden="false" customHeight="false" outlineLevel="0" collapsed="false">
      <c r="A468" s="1" t="n">
        <v>172</v>
      </c>
      <c r="C468" s="1" t="s">
        <v>342</v>
      </c>
      <c r="D468" s="1" t="n">
        <v>2</v>
      </c>
      <c r="E468" s="1" t="n">
        <v>9</v>
      </c>
      <c r="F468" s="1" t="s">
        <v>28</v>
      </c>
      <c r="H468" s="1" t="s">
        <v>341</v>
      </c>
      <c r="I468" s="1" t="s">
        <v>341</v>
      </c>
      <c r="N468" s="1" t="s">
        <v>376</v>
      </c>
    </row>
    <row r="469" customFormat="false" ht="12" hidden="false" customHeight="false" outlineLevel="0" collapsed="false">
      <c r="A469" s="1" t="n">
        <v>173</v>
      </c>
      <c r="C469" s="1" t="s">
        <v>343</v>
      </c>
      <c r="D469" s="1" t="n">
        <v>2</v>
      </c>
      <c r="E469" s="1" t="n">
        <v>1</v>
      </c>
      <c r="F469" s="1" t="s">
        <v>8</v>
      </c>
      <c r="H469" s="1" t="s">
        <v>341</v>
      </c>
      <c r="I469" s="1" t="s">
        <v>341</v>
      </c>
      <c r="N469" s="1" t="s">
        <v>376</v>
      </c>
    </row>
    <row r="470" customFormat="false" ht="12" hidden="false" customHeight="false" outlineLevel="0" collapsed="false">
      <c r="A470" s="1" t="n">
        <v>173</v>
      </c>
      <c r="C470" s="1" t="s">
        <v>343</v>
      </c>
      <c r="D470" s="1" t="n">
        <v>2</v>
      </c>
      <c r="E470" s="1" t="n">
        <v>4</v>
      </c>
      <c r="F470" s="1" t="s">
        <v>13</v>
      </c>
      <c r="H470" s="1" t="s">
        <v>341</v>
      </c>
      <c r="I470" s="1" t="s">
        <v>341</v>
      </c>
      <c r="N470" s="1" t="s">
        <v>376</v>
      </c>
    </row>
    <row r="471" customFormat="false" ht="12" hidden="false" customHeight="false" outlineLevel="0" collapsed="false">
      <c r="A471" s="1" t="n">
        <v>173</v>
      </c>
      <c r="C471" s="1" t="s">
        <v>343</v>
      </c>
      <c r="D471" s="1" t="n">
        <v>2</v>
      </c>
      <c r="E471" s="1" t="n">
        <v>9</v>
      </c>
      <c r="F471" s="1" t="s">
        <v>28</v>
      </c>
      <c r="H471" s="1" t="s">
        <v>341</v>
      </c>
      <c r="I471" s="1" t="s">
        <v>341</v>
      </c>
      <c r="N471" s="1" t="s">
        <v>376</v>
      </c>
    </row>
    <row r="472" customFormat="false" ht="12" hidden="false" customHeight="false" outlineLevel="0" collapsed="false">
      <c r="A472" s="1" t="n">
        <v>174</v>
      </c>
      <c r="C472" s="1" t="s">
        <v>344</v>
      </c>
      <c r="D472" s="1" t="n">
        <v>2</v>
      </c>
      <c r="E472" s="1" t="n">
        <v>1</v>
      </c>
      <c r="F472" s="1" t="s">
        <v>8</v>
      </c>
      <c r="H472" s="1" t="s">
        <v>341</v>
      </c>
      <c r="I472" s="1" t="s">
        <v>341</v>
      </c>
      <c r="N472" s="1" t="s">
        <v>376</v>
      </c>
    </row>
    <row r="473" customFormat="false" ht="12" hidden="false" customHeight="false" outlineLevel="0" collapsed="false">
      <c r="A473" s="1" t="n">
        <v>174</v>
      </c>
      <c r="C473" s="1" t="s">
        <v>344</v>
      </c>
      <c r="D473" s="1" t="n">
        <v>2</v>
      </c>
      <c r="E473" s="1" t="n">
        <v>8</v>
      </c>
      <c r="F473" s="1" t="s">
        <v>24</v>
      </c>
      <c r="H473" s="1" t="s">
        <v>341</v>
      </c>
      <c r="I473" s="1" t="s">
        <v>341</v>
      </c>
      <c r="N473" s="1" t="s">
        <v>376</v>
      </c>
    </row>
    <row r="474" customFormat="false" ht="12" hidden="false" customHeight="false" outlineLevel="0" collapsed="false">
      <c r="A474" s="1" t="n">
        <v>174</v>
      </c>
      <c r="C474" s="1" t="s">
        <v>344</v>
      </c>
      <c r="D474" s="1" t="n">
        <v>2</v>
      </c>
      <c r="E474" s="1" t="n">
        <v>9</v>
      </c>
      <c r="F474" s="1" t="s">
        <v>28</v>
      </c>
      <c r="H474" s="1" t="s">
        <v>341</v>
      </c>
      <c r="I474" s="1" t="s">
        <v>341</v>
      </c>
      <c r="N474" s="1" t="s">
        <v>376</v>
      </c>
    </row>
    <row r="475" customFormat="false" ht="12" hidden="false" customHeight="false" outlineLevel="0" collapsed="false">
      <c r="A475" s="1" t="n">
        <v>175</v>
      </c>
      <c r="C475" s="1" t="s">
        <v>345</v>
      </c>
      <c r="D475" s="1" t="n">
        <v>2</v>
      </c>
      <c r="E475" s="1" t="n">
        <v>1</v>
      </c>
      <c r="F475" s="1" t="s">
        <v>8</v>
      </c>
      <c r="H475" s="1" t="s">
        <v>346</v>
      </c>
      <c r="I475" s="1" t="s">
        <v>346</v>
      </c>
      <c r="N475" s="1" t="s">
        <v>376</v>
      </c>
    </row>
    <row r="476" customFormat="false" ht="12" hidden="false" customHeight="false" outlineLevel="0" collapsed="false">
      <c r="A476" s="1" t="n">
        <v>175</v>
      </c>
      <c r="C476" s="1" t="s">
        <v>345</v>
      </c>
      <c r="D476" s="1" t="n">
        <v>2</v>
      </c>
      <c r="E476" s="1" t="n">
        <v>4</v>
      </c>
      <c r="F476" s="1" t="s">
        <v>13</v>
      </c>
      <c r="H476" s="1" t="s">
        <v>346</v>
      </c>
      <c r="I476" s="1" t="s">
        <v>346</v>
      </c>
      <c r="N476" s="1" t="s">
        <v>376</v>
      </c>
    </row>
    <row r="477" customFormat="false" ht="12" hidden="false" customHeight="false" outlineLevel="0" collapsed="false">
      <c r="A477" s="1" t="n">
        <v>175</v>
      </c>
      <c r="C477" s="1" t="s">
        <v>345</v>
      </c>
      <c r="D477" s="1" t="n">
        <v>2</v>
      </c>
      <c r="E477" s="1" t="n">
        <v>9</v>
      </c>
      <c r="F477" s="1" t="s">
        <v>28</v>
      </c>
      <c r="H477" s="1" t="s">
        <v>346</v>
      </c>
      <c r="I477" s="1" t="s">
        <v>346</v>
      </c>
      <c r="N477" s="1" t="s">
        <v>376</v>
      </c>
    </row>
    <row r="478" customFormat="false" ht="12" hidden="false" customHeight="false" outlineLevel="0" collapsed="false">
      <c r="A478" s="1" t="n">
        <v>176</v>
      </c>
      <c r="C478" s="1" t="s">
        <v>347</v>
      </c>
      <c r="D478" s="1" t="n">
        <v>2</v>
      </c>
      <c r="E478" s="1" t="n">
        <v>1</v>
      </c>
      <c r="F478" s="1" t="s">
        <v>8</v>
      </c>
      <c r="H478" s="1" t="s">
        <v>346</v>
      </c>
      <c r="I478" s="1" t="s">
        <v>346</v>
      </c>
      <c r="N478" s="1" t="s">
        <v>376</v>
      </c>
    </row>
    <row r="479" customFormat="false" ht="12" hidden="false" customHeight="false" outlineLevel="0" collapsed="false">
      <c r="A479" s="1" t="n">
        <v>176</v>
      </c>
      <c r="C479" s="1" t="s">
        <v>347</v>
      </c>
      <c r="D479" s="1" t="n">
        <v>2</v>
      </c>
      <c r="E479" s="1" t="n">
        <v>4</v>
      </c>
      <c r="F479" s="1" t="s">
        <v>13</v>
      </c>
      <c r="H479" s="1" t="s">
        <v>346</v>
      </c>
      <c r="I479" s="1" t="s">
        <v>346</v>
      </c>
      <c r="N479" s="1" t="s">
        <v>376</v>
      </c>
    </row>
    <row r="480" customFormat="false" ht="12" hidden="false" customHeight="false" outlineLevel="0" collapsed="false">
      <c r="A480" s="1" t="n">
        <v>176</v>
      </c>
      <c r="C480" s="1" t="s">
        <v>347</v>
      </c>
      <c r="D480" s="1" t="n">
        <v>2</v>
      </c>
      <c r="E480" s="1" t="n">
        <v>9</v>
      </c>
      <c r="F480" s="1" t="s">
        <v>28</v>
      </c>
      <c r="H480" s="1" t="s">
        <v>346</v>
      </c>
      <c r="I480" s="1" t="s">
        <v>346</v>
      </c>
      <c r="N480" s="1" t="s">
        <v>376</v>
      </c>
    </row>
    <row r="481" customFormat="false" ht="12" hidden="false" customHeight="false" outlineLevel="0" collapsed="false">
      <c r="A481" s="1" t="n">
        <v>177</v>
      </c>
      <c r="C481" s="1" t="s">
        <v>348</v>
      </c>
      <c r="D481" s="1" t="n">
        <v>2</v>
      </c>
      <c r="E481" s="1" t="n">
        <v>1</v>
      </c>
      <c r="F481" s="1" t="s">
        <v>8</v>
      </c>
      <c r="H481" s="1" t="s">
        <v>346</v>
      </c>
      <c r="I481" s="1" t="s">
        <v>346</v>
      </c>
      <c r="N481" s="1" t="s">
        <v>376</v>
      </c>
    </row>
    <row r="482" customFormat="false" ht="12" hidden="false" customHeight="false" outlineLevel="0" collapsed="false">
      <c r="A482" s="1" t="n">
        <v>177</v>
      </c>
      <c r="C482" s="1" t="s">
        <v>349</v>
      </c>
      <c r="D482" s="1" t="n">
        <v>2</v>
      </c>
      <c r="E482" s="1" t="n">
        <v>4</v>
      </c>
      <c r="F482" s="1" t="s">
        <v>13</v>
      </c>
      <c r="H482" s="1" t="s">
        <v>346</v>
      </c>
      <c r="I482" s="1" t="s">
        <v>346</v>
      </c>
      <c r="N482" s="1" t="s">
        <v>376</v>
      </c>
    </row>
    <row r="483" customFormat="false" ht="12" hidden="false" customHeight="false" outlineLevel="0" collapsed="false">
      <c r="A483" s="1" t="n">
        <v>177</v>
      </c>
      <c r="C483" s="1" t="s">
        <v>350</v>
      </c>
      <c r="D483" s="1" t="n">
        <v>2</v>
      </c>
      <c r="E483" s="1" t="n">
        <v>9</v>
      </c>
      <c r="F483" s="1" t="s">
        <v>28</v>
      </c>
      <c r="H483" s="1" t="s">
        <v>346</v>
      </c>
      <c r="I483" s="1" t="s">
        <v>346</v>
      </c>
      <c r="N483" s="1" t="s">
        <v>376</v>
      </c>
    </row>
    <row r="484" customFormat="false" ht="12" hidden="false" customHeight="false" outlineLevel="0" collapsed="false">
      <c r="A484" s="1" t="n">
        <v>178</v>
      </c>
      <c r="C484" s="1" t="s">
        <v>351</v>
      </c>
      <c r="D484" s="1" t="n">
        <v>2</v>
      </c>
      <c r="E484" s="1" t="n">
        <v>1</v>
      </c>
      <c r="F484" s="1" t="s">
        <v>8</v>
      </c>
      <c r="H484" s="1" t="s">
        <v>346</v>
      </c>
      <c r="I484" s="1" t="s">
        <v>346</v>
      </c>
      <c r="N484" s="1" t="s">
        <v>376</v>
      </c>
    </row>
    <row r="485" customFormat="false" ht="12" hidden="false" customHeight="false" outlineLevel="0" collapsed="false">
      <c r="A485" s="1" t="n">
        <v>178</v>
      </c>
      <c r="C485" s="1" t="s">
        <v>351</v>
      </c>
      <c r="D485" s="1" t="n">
        <v>2</v>
      </c>
      <c r="E485" s="1" t="n">
        <v>4</v>
      </c>
      <c r="F485" s="1" t="s">
        <v>13</v>
      </c>
      <c r="H485" s="1" t="s">
        <v>346</v>
      </c>
      <c r="I485" s="1" t="s">
        <v>346</v>
      </c>
      <c r="N485" s="1" t="s">
        <v>376</v>
      </c>
    </row>
    <row r="486" customFormat="false" ht="12" hidden="false" customHeight="false" outlineLevel="0" collapsed="false">
      <c r="A486" s="1" t="n">
        <v>178</v>
      </c>
      <c r="C486" s="1" t="s">
        <v>351</v>
      </c>
      <c r="D486" s="1" t="n">
        <v>2</v>
      </c>
      <c r="E486" s="1" t="n">
        <v>9</v>
      </c>
      <c r="F486" s="1" t="s">
        <v>28</v>
      </c>
      <c r="H486" s="1" t="s">
        <v>346</v>
      </c>
      <c r="I486" s="1" t="s">
        <v>346</v>
      </c>
      <c r="N486" s="1" t="s">
        <v>376</v>
      </c>
    </row>
    <row r="487" customFormat="false" ht="12" hidden="false" customHeight="false" outlineLevel="0" collapsed="false">
      <c r="A487" s="1" t="n">
        <v>179</v>
      </c>
      <c r="C487" s="1" t="s">
        <v>352</v>
      </c>
      <c r="D487" s="1" t="n">
        <v>2</v>
      </c>
      <c r="E487" s="1" t="n">
        <v>1</v>
      </c>
      <c r="F487" s="1" t="s">
        <v>8</v>
      </c>
      <c r="H487" s="1" t="s">
        <v>346</v>
      </c>
      <c r="I487" s="1" t="s">
        <v>346</v>
      </c>
      <c r="N487" s="1" t="s">
        <v>376</v>
      </c>
    </row>
    <row r="488" customFormat="false" ht="12" hidden="false" customHeight="false" outlineLevel="0" collapsed="false">
      <c r="A488" s="1" t="n">
        <v>179</v>
      </c>
      <c r="C488" s="1" t="s">
        <v>352</v>
      </c>
      <c r="D488" s="1" t="n">
        <v>2</v>
      </c>
      <c r="E488" s="1" t="n">
        <v>4</v>
      </c>
      <c r="F488" s="1" t="s">
        <v>13</v>
      </c>
      <c r="H488" s="1" t="s">
        <v>346</v>
      </c>
      <c r="I488" s="1" t="s">
        <v>346</v>
      </c>
      <c r="N488" s="1" t="s">
        <v>376</v>
      </c>
    </row>
    <row r="489" customFormat="false" ht="12" hidden="false" customHeight="false" outlineLevel="0" collapsed="false">
      <c r="A489" s="1" t="n">
        <v>179</v>
      </c>
      <c r="C489" s="1" t="s">
        <v>352</v>
      </c>
      <c r="D489" s="1" t="n">
        <v>2</v>
      </c>
      <c r="E489" s="1" t="n">
        <v>9</v>
      </c>
      <c r="F489" s="1" t="s">
        <v>28</v>
      </c>
      <c r="H489" s="1" t="s">
        <v>346</v>
      </c>
      <c r="I489" s="1" t="s">
        <v>346</v>
      </c>
      <c r="N489" s="1" t="s">
        <v>376</v>
      </c>
    </row>
    <row r="490" customFormat="false" ht="12" hidden="false" customHeight="false" outlineLevel="0" collapsed="false">
      <c r="A490" s="1" t="n">
        <v>180</v>
      </c>
      <c r="C490" s="1" t="s">
        <v>353</v>
      </c>
      <c r="D490" s="1" t="n">
        <v>2</v>
      </c>
      <c r="E490" s="1" t="n">
        <v>1</v>
      </c>
      <c r="F490" s="1" t="s">
        <v>8</v>
      </c>
      <c r="H490" s="1" t="s">
        <v>346</v>
      </c>
      <c r="I490" s="1" t="s">
        <v>346</v>
      </c>
      <c r="N490" s="1" t="s">
        <v>376</v>
      </c>
    </row>
    <row r="491" customFormat="false" ht="12" hidden="false" customHeight="false" outlineLevel="0" collapsed="false">
      <c r="A491" s="1" t="n">
        <v>180</v>
      </c>
      <c r="C491" s="1" t="s">
        <v>353</v>
      </c>
      <c r="D491" s="1" t="n">
        <v>2</v>
      </c>
      <c r="E491" s="1" t="n">
        <v>4</v>
      </c>
      <c r="F491" s="1" t="s">
        <v>13</v>
      </c>
      <c r="H491" s="1" t="s">
        <v>346</v>
      </c>
      <c r="I491" s="1" t="s">
        <v>346</v>
      </c>
      <c r="N491" s="1" t="s">
        <v>376</v>
      </c>
    </row>
    <row r="492" customFormat="false" ht="12" hidden="false" customHeight="false" outlineLevel="0" collapsed="false">
      <c r="A492" s="1" t="n">
        <v>180</v>
      </c>
      <c r="C492" s="1" t="s">
        <v>353</v>
      </c>
      <c r="D492" s="1" t="n">
        <v>2</v>
      </c>
      <c r="E492" s="1" t="n">
        <v>9</v>
      </c>
      <c r="F492" s="1" t="s">
        <v>28</v>
      </c>
      <c r="H492" s="1" t="s">
        <v>346</v>
      </c>
      <c r="I492" s="1" t="s">
        <v>346</v>
      </c>
      <c r="N492" s="1" t="s">
        <v>376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4" activeCellId="0" sqref="A14"/>
    </sheetView>
  </sheetViews>
  <sheetFormatPr defaultColWidth="11.54296875" defaultRowHeight="12" zeroHeight="false" outlineLevelRow="0" outlineLevelCol="0"/>
  <sheetData>
    <row r="1" customFormat="false" ht="12" hidden="false" customHeight="false" outlineLevel="0" collapsed="false">
      <c r="A1" s="1" t="s">
        <v>356</v>
      </c>
      <c r="B1" s="1" t="s">
        <v>363</v>
      </c>
    </row>
    <row r="2" customFormat="false" ht="12" hidden="false" customHeight="false" outlineLevel="0" collapsed="false">
      <c r="A2" s="1" t="n">
        <v>1</v>
      </c>
      <c r="B2" s="1" t="s">
        <v>378</v>
      </c>
    </row>
    <row r="3" customFormat="false" ht="12" hidden="false" customHeight="false" outlineLevel="0" collapsed="false">
      <c r="A3" s="1" t="n">
        <v>2</v>
      </c>
      <c r="B3" s="1" t="s">
        <v>379</v>
      </c>
    </row>
    <row r="4" customFormat="false" ht="12" hidden="false" customHeight="false" outlineLevel="0" collapsed="false">
      <c r="A4" s="1" t="n">
        <v>3</v>
      </c>
      <c r="B4" s="1" t="s">
        <v>380</v>
      </c>
    </row>
    <row r="5" customFormat="false" ht="12" hidden="false" customHeight="false" outlineLevel="0" collapsed="false">
      <c r="A5" s="1" t="n">
        <v>4</v>
      </c>
      <c r="B5" s="1" t="s">
        <v>381</v>
      </c>
    </row>
    <row r="6" customFormat="false" ht="12" hidden="false" customHeight="false" outlineLevel="0" collapsed="false">
      <c r="A6" s="1" t="n">
        <v>5</v>
      </c>
      <c r="B6" s="1" t="s">
        <v>382</v>
      </c>
    </row>
    <row r="7" customFormat="false" ht="12" hidden="false" customHeight="false" outlineLevel="0" collapsed="false">
      <c r="A7" s="1" t="n">
        <v>6</v>
      </c>
      <c r="B7" s="1" t="s">
        <v>383</v>
      </c>
    </row>
    <row r="8" customFormat="false" ht="12" hidden="false" customHeight="false" outlineLevel="0" collapsed="false">
      <c r="A8" s="1" t="n">
        <v>7</v>
      </c>
      <c r="B8" s="1" t="s">
        <v>384</v>
      </c>
    </row>
    <row r="9" customFormat="false" ht="12" hidden="false" customHeight="false" outlineLevel="0" collapsed="false">
      <c r="A9" s="1" t="n">
        <v>8</v>
      </c>
      <c r="B9" s="1" t="s">
        <v>385</v>
      </c>
    </row>
    <row r="10" customFormat="false" ht="12" hidden="false" customHeight="false" outlineLevel="0" collapsed="false">
      <c r="A10" s="1" t="n">
        <v>9</v>
      </c>
      <c r="B10" s="1" t="s">
        <v>386</v>
      </c>
    </row>
    <row r="11" customFormat="false" ht="12" hidden="false" customHeight="false" outlineLevel="0" collapsed="false">
      <c r="A11" s="1" t="n">
        <v>10</v>
      </c>
      <c r="B11" s="1" t="s">
        <v>387</v>
      </c>
    </row>
    <row r="12" customFormat="false" ht="12.65" hidden="false" customHeight="false" outlineLevel="0" collapsed="false">
      <c r="A12" s="1" t="n">
        <v>11</v>
      </c>
      <c r="B12" s="1" t="s">
        <v>388</v>
      </c>
    </row>
    <row r="22" customFormat="false" ht="12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31.91"/>
    <col collapsed="false" customWidth="true" hidden="false" outlineLevel="0" max="3" min="3" style="1" width="10"/>
    <col collapsed="false" customWidth="true" hidden="false" outlineLevel="0" max="4" min="4" style="1" width="15.63"/>
    <col collapsed="false" customWidth="true" hidden="false" outlineLevel="0" max="5" min="5" style="1" width="10.36"/>
    <col collapsed="false" customWidth="true" hidden="false" outlineLevel="0" max="6" min="6" style="1" width="16"/>
    <col collapsed="false" customWidth="true" hidden="false" outlineLevel="0" max="7" min="7" style="1" width="12.45"/>
    <col collapsed="false" customWidth="true" hidden="false" outlineLevel="0" max="8" min="8" style="1" width="5.09"/>
    <col collapsed="false" customWidth="true" hidden="false" outlineLevel="0" max="9" min="9" style="1" width="54.36"/>
    <col collapsed="false" customWidth="true" hidden="false" outlineLevel="0" max="10" min="10" style="1" width="20.18"/>
  </cols>
  <sheetData>
    <row r="1" customFormat="false" ht="12" hidden="false" customHeight="false" outlineLevel="0" collapsed="false">
      <c r="A1" s="189" t="s">
        <v>356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  <row r="2" customFormat="false" ht="12" hidden="false" customHeight="false" outlineLevel="0" collapsed="false">
      <c r="A2" s="1" t="n">
        <v>1</v>
      </c>
      <c r="B2" s="1" t="n">
        <v>1</v>
      </c>
      <c r="C2" s="1" t="n">
        <v>1</v>
      </c>
      <c r="D2" s="1" t="s">
        <v>386</v>
      </c>
      <c r="E2" s="1" t="n">
        <v>1</v>
      </c>
      <c r="F2" s="1" t="s">
        <v>386</v>
      </c>
      <c r="G2" s="1" t="n">
        <v>1</v>
      </c>
      <c r="H2" s="1" t="n">
        <v>1</v>
      </c>
      <c r="I2" s="1" t="s">
        <v>29</v>
      </c>
      <c r="J2" s="1" t="n">
        <v>1</v>
      </c>
    </row>
    <row r="3" customFormat="false" ht="12" hidden="false" customHeight="false" outlineLevel="0" collapsed="false">
      <c r="A3" s="1" t="n">
        <v>3</v>
      </c>
      <c r="B3" s="1" t="n">
        <v>1</v>
      </c>
      <c r="C3" s="1" t="n">
        <v>1</v>
      </c>
      <c r="D3" s="1" t="s">
        <v>386</v>
      </c>
      <c r="E3" s="1" t="n">
        <v>2</v>
      </c>
      <c r="F3" s="1" t="s">
        <v>380</v>
      </c>
      <c r="G3" s="1" t="n">
        <v>6</v>
      </c>
      <c r="H3" s="1" t="n">
        <v>2</v>
      </c>
      <c r="J3" s="1" t="n">
        <v>6</v>
      </c>
    </row>
    <row r="4" customFormat="false" ht="12" hidden="false" customHeight="false" outlineLevel="0" collapsed="false">
      <c r="A4" s="1" t="n">
        <v>2</v>
      </c>
      <c r="B4" s="1" t="n">
        <v>1</v>
      </c>
      <c r="C4" s="1" t="n">
        <v>2</v>
      </c>
      <c r="D4" s="1" t="s">
        <v>380</v>
      </c>
      <c r="E4" s="1" t="n">
        <v>3</v>
      </c>
      <c r="F4" s="1" t="s">
        <v>398</v>
      </c>
      <c r="G4" s="1" t="n">
        <v>12</v>
      </c>
      <c r="H4" s="1" t="n">
        <v>3</v>
      </c>
      <c r="I4" s="1" t="s">
        <v>9</v>
      </c>
      <c r="J4" s="1" t="n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7" activeCellId="0" sqref="A27"/>
    </sheetView>
  </sheetViews>
  <sheetFormatPr defaultColWidth="11.54296875" defaultRowHeight="12" zeroHeight="false" outlineLevelRow="0" outlineLevelCol="0"/>
  <cols>
    <col collapsed="false" customWidth="true" hidden="false" outlineLevel="0" max="2" min="2" style="1" width="15.2"/>
  </cols>
  <sheetData>
    <row r="1" customFormat="false" ht="12" hidden="false" customHeight="false" outlineLevel="0" collapsed="false">
      <c r="A1" s="1" t="s">
        <v>356</v>
      </c>
      <c r="B1" s="1" t="s">
        <v>363</v>
      </c>
    </row>
    <row r="2" customFormat="false" ht="12" hidden="false" customHeight="false" outlineLevel="0" collapsed="false">
      <c r="A2" s="1" t="n">
        <v>1</v>
      </c>
      <c r="B2" s="1" t="s">
        <v>399</v>
      </c>
    </row>
    <row r="3" customFormat="false" ht="12" hidden="false" customHeight="false" outlineLevel="0" collapsed="false">
      <c r="A3" s="1" t="n">
        <v>2</v>
      </c>
      <c r="B3" s="1" t="s">
        <v>400</v>
      </c>
    </row>
    <row r="4" customFormat="false" ht="12" hidden="false" customHeight="false" outlineLevel="0" collapsed="false">
      <c r="A4" s="1" t="n">
        <v>3</v>
      </c>
      <c r="B4" s="1" t="s">
        <v>401</v>
      </c>
    </row>
    <row r="5" customFormat="false" ht="12" hidden="false" customHeight="false" outlineLevel="0" collapsed="false">
      <c r="A5" s="1" t="n">
        <v>4</v>
      </c>
      <c r="B5" s="1" t="s">
        <v>402</v>
      </c>
    </row>
    <row r="6" customFormat="false" ht="12" hidden="false" customHeight="false" outlineLevel="0" collapsed="false">
      <c r="A6" s="1" t="n">
        <v>5</v>
      </c>
      <c r="B6" s="1" t="s">
        <v>403</v>
      </c>
    </row>
    <row r="7" customFormat="false" ht="12" hidden="false" customHeight="false" outlineLevel="0" collapsed="false">
      <c r="A7" s="1" t="n">
        <v>6</v>
      </c>
      <c r="B7" s="1" t="s">
        <v>404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32.91"/>
    <col collapsed="false" customWidth="true" hidden="false" outlineLevel="0" max="3" min="3" style="1" width="4.36"/>
    <col collapsed="false" customWidth="true" hidden="false" outlineLevel="0" max="4" min="4" style="1" width="10"/>
    <col collapsed="false" customWidth="true" hidden="false" outlineLevel="0" max="5" min="5" style="1" width="35"/>
    <col collapsed="false" customWidth="true" hidden="false" outlineLevel="0" max="6" min="6" style="1" width="6.45"/>
    <col collapsed="false" customWidth="true" hidden="false" outlineLevel="0" max="7" min="7" style="1" width="25"/>
    <col collapsed="false" customWidth="true" hidden="false" outlineLevel="0" max="8" min="8" style="1" width="23.73"/>
    <col collapsed="false" customWidth="true" hidden="false" outlineLevel="0" max="9" min="9" style="1" width="24.82"/>
  </cols>
  <sheetData>
    <row r="1" customFormat="false" ht="12" hidden="false" customHeight="false" outlineLevel="0" collapsed="false">
      <c r="A1" s="1" t="s">
        <v>356</v>
      </c>
      <c r="B1" s="1" t="s">
        <v>405</v>
      </c>
      <c r="C1" s="1" t="s">
        <v>365</v>
      </c>
      <c r="D1" s="1" t="s">
        <v>366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</row>
    <row r="2" customFormat="false" ht="12" hidden="false" customHeight="false" outlineLevel="0" collapsed="false">
      <c r="A2" s="1" t="n">
        <v>1</v>
      </c>
      <c r="B2" s="1" t="n">
        <v>1</v>
      </c>
      <c r="C2" s="1" t="n">
        <v>1</v>
      </c>
      <c r="D2" s="1" t="s">
        <v>386</v>
      </c>
      <c r="E2" s="1" t="n">
        <v>2</v>
      </c>
      <c r="F2" s="1" t="n">
        <v>1000</v>
      </c>
      <c r="G2" s="190" t="n">
        <v>45962</v>
      </c>
      <c r="H2" s="1" t="n">
        <v>1</v>
      </c>
      <c r="I2" s="1" t="n">
        <v>9999</v>
      </c>
    </row>
    <row r="3" customFormat="false" ht="12" hidden="false" customHeight="false" outlineLevel="0" collapsed="false">
      <c r="A3" s="1" t="n">
        <v>2</v>
      </c>
      <c r="B3" s="1" t="n">
        <v>1</v>
      </c>
      <c r="C3" s="1" t="n">
        <v>2</v>
      </c>
      <c r="D3" s="1" t="s">
        <v>380</v>
      </c>
      <c r="E3" s="1" t="n">
        <v>2</v>
      </c>
      <c r="F3" s="1" t="n">
        <v>5000</v>
      </c>
      <c r="G3" s="190" t="n">
        <v>45962</v>
      </c>
      <c r="H3" s="1" t="n">
        <v>1</v>
      </c>
      <c r="I3" s="1" t="n">
        <v>9999</v>
      </c>
    </row>
    <row r="4" customFormat="false" ht="12" hidden="false" customHeight="false" outlineLevel="0" collapsed="false">
      <c r="A4" s="1" t="n">
        <v>3</v>
      </c>
      <c r="B4" s="1" t="n">
        <v>1</v>
      </c>
      <c r="C4" s="1" t="n">
        <v>3</v>
      </c>
      <c r="D4" s="1" t="s">
        <v>398</v>
      </c>
      <c r="E4" s="1" t="n">
        <v>2</v>
      </c>
      <c r="F4" s="1" t="n">
        <v>15000</v>
      </c>
      <c r="G4" s="190" t="n">
        <v>45962</v>
      </c>
      <c r="H4" s="1" t="n">
        <v>1</v>
      </c>
      <c r="I4" s="1" t="n">
        <v>9999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selection pane="topLeft" activeCell="B1" activeCellId="0" sqref="B1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32.91"/>
    <col collapsed="false" customWidth="true" hidden="false" outlineLevel="0" max="3" min="3" style="1" width="4.36"/>
    <col collapsed="false" customWidth="true" hidden="false" outlineLevel="0" max="4" min="4" style="1" width="10"/>
    <col collapsed="false" customWidth="true" hidden="false" outlineLevel="0" max="5" min="5" style="1" width="23.73"/>
    <col collapsed="false" customWidth="true" hidden="false" outlineLevel="0" max="6" min="6" style="1" width="24.82"/>
    <col collapsed="false" customWidth="true" hidden="false" outlineLevel="0" max="7" min="7" style="1" width="27.82"/>
    <col collapsed="false" customWidth="true" hidden="false" outlineLevel="0" max="8" min="8" style="1" width="13.63"/>
    <col collapsed="false" customWidth="true" hidden="false" outlineLevel="0" max="10" min="9" style="1" width="10.82"/>
  </cols>
  <sheetData>
    <row r="1" customFormat="false" ht="12" hidden="false" customHeight="false" outlineLevel="0" collapsed="false">
      <c r="A1" s="1" t="s">
        <v>356</v>
      </c>
      <c r="B1" s="1" t="s">
        <v>405</v>
      </c>
      <c r="C1" s="1" t="s">
        <v>365</v>
      </c>
      <c r="D1" s="1" t="s">
        <v>366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</row>
    <row r="2" customFormat="false" ht="12" hidden="false" customHeight="false" outlineLevel="0" collapsed="false">
      <c r="A2" s="1" t="n">
        <v>1</v>
      </c>
      <c r="B2" s="1" t="n">
        <v>1</v>
      </c>
      <c r="C2" s="1" t="n">
        <v>1</v>
      </c>
      <c r="D2" s="1" t="s">
        <v>386</v>
      </c>
      <c r="E2" s="1" t="n">
        <v>1</v>
      </c>
      <c r="F2" s="1" t="n">
        <v>9999</v>
      </c>
      <c r="G2" s="1" t="s">
        <v>415</v>
      </c>
      <c r="H2" s="1" t="n">
        <v>1</v>
      </c>
      <c r="I2" s="190" t="n">
        <v>45963</v>
      </c>
      <c r="J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K1" colorId="64" zoomScale="75" zoomScaleNormal="75" zoomScalePageLayoutView="100" workbookViewId="0">
      <selection pane="topLeft" activeCell="A2" activeCellId="0" sqref="A2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32.91"/>
    <col collapsed="false" customWidth="true" hidden="false" outlineLevel="0" max="3" min="3" style="1" width="4.36"/>
    <col collapsed="false" customWidth="true" hidden="false" outlineLevel="0" max="4" min="4" style="1" width="10"/>
    <col collapsed="false" customWidth="true" hidden="false" outlineLevel="0" max="5" min="5" style="1" width="7.91"/>
    <col collapsed="false" customWidth="true" hidden="false" outlineLevel="0" max="6" min="6" style="1" width="8.45"/>
    <col collapsed="false" customWidth="true" hidden="false" outlineLevel="0" max="7" min="7" style="1" width="37.18"/>
    <col collapsed="false" customWidth="true" hidden="false" outlineLevel="0" max="8" min="8" style="1" width="8.63"/>
    <col collapsed="false" customWidth="true" hidden="false" outlineLevel="0" max="9" min="9" style="1" width="14.27"/>
    <col collapsed="false" customWidth="true" hidden="false" outlineLevel="0" max="10" min="10" style="1" width="8.18"/>
    <col collapsed="false" customWidth="true" hidden="false" outlineLevel="0" max="12" min="11" style="1" width="10.82"/>
    <col collapsed="false" customWidth="true" hidden="false" outlineLevel="0" max="13" min="13" style="1" width="12.18"/>
    <col collapsed="false" customWidth="true" hidden="false" outlineLevel="0" max="14" min="14" style="1" width="13.27"/>
    <col collapsed="false" customWidth="true" hidden="false" outlineLevel="0" max="15" min="15" style="1" width="10"/>
  </cols>
  <sheetData>
    <row r="1" customFormat="false" ht="12" hidden="false" customHeight="false" outlineLevel="0" collapsed="false">
      <c r="A1" s="1" t="s">
        <v>356</v>
      </c>
      <c r="B1" s="1" t="s">
        <v>405</v>
      </c>
      <c r="C1" s="1" t="s">
        <v>365</v>
      </c>
      <c r="D1" s="1" t="s">
        <v>366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413</v>
      </c>
      <c r="L1" s="1" t="s">
        <v>414</v>
      </c>
      <c r="M1" s="1" t="s">
        <v>422</v>
      </c>
      <c r="N1" s="1" t="s">
        <v>423</v>
      </c>
      <c r="O1" s="1" t="s">
        <v>366</v>
      </c>
    </row>
    <row r="2" customFormat="false" ht="12" hidden="false" customHeight="false" outlineLevel="0" collapsed="false">
      <c r="A2" s="1" t="n">
        <v>1</v>
      </c>
      <c r="B2" s="1" t="n">
        <v>1</v>
      </c>
      <c r="C2" s="1" t="n">
        <v>1</v>
      </c>
      <c r="D2" s="1" t="s">
        <v>386</v>
      </c>
      <c r="E2" s="1" t="n">
        <v>1</v>
      </c>
      <c r="F2" s="1" t="n">
        <v>9999</v>
      </c>
      <c r="G2" s="1" t="n">
        <v>1</v>
      </c>
      <c r="H2" s="1" t="n">
        <v>1</v>
      </c>
      <c r="I2" s="1" t="s">
        <v>386</v>
      </c>
      <c r="J2" s="1" t="n">
        <v>1</v>
      </c>
      <c r="K2" s="190" t="n">
        <v>45963</v>
      </c>
      <c r="L2" s="1" t="n">
        <v>1</v>
      </c>
      <c r="M2" s="1" t="n">
        <v>1</v>
      </c>
      <c r="N2" s="1" t="s">
        <v>374</v>
      </c>
      <c r="O2" s="1" t="s">
        <v>386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16.36"/>
    <col collapsed="false" customWidth="true" hidden="false" outlineLevel="0" max="3" min="3" style="1" width="5.36"/>
    <col collapsed="false" customWidth="true" hidden="false" outlineLevel="0" max="4" min="4" style="1" width="10.18"/>
    <col collapsed="false" customWidth="true" hidden="false" outlineLevel="0" max="5" min="5" style="1" width="7.27"/>
    <col collapsed="false" customWidth="true" hidden="false" outlineLevel="0" max="6" min="6" style="1" width="8.82"/>
  </cols>
  <sheetData>
    <row r="1" customFormat="false" ht="12" hidden="false" customHeight="false" outlineLevel="0" collapsed="false">
      <c r="A1" s="1" t="s">
        <v>356</v>
      </c>
      <c r="B1" s="1" t="s">
        <v>363</v>
      </c>
      <c r="C1" s="1" t="s">
        <v>362</v>
      </c>
      <c r="D1" s="1" t="s">
        <v>357</v>
      </c>
      <c r="E1" s="1" t="s">
        <v>424</v>
      </c>
      <c r="F1" s="1" t="s">
        <v>425</v>
      </c>
    </row>
    <row r="2" customFormat="false" ht="12" hidden="false" customHeight="false" outlineLevel="0" collapsed="false">
      <c r="A2" s="1" t="n">
        <v>34</v>
      </c>
      <c r="B2" s="1" t="s">
        <v>426</v>
      </c>
      <c r="C2" s="1" t="n">
        <v>34</v>
      </c>
      <c r="D2" s="1" t="s">
        <v>427</v>
      </c>
      <c r="E2" s="1" t="n">
        <v>-7.8</v>
      </c>
      <c r="F2" s="1" t="n">
        <v>110.37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8" activeCellId="0" sqref="C8"/>
    </sheetView>
  </sheetViews>
  <sheetFormatPr defaultColWidth="11.54296875" defaultRowHeight="12" zeroHeight="false" outlineLevelRow="0" outlineLevelCol="0"/>
  <cols>
    <col collapsed="false" customWidth="true" hidden="false" outlineLevel="0" max="2" min="2" style="1" width="26.45"/>
  </cols>
  <sheetData>
    <row r="1" customFormat="false" ht="12" hidden="false" customHeight="false" outlineLevel="0" collapsed="false">
      <c r="A1" s="1" t="s">
        <v>356</v>
      </c>
      <c r="B1" s="1" t="s">
        <v>363</v>
      </c>
      <c r="C1" s="1" t="s">
        <v>362</v>
      </c>
      <c r="D1" s="1" t="s">
        <v>428</v>
      </c>
      <c r="E1" s="1" t="s">
        <v>357</v>
      </c>
      <c r="F1" s="1" t="s">
        <v>424</v>
      </c>
      <c r="G1" s="1" t="s">
        <v>425</v>
      </c>
    </row>
    <row r="2" customFormat="false" ht="12" hidden="false" customHeight="false" outlineLevel="0" collapsed="false">
      <c r="A2" s="1" t="n">
        <v>3401</v>
      </c>
      <c r="B2" s="1" t="s">
        <v>429</v>
      </c>
      <c r="C2" s="1" t="n">
        <v>3401</v>
      </c>
      <c r="D2" s="1" t="n">
        <v>34</v>
      </c>
      <c r="E2" s="1" t="s">
        <v>430</v>
      </c>
      <c r="F2" s="1" t="n">
        <v>-7.8167</v>
      </c>
      <c r="G2" s="1" t="n">
        <v>110</v>
      </c>
    </row>
    <row r="3" customFormat="false" ht="12" hidden="false" customHeight="false" outlineLevel="0" collapsed="false">
      <c r="A3" s="1" t="n">
        <v>3402</v>
      </c>
      <c r="B3" s="1" t="s">
        <v>431</v>
      </c>
      <c r="C3" s="1" t="n">
        <v>3402</v>
      </c>
      <c r="D3" s="1" t="n">
        <v>34</v>
      </c>
      <c r="E3" s="1" t="s">
        <v>430</v>
      </c>
      <c r="F3" s="1" t="n">
        <v>-7.8547</v>
      </c>
      <c r="G3" s="1" t="n">
        <v>110.3297</v>
      </c>
    </row>
    <row r="4" customFormat="false" ht="12" hidden="false" customHeight="false" outlineLevel="0" collapsed="false">
      <c r="A4" s="1" t="n">
        <v>3403</v>
      </c>
      <c r="B4" s="1" t="s">
        <v>432</v>
      </c>
      <c r="C4" s="1" t="n">
        <v>3403</v>
      </c>
      <c r="D4" s="1" t="n">
        <v>34</v>
      </c>
      <c r="E4" s="1" t="s">
        <v>430</v>
      </c>
      <c r="F4" s="1" t="n">
        <v>-8</v>
      </c>
      <c r="G4" s="1" t="n">
        <v>110.5</v>
      </c>
    </row>
    <row r="5" customFormat="false" ht="12" hidden="false" customHeight="false" outlineLevel="0" collapsed="false">
      <c r="A5" s="1" t="n">
        <v>3404</v>
      </c>
      <c r="B5" s="1" t="s">
        <v>433</v>
      </c>
      <c r="C5" s="1" t="n">
        <v>3404</v>
      </c>
      <c r="D5" s="1" t="n">
        <v>34</v>
      </c>
      <c r="E5" s="1" t="s">
        <v>430</v>
      </c>
      <c r="F5" s="1" t="n">
        <v>-7.5833</v>
      </c>
      <c r="G5" s="1" t="n">
        <v>110.4139</v>
      </c>
    </row>
    <row r="6" customFormat="false" ht="12" hidden="false" customHeight="false" outlineLevel="0" collapsed="false">
      <c r="A6" s="1" t="n">
        <v>3471</v>
      </c>
      <c r="B6" s="1" t="s">
        <v>434</v>
      </c>
      <c r="C6" s="1" t="n">
        <v>3471</v>
      </c>
      <c r="D6" s="1" t="n">
        <v>34</v>
      </c>
      <c r="E6" s="1" t="s">
        <v>430</v>
      </c>
      <c r="F6" s="1" t="n">
        <v>-7.7956</v>
      </c>
      <c r="G6" s="1" t="n">
        <v>110.3695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5" activeCellId="0" sqref="B5"/>
    </sheetView>
  </sheetViews>
  <sheetFormatPr defaultColWidth="11.54296875" defaultRowHeight="12" zeroHeight="false" outlineLevelRow="0" outlineLevelCol="0"/>
  <sheetData>
    <row r="1" customFormat="false" ht="12" hidden="false" customHeight="false" outlineLevel="0" collapsed="false">
      <c r="A1" s="1" t="s">
        <v>356</v>
      </c>
      <c r="B1" s="1" t="s">
        <v>435</v>
      </c>
    </row>
    <row r="2" customFormat="false" ht="12" hidden="false" customHeight="false" outlineLevel="0" collapsed="false">
      <c r="A2" s="1" t="n">
        <v>1</v>
      </c>
      <c r="B2" s="1" t="s">
        <v>436</v>
      </c>
    </row>
    <row r="3" customFormat="false" ht="12" hidden="false" customHeight="false" outlineLevel="0" collapsed="false">
      <c r="A3" s="1" t="n">
        <v>2</v>
      </c>
      <c r="B3" s="1" t="s">
        <v>437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selection pane="topLeft" activeCell="C2" activeCellId="0" sqref="C2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13.27"/>
    <col collapsed="false" customWidth="true" hidden="false" outlineLevel="0" max="3" min="3" style="1" width="11"/>
    <col collapsed="false" customWidth="true" hidden="false" outlineLevel="0" max="4" min="4" style="1" width="11.18"/>
    <col collapsed="false" customWidth="true" hidden="false" outlineLevel="0" max="5" min="5" style="1" width="12.63"/>
    <col collapsed="false" customWidth="true" hidden="false" outlineLevel="0" max="6" min="6" style="1" width="12.91"/>
    <col collapsed="false" customWidth="true" hidden="false" outlineLevel="0" max="7" min="7" style="1" width="18.73"/>
    <col collapsed="false" customWidth="true" hidden="false" outlineLevel="0" max="8" min="8" style="1" width="31.45"/>
    <col collapsed="false" customWidth="true" hidden="false" outlineLevel="0" max="9" min="9" style="1" width="26.36"/>
    <col collapsed="false" customWidth="true" hidden="false" outlineLevel="0" max="10" min="10" style="1" width="8"/>
    <col collapsed="false" customWidth="true" hidden="false" outlineLevel="0" max="11" min="11" style="1" width="40.54"/>
  </cols>
  <sheetData>
    <row r="1" customFormat="false" ht="12" hidden="false" customHeight="false" outlineLevel="0" collapsed="false">
      <c r="A1" s="1" t="s">
        <v>356</v>
      </c>
      <c r="B1" s="1" t="s">
        <v>438</v>
      </c>
      <c r="C1" s="1" t="s">
        <v>358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446</v>
      </c>
    </row>
    <row r="2" customFormat="false" ht="12" hidden="false" customHeight="false" outlineLevel="0" collapsed="false">
      <c r="A2" s="1" t="n">
        <v>1</v>
      </c>
      <c r="B2" s="1" t="s">
        <v>447</v>
      </c>
      <c r="C2" s="1" t="s">
        <v>436</v>
      </c>
      <c r="D2" s="1" t="s">
        <v>374</v>
      </c>
      <c r="E2" s="1" t="n">
        <v>85748233712</v>
      </c>
      <c r="F2" s="1" t="n">
        <v>85748233712</v>
      </c>
      <c r="G2" s="1" t="s">
        <v>448</v>
      </c>
      <c r="H2" s="1" t="n">
        <v>35</v>
      </c>
      <c r="I2" s="1" t="n">
        <v>3505</v>
      </c>
      <c r="J2" s="1" t="s">
        <v>449</v>
      </c>
      <c r="K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5" activeCellId="0" sqref="A15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12.18"/>
    <col collapsed="false" customWidth="true" hidden="false" outlineLevel="0" max="3" min="3" style="1" width="16.54"/>
    <col collapsed="false" customWidth="true" hidden="false" outlineLevel="0" max="4" min="4" style="1" width="36.82"/>
    <col collapsed="false" customWidth="true" hidden="false" outlineLevel="0" max="5" min="5" style="1" width="7.45"/>
    <col collapsed="false" customWidth="true" hidden="false" outlineLevel="0" max="6" min="6" style="1" width="5.73"/>
    <col collapsed="false" customWidth="true" hidden="false" outlineLevel="0" max="7" min="7" style="1" width="7.09"/>
    <col collapsed="false" customWidth="true" hidden="false" outlineLevel="0" max="8" min="8" style="1" width="10.27"/>
    <col collapsed="false" customWidth="true" hidden="false" outlineLevel="0" max="9" min="9" style="1" width="14.63"/>
    <col collapsed="false" customWidth="true" hidden="false" outlineLevel="0" max="10" min="10" style="1" width="11"/>
    <col collapsed="false" customWidth="true" hidden="false" outlineLevel="0" max="11" min="11" style="1" width="12.73"/>
    <col collapsed="false" customWidth="true" hidden="false" outlineLevel="0" max="12" min="12" style="1" width="19.54"/>
    <col collapsed="false" customWidth="true" hidden="false" outlineLevel="0" max="13" min="13" style="1" width="26"/>
    <col collapsed="false" customWidth="true" hidden="false" outlineLevel="0" max="14" min="14" style="1" width="12.63"/>
  </cols>
  <sheetData>
    <row r="1" customFormat="false" ht="12" hidden="false" customHeight="false" outlineLevel="0" collapsed="false">
      <c r="A1" s="1" t="s">
        <v>356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442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</row>
    <row r="2" customFormat="false" ht="12" hidden="false" customHeight="false" outlineLevel="0" collapsed="false">
      <c r="A2" s="1" t="n">
        <v>1</v>
      </c>
      <c r="B2" s="1" t="s">
        <v>464</v>
      </c>
      <c r="C2" s="1" t="s">
        <v>465</v>
      </c>
      <c r="D2" s="1" t="s">
        <v>466</v>
      </c>
      <c r="E2" s="1" t="n">
        <v>0</v>
      </c>
      <c r="F2" s="1" t="s">
        <v>467</v>
      </c>
      <c r="K2" s="1" t="n">
        <v>0</v>
      </c>
      <c r="M2" s="1" t="s">
        <v>468</v>
      </c>
      <c r="N2" s="1" t="n">
        <v>99999999999</v>
      </c>
      <c r="P2" s="1" t="str">
        <f aca="false">CONCATENATE("insert into karyawan (nik, nama_lengkap, jabatan, group, max_retur, kode_salesman) values ", "(", "'", B2, "',", "'", C2, "',", "'", D2, "',", "'", M2, "',", "'", N2, "',", "'", O2, "'", ");")</f>
        <v>insert into karyawan (nik, nama_lengkap, jabatan, group, max_retur, kode_salesman) values ('SAL001','QHOLIB GINANJAR','FOUNDER &amp; KOMISARIS UTAMA','GROUP_25JAN0003','99999999999','');</v>
      </c>
    </row>
    <row r="3" customFormat="false" ht="12.65" hidden="false" customHeight="false" outlineLevel="0" collapsed="false">
      <c r="A3" s="1" t="n">
        <v>2</v>
      </c>
      <c r="B3" s="1" t="s">
        <v>469</v>
      </c>
      <c r="C3" s="1" t="s">
        <v>470</v>
      </c>
      <c r="D3" s="1" t="s">
        <v>471</v>
      </c>
      <c r="M3" s="1" t="s">
        <v>468</v>
      </c>
      <c r="N3" s="1" t="n">
        <v>99999999999</v>
      </c>
      <c r="P3" s="1" t="str">
        <f aca="false">CONCATENATE("insert into karyawan (nik, nama_lengkap, jabatan, group, max_retur, kode_salesman) values ", "(", "'", B3, "',", "'", C3, "',", "'", D3, "',", "'", M3, "',", "'", N3, "',", "'", O3, "'", ");")</f>
        <v>insert into karyawan (nik, nama_lengkap, jabatan, group, max_retur, kode_salesman) values ('SAL002','AYU RIFZKITA','DIREKTUR UTAMA','GROUP_25JAN0003','99999999999','');</v>
      </c>
    </row>
    <row r="4" customFormat="false" ht="12.65" hidden="false" customHeight="false" outlineLevel="0" collapsed="false">
      <c r="A4" s="1" t="n">
        <v>3</v>
      </c>
      <c r="B4" s="1" t="s">
        <v>472</v>
      </c>
      <c r="C4" s="1" t="s">
        <v>473</v>
      </c>
      <c r="D4" s="1" t="s">
        <v>474</v>
      </c>
      <c r="M4" s="1" t="s">
        <v>468</v>
      </c>
      <c r="N4" s="1" t="n">
        <v>0</v>
      </c>
      <c r="P4" s="1" t="str">
        <f aca="false">CONCATENATE("insert into karyawan (nik, nama_lengkap, jabatan, group, max_retur, kode_salesman) values ", "(", "'", B4, "',", "'", C4, "',", "'", D4, "',", "'", M4, "',", "'", N4, "',", "'", O4, "'", ");")</f>
        <v>insert into karyawan (nik, nama_lengkap, jabatan, group, max_retur, kode_salesman) values ('SAL003','AZIRAMA AL AZHAR','SUPERVISOR SALES','GROUP_25JAN0003','0','');</v>
      </c>
    </row>
    <row r="5" customFormat="false" ht="12.65" hidden="false" customHeight="false" outlineLevel="0" collapsed="false">
      <c r="A5" s="1" t="n">
        <v>4</v>
      </c>
      <c r="B5" s="1" t="s">
        <v>475</v>
      </c>
      <c r="C5" s="1" t="s">
        <v>476</v>
      </c>
      <c r="D5" s="1" t="s">
        <v>477</v>
      </c>
      <c r="M5" s="1" t="s">
        <v>468</v>
      </c>
      <c r="N5" s="1" t="n">
        <v>0</v>
      </c>
      <c r="P5" s="1" t="str">
        <f aca="false">CONCATENATE("insert into karyawan (nik, nama_lengkap, jabatan, group, max_retur, kode_salesman) values ", "(", "'", B5, "',", "'", C5, "',", "'", D5, "',", "'", M5, "',", "'", N5, "',", "'", O5, "'", ");")</f>
        <v>insert into karyawan (nik, nama_lengkap, jabatan, group, max_retur, kode_salesman) values ('SAL004','DITA AYU','ADMIN LEAD','GROUP_25JAN0003','0','');</v>
      </c>
    </row>
    <row r="6" customFormat="false" ht="12.65" hidden="false" customHeight="false" outlineLevel="0" collapsed="false">
      <c r="A6" s="1" t="n">
        <v>5</v>
      </c>
      <c r="B6" s="1" t="s">
        <v>478</v>
      </c>
      <c r="C6" s="1" t="s">
        <v>479</v>
      </c>
      <c r="D6" s="1" t="s">
        <v>480</v>
      </c>
      <c r="M6" s="1" t="s">
        <v>468</v>
      </c>
      <c r="N6" s="1" t="n">
        <v>0</v>
      </c>
      <c r="P6" s="1" t="str">
        <f aca="false">CONCATENATE("insert into karyawan (nik, nama_lengkap, jabatan, group, max_retur, kode_salesman) values ", "(", "'", B6, "',", "'", C6, "',", "'", D6, "',", "'", M6, "',", "'", N6, "',", "'", O6, "'", ");")</f>
        <v>insert into karyawan (nik, nama_lengkap, jabatan, group, max_retur, kode_salesman) values ('SAL005','EKO','LOGISTIC&amp;WAREHOUSE COORDINATOR','GROUP_25JAN0003','0','');</v>
      </c>
    </row>
    <row r="7" customFormat="false" ht="12.65" hidden="false" customHeight="false" outlineLevel="0" collapsed="false">
      <c r="A7" s="1" t="n">
        <v>6</v>
      </c>
      <c r="B7" s="1" t="s">
        <v>481</v>
      </c>
      <c r="C7" s="1" t="s">
        <v>482</v>
      </c>
      <c r="D7" s="1" t="s">
        <v>483</v>
      </c>
      <c r="M7" s="1" t="s">
        <v>468</v>
      </c>
      <c r="N7" s="1" t="n">
        <v>0</v>
      </c>
      <c r="O7" s="1" t="s">
        <v>484</v>
      </c>
      <c r="P7" s="1" t="str">
        <f aca="false">CONCATENATE("insert into karyawan (nik, nama_lengkap, jabatan, group, max_retur, kode_salesman) values ", "(", "'", B7, "',", "'", C7, "',", "'", D7, "',", "'", M7, "',", "'", N7, "',", "'", O7, "'", ");")</f>
        <v>insert into karyawan (nik, nama_lengkap, jabatan, group, max_retur, kode_salesman) values ('SAL006','EBRI','HELPER DELIVERY','GROUP_25JAN0003','0','DEV-HEL-0001');</v>
      </c>
    </row>
    <row r="8" customFormat="false" ht="12.65" hidden="false" customHeight="false" outlineLevel="0" collapsed="false">
      <c r="A8" s="1" t="n">
        <v>7</v>
      </c>
      <c r="B8" s="1" t="s">
        <v>485</v>
      </c>
      <c r="C8" s="1" t="s">
        <v>486</v>
      </c>
      <c r="D8" s="1" t="s">
        <v>487</v>
      </c>
      <c r="M8" s="1" t="s">
        <v>468</v>
      </c>
      <c r="N8" s="1" t="n">
        <v>0</v>
      </c>
      <c r="O8" s="1" t="s">
        <v>488</v>
      </c>
      <c r="P8" s="1" t="str">
        <f aca="false">CONCATENATE("insert into karyawan (nik, nama_lengkap, jabatan, group, max_retur, kode_salesman) values ", "(", "'", B8, "',", "'", C8, "',", "'", D8, "',", "'", M8, "',", "'", N8, "',", "'", O8, "'", ");")</f>
        <v>insert into karyawan (nik, nama_lengkap, jabatan, group, max_retur, kode_salesman) values ('SAL007','IPUNG','DRIVER DELIVERY','GROUP_25JAN0003','0','DEV-DRI-0001');</v>
      </c>
    </row>
    <row r="9" customFormat="false" ht="12.65" hidden="false" customHeight="false" outlineLevel="0" collapsed="false">
      <c r="A9" s="1" t="n">
        <v>8</v>
      </c>
      <c r="B9" s="1" t="s">
        <v>489</v>
      </c>
      <c r="C9" s="1" t="s">
        <v>490</v>
      </c>
      <c r="D9" s="1" t="s">
        <v>483</v>
      </c>
      <c r="M9" s="1" t="s">
        <v>468</v>
      </c>
      <c r="N9" s="1" t="n">
        <v>0</v>
      </c>
      <c r="O9" s="1" t="s">
        <v>491</v>
      </c>
      <c r="P9" s="1" t="str">
        <f aca="false">CONCATENATE("insert into karyawan (nik, nama_lengkap, jabatan, group, max_retur, kode_salesman) values ", "(", "'", B9, "',", "'", C9, "',", "'", D9, "',", "'", M9, "',", "'", N9, "',", "'", O9, "'", ");")</f>
        <v>insert into karyawan (nik, nama_lengkap, jabatan, group, max_retur, kode_salesman) values ('SAL008','RIDWAN','HELPER DELIVERY','GROUP_25JAN0003','0','DEV-HEL-0002');</v>
      </c>
    </row>
    <row r="10" customFormat="false" ht="12.65" hidden="false" customHeight="false" outlineLevel="0" collapsed="false">
      <c r="A10" s="1" t="n">
        <v>9</v>
      </c>
      <c r="B10" s="1" t="s">
        <v>492</v>
      </c>
      <c r="C10" s="1" t="s">
        <v>493</v>
      </c>
      <c r="D10" s="1" t="s">
        <v>487</v>
      </c>
      <c r="M10" s="1" t="s">
        <v>468</v>
      </c>
      <c r="N10" s="1" t="n">
        <v>0</v>
      </c>
      <c r="O10" s="1" t="s">
        <v>494</v>
      </c>
      <c r="P10" s="1" t="str">
        <f aca="false">CONCATENATE("insert into karyawan (nik, nama_lengkap, jabatan, group, max_retur, kode_salesman) values ", "(", "'", B10, "',", "'", C10, "',", "'", D10, "',", "'", M10, "',", "'", N10, "',", "'", O10, "'", ");")</f>
        <v>insert into karyawan (nik, nama_lengkap, jabatan, group, max_retur, kode_salesman) values ('SAL009','DIMAS','DRIVER DELIVERY','GROUP_25JAN0003','0','DEV-DRI-0002');</v>
      </c>
    </row>
    <row r="11" customFormat="false" ht="12.65" hidden="false" customHeight="false" outlineLevel="0" collapsed="false">
      <c r="A11" s="1" t="n">
        <v>10</v>
      </c>
      <c r="B11" s="1" t="s">
        <v>495</v>
      </c>
      <c r="C11" s="1" t="s">
        <v>496</v>
      </c>
      <c r="D11" s="1" t="s">
        <v>497</v>
      </c>
      <c r="M11" s="1" t="s">
        <v>468</v>
      </c>
      <c r="N11" s="1" t="n">
        <v>250000</v>
      </c>
      <c r="O11" s="1" t="s">
        <v>498</v>
      </c>
      <c r="P11" s="1" t="str">
        <f aca="false">CONCATENATE("insert into karyawan (nik, nama_lengkap, jabatan, group, max_retur, kode_salesman) values ", "(", "'", B11, "',", "'", C11, "',", "'", D11, "',", "'", M11, "',", "'", N11, "',", "'", O11, "'", ");")</f>
        <v>insert into karyawan (nik, nama_lengkap, jabatan, group, max_retur, kode_salesman) values ('SAL010','MAMAN','SALES TAKING ORDER (MIX)','GROUP_25JAN0003','250000','TO-MIX-0001');</v>
      </c>
    </row>
    <row r="12" customFormat="false" ht="12.65" hidden="false" customHeight="false" outlineLevel="0" collapsed="false">
      <c r="A12" s="1" t="n">
        <v>11</v>
      </c>
      <c r="B12" s="1" t="s">
        <v>499</v>
      </c>
      <c r="C12" s="1" t="s">
        <v>500</v>
      </c>
      <c r="D12" s="1" t="s">
        <v>497</v>
      </c>
      <c r="M12" s="1" t="s">
        <v>468</v>
      </c>
      <c r="N12" s="1" t="n">
        <v>250000</v>
      </c>
      <c r="O12" s="1" t="s">
        <v>501</v>
      </c>
      <c r="P12" s="1" t="str">
        <f aca="false">CONCATENATE("insert into karyawan (nik, nama_lengkap, jabatan, group, max_retur, kode_salesman) values ", "(", "'", B12, "',", "'", C12, "',", "'", D12, "',", "'", M12, "',", "'", N12, "',", "'", O12, "'", ");")</f>
        <v>insert into karyawan (nik, nama_lengkap, jabatan, group, max_retur, kode_salesman) values ('SAL011','SUGENG','SALES TAKING ORDER (MIX)','GROUP_25JAN0003','250000','TO-MIX-0002');</v>
      </c>
    </row>
    <row r="13" customFormat="false" ht="12.65" hidden="false" customHeight="false" outlineLevel="0" collapsed="false">
      <c r="A13" s="1" t="n">
        <v>12</v>
      </c>
      <c r="B13" s="1" t="s">
        <v>502</v>
      </c>
      <c r="C13" s="1" t="s">
        <v>503</v>
      </c>
      <c r="D13" s="1" t="s">
        <v>497</v>
      </c>
      <c r="M13" s="1" t="s">
        <v>468</v>
      </c>
      <c r="N13" s="1" t="n">
        <v>250000</v>
      </c>
      <c r="O13" s="1" t="s">
        <v>504</v>
      </c>
      <c r="P13" s="1" t="str">
        <f aca="false">CONCATENATE("insert into karyawan (nik, nama_lengkap, jabatan, group, max_retur, kode_salesman) values ", "(", "'", B13, "',", "'", C13, "',", "'", D13, "',", "'", M13, "',", "'", N13, "',", "'", O13, "'", ");")</f>
        <v>insert into karyawan (nik, nama_lengkap, jabatan, group, max_retur, kode_salesman) values ('SAL012','INDAH','SALES TAKING ORDER (MIX)','GROUP_25JAN0003','250000','TO-MIX-0003');</v>
      </c>
    </row>
    <row r="14" customFormat="false" ht="12.65" hidden="false" customHeight="false" outlineLevel="0" collapsed="false">
      <c r="A14" s="1" t="n">
        <v>14</v>
      </c>
      <c r="B14" s="1" t="s">
        <v>505</v>
      </c>
      <c r="C14" s="1" t="s">
        <v>506</v>
      </c>
      <c r="D14" s="1" t="s">
        <v>497</v>
      </c>
      <c r="M14" s="1" t="s">
        <v>468</v>
      </c>
      <c r="N14" s="1" t="n">
        <v>250000</v>
      </c>
      <c r="O14" s="1" t="s">
        <v>507</v>
      </c>
      <c r="P14" s="1" t="str">
        <f aca="false">CONCATENATE("insert into karyawan (nik, nama_lengkap, jabatan, group, max_retur, kode_salesman) values ", "(", "'", B14, "',", "'", C14, "',", "'", D14, "',", "'", M14, "',", "'", N14, "',", "'", O14, "'", ");")</f>
        <v>insert into karyawan (nik, nama_lengkap, jabatan, group, max_retur, kode_salesman) values ('SAL014','ANISA','SALES TAKING ORDER (MIX)','GROUP_25JAN0003','250000','TO-MIX-0004');</v>
      </c>
    </row>
    <row r="15" customFormat="false" ht="12.65" hidden="false" customHeight="false" outlineLevel="0" collapsed="false">
      <c r="A15" s="1" t="n">
        <v>15</v>
      </c>
      <c r="B15" s="1" t="s">
        <v>505</v>
      </c>
      <c r="C15" s="1" t="s">
        <v>508</v>
      </c>
      <c r="D15" s="1" t="s">
        <v>509</v>
      </c>
      <c r="M15" s="1" t="s">
        <v>468</v>
      </c>
      <c r="N15" s="1" t="n">
        <v>250000</v>
      </c>
      <c r="O15" s="1" t="s">
        <v>510</v>
      </c>
      <c r="P15" s="1" t="str">
        <f aca="false">CONCATENATE("insert into karyawan (nik, nama_lengkap, jabatan, group, max_retur, kode_salesman) values ", "(", "'", B15, "',", "'", C15, "',", "'", D15, "',", "'", M15, "',", "'", N15, "',", "'", O15, "'", ");")</f>
        <v>insert into karyawan (nik, nama_lengkap, jabatan, group, max_retur, kode_salesman) values ('SAL014','AMIN','SALES TAKING ORDER (EXCLUSIVE)','GROUP_25JAN0003','250000','TO-SE-0001');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2025-12-22T04:10:21Z</dcterms:created>
  <dc:creator>Acer</dc:creator>
  <dc:description/>
  <dc:language>en-US</dc:language>
  <cp:lastModifiedBy/>
  <dcterms:modified xsi:type="dcterms:W3CDTF">2026-01-24T17:00:48Z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