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CV. SUMBER ARTHA LAKSANA\DOWNLOAD\master produk SAL\"/>
    </mc:Choice>
  </mc:AlternateContent>
  <xr:revisionPtr revIDLastSave="0" documentId="13_ncr:1_{F06159D0-E379-478B-9A14-019CF392BC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DIT_NEW MASTER (2)" sheetId="6" r:id="rId1"/>
    <sheet name="Sheet 1" sheetId="1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90" i="6" l="1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189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4" i="6"/>
  <c r="U321" i="6"/>
  <c r="V264" i="6"/>
  <c r="V265" i="6"/>
  <c r="V266" i="6"/>
  <c r="V267" i="6"/>
  <c r="V268" i="6"/>
  <c r="V269" i="6"/>
  <c r="V263" i="6"/>
  <c r="V262" i="6"/>
  <c r="V261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46" i="6"/>
  <c r="U495" i="6"/>
  <c r="U496" i="6"/>
  <c r="U497" i="6"/>
  <c r="U498" i="6"/>
  <c r="U499" i="6"/>
  <c r="U500" i="6"/>
  <c r="U501" i="6"/>
  <c r="U502" i="6"/>
  <c r="U503" i="6"/>
  <c r="U504" i="6"/>
  <c r="U505" i="6"/>
  <c r="U506" i="6"/>
  <c r="U507" i="6"/>
  <c r="U508" i="6"/>
  <c r="U509" i="6"/>
  <c r="U510" i="6"/>
  <c r="U511" i="6"/>
  <c r="U494" i="6"/>
  <c r="U483" i="6"/>
  <c r="U484" i="6"/>
  <c r="U485" i="6"/>
  <c r="U486" i="6"/>
  <c r="U487" i="6"/>
  <c r="U488" i="6"/>
  <c r="U489" i="6"/>
  <c r="U490" i="6"/>
  <c r="U491" i="6"/>
  <c r="U492" i="6"/>
  <c r="U493" i="6"/>
  <c r="U482" i="6"/>
  <c r="U480" i="6"/>
  <c r="U481" i="6"/>
  <c r="U479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V458" i="6"/>
  <c r="U403" i="6"/>
  <c r="U404" i="6"/>
  <c r="U405" i="6"/>
  <c r="U402" i="6"/>
  <c r="U401" i="6"/>
  <c r="U400" i="6"/>
  <c r="U391" i="6"/>
  <c r="U392" i="6"/>
  <c r="U393" i="6"/>
  <c r="U394" i="6"/>
  <c r="U395" i="6"/>
  <c r="U396" i="6"/>
  <c r="U397" i="6"/>
  <c r="U398" i="6"/>
  <c r="U399" i="6"/>
  <c r="U390" i="6"/>
  <c r="U389" i="6"/>
  <c r="U388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6" i="6"/>
  <c r="U387" i="6"/>
  <c r="U370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57" i="6"/>
  <c r="V356" i="6"/>
  <c r="V353" i="6"/>
  <c r="V351" i="6"/>
  <c r="V345" i="6"/>
  <c r="U318" i="6"/>
  <c r="U315" i="6"/>
  <c r="U312" i="6"/>
  <c r="U309" i="6"/>
  <c r="V19" i="6"/>
  <c r="V25" i="6"/>
  <c r="V22" i="6"/>
  <c r="U305" i="6"/>
  <c r="U301" i="6"/>
  <c r="U298" i="6"/>
  <c r="U294" i="6"/>
  <c r="U290" i="6"/>
  <c r="U288" i="6"/>
  <c r="U285" i="6"/>
  <c r="U282" i="6"/>
  <c r="U279" i="6"/>
  <c r="U276" i="6"/>
  <c r="U273" i="6"/>
  <c r="U270" i="6"/>
  <c r="U93" i="6"/>
  <c r="U90" i="6"/>
  <c r="U87" i="6"/>
  <c r="U84" i="6"/>
  <c r="U81" i="6"/>
  <c r="U78" i="6"/>
  <c r="U75" i="6"/>
  <c r="U72" i="6"/>
  <c r="U69" i="6"/>
  <c r="U66" i="6"/>
  <c r="U63" i="6"/>
  <c r="U60" i="6"/>
  <c r="U57" i="6"/>
  <c r="U54" i="6"/>
  <c r="U51" i="6"/>
  <c r="U48" i="6"/>
  <c r="U45" i="6"/>
  <c r="U228" i="6"/>
  <c r="U225" i="6"/>
  <c r="U222" i="6"/>
  <c r="U219" i="6"/>
  <c r="U243" i="6"/>
  <c r="U240" i="6"/>
  <c r="U237" i="6"/>
  <c r="U234" i="6"/>
  <c r="U231" i="6"/>
  <c r="V186" i="6"/>
  <c r="V183" i="6"/>
  <c r="V180" i="6"/>
  <c r="V177" i="6"/>
  <c r="V174" i="6"/>
  <c r="V171" i="6"/>
  <c r="V168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96" i="6"/>
  <c r="S509" i="6" l="1"/>
  <c r="S510" i="6" s="1"/>
  <c r="S511" i="6" s="1"/>
  <c r="S506" i="6"/>
  <c r="S507" i="6" s="1"/>
  <c r="T507" i="6" s="1"/>
  <c r="N508" i="6"/>
  <c r="O508" i="6"/>
  <c r="P508" i="6"/>
  <c r="Q508" i="6"/>
  <c r="N507" i="6"/>
  <c r="O507" i="6"/>
  <c r="P507" i="6"/>
  <c r="Q507" i="6"/>
  <c r="K508" i="6"/>
  <c r="K507" i="6"/>
  <c r="S503" i="6"/>
  <c r="S504" i="6" s="1"/>
  <c r="S505" i="6" s="1"/>
  <c r="T505" i="6" s="1"/>
  <c r="N505" i="6"/>
  <c r="O505" i="6"/>
  <c r="P505" i="6"/>
  <c r="Q505" i="6"/>
  <c r="N504" i="6"/>
  <c r="O504" i="6"/>
  <c r="P504" i="6"/>
  <c r="Q504" i="6"/>
  <c r="K505" i="6"/>
  <c r="K504" i="6"/>
  <c r="S500" i="6"/>
  <c r="S501" i="6" s="1"/>
  <c r="N502" i="6"/>
  <c r="O502" i="6"/>
  <c r="P502" i="6"/>
  <c r="Q502" i="6"/>
  <c r="N501" i="6"/>
  <c r="O501" i="6"/>
  <c r="P501" i="6"/>
  <c r="Q501" i="6"/>
  <c r="P500" i="6"/>
  <c r="K502" i="6"/>
  <c r="K501" i="6"/>
  <c r="S497" i="6"/>
  <c r="S498" i="6" s="1"/>
  <c r="S499" i="6" s="1"/>
  <c r="T499" i="6" s="1"/>
  <c r="N499" i="6"/>
  <c r="O499" i="6"/>
  <c r="P499" i="6"/>
  <c r="Q499" i="6"/>
  <c r="N498" i="6"/>
  <c r="O498" i="6"/>
  <c r="P498" i="6"/>
  <c r="Q498" i="6"/>
  <c r="P497" i="6"/>
  <c r="K499" i="6"/>
  <c r="K498" i="6"/>
  <c r="S494" i="6"/>
  <c r="S495" i="6" s="1"/>
  <c r="O496" i="6"/>
  <c r="P496" i="6"/>
  <c r="Q496" i="6"/>
  <c r="O495" i="6"/>
  <c r="P495" i="6"/>
  <c r="Q495" i="6"/>
  <c r="N495" i="6"/>
  <c r="N496" i="6"/>
  <c r="N497" i="6"/>
  <c r="N500" i="6"/>
  <c r="N503" i="6"/>
  <c r="K500" i="6"/>
  <c r="K497" i="6"/>
  <c r="K496" i="6"/>
  <c r="K495" i="6"/>
  <c r="Q497" i="6"/>
  <c r="Q500" i="6"/>
  <c r="O497" i="6"/>
  <c r="O500" i="6"/>
  <c r="S491" i="6"/>
  <c r="S492" i="6" s="1"/>
  <c r="S488" i="6"/>
  <c r="S489" i="6" s="1"/>
  <c r="S485" i="6"/>
  <c r="T485" i="6" s="1"/>
  <c r="N487" i="6"/>
  <c r="O487" i="6"/>
  <c r="P487" i="6"/>
  <c r="Q487" i="6"/>
  <c r="N486" i="6"/>
  <c r="O486" i="6"/>
  <c r="P486" i="6"/>
  <c r="Q486" i="6"/>
  <c r="K487" i="6"/>
  <c r="K486" i="6"/>
  <c r="Q485" i="6"/>
  <c r="P485" i="6"/>
  <c r="O485" i="6"/>
  <c r="N485" i="6"/>
  <c r="K485" i="6"/>
  <c r="S482" i="6"/>
  <c r="S483" i="6" s="1"/>
  <c r="N490" i="6"/>
  <c r="O490" i="6"/>
  <c r="P490" i="6"/>
  <c r="Q490" i="6"/>
  <c r="N489" i="6"/>
  <c r="O489" i="6"/>
  <c r="P489" i="6"/>
  <c r="Q489" i="6"/>
  <c r="K490" i="6"/>
  <c r="K489" i="6"/>
  <c r="N484" i="6"/>
  <c r="O484" i="6"/>
  <c r="P484" i="6"/>
  <c r="Q484" i="6"/>
  <c r="N483" i="6"/>
  <c r="O483" i="6"/>
  <c r="P483" i="6"/>
  <c r="Q483" i="6"/>
  <c r="K484" i="6"/>
  <c r="K483" i="6"/>
  <c r="T489" i="6" l="1"/>
  <c r="T490" i="6"/>
  <c r="T495" i="6"/>
  <c r="S496" i="6"/>
  <c r="T496" i="6" s="1"/>
  <c r="T483" i="6"/>
  <c r="S484" i="6"/>
  <c r="T484" i="6" s="1"/>
  <c r="T500" i="6"/>
  <c r="T504" i="6"/>
  <c r="S486" i="6"/>
  <c r="T497" i="6"/>
  <c r="S508" i="6"/>
  <c r="T508" i="6" s="1"/>
  <c r="T498" i="6"/>
  <c r="S502" i="6"/>
  <c r="T502" i="6" s="1"/>
  <c r="T501" i="6"/>
  <c r="S186" i="6"/>
  <c r="S183" i="6"/>
  <c r="S180" i="6"/>
  <c r="N188" i="6"/>
  <c r="O188" i="6"/>
  <c r="P188" i="6"/>
  <c r="Q188" i="6"/>
  <c r="N187" i="6"/>
  <c r="O187" i="6"/>
  <c r="P187" i="6"/>
  <c r="Q187" i="6"/>
  <c r="N186" i="6"/>
  <c r="O186" i="6"/>
  <c r="P186" i="6"/>
  <c r="Q186" i="6"/>
  <c r="K188" i="6"/>
  <c r="K187" i="6"/>
  <c r="N185" i="6"/>
  <c r="O185" i="6"/>
  <c r="P185" i="6"/>
  <c r="Q185" i="6"/>
  <c r="N184" i="6"/>
  <c r="O184" i="6"/>
  <c r="P184" i="6"/>
  <c r="Q184" i="6"/>
  <c r="N183" i="6"/>
  <c r="O183" i="6"/>
  <c r="P183" i="6"/>
  <c r="Q183" i="6"/>
  <c r="K185" i="6"/>
  <c r="K184" i="6"/>
  <c r="N182" i="6"/>
  <c r="O182" i="6"/>
  <c r="P182" i="6"/>
  <c r="Q182" i="6"/>
  <c r="N181" i="6"/>
  <c r="O181" i="6"/>
  <c r="P181" i="6"/>
  <c r="Q181" i="6"/>
  <c r="N180" i="6"/>
  <c r="O180" i="6"/>
  <c r="P180" i="6"/>
  <c r="Q180" i="6"/>
  <c r="K182" i="6"/>
  <c r="K181" i="6"/>
  <c r="S177" i="6"/>
  <c r="S178" i="6" s="1"/>
  <c r="N179" i="6"/>
  <c r="O179" i="6"/>
  <c r="P179" i="6"/>
  <c r="Q179" i="6"/>
  <c r="N178" i="6"/>
  <c r="O178" i="6"/>
  <c r="P178" i="6"/>
  <c r="Q178" i="6"/>
  <c r="N177" i="6"/>
  <c r="O177" i="6"/>
  <c r="P177" i="6"/>
  <c r="Q177" i="6"/>
  <c r="K186" i="6"/>
  <c r="K183" i="6"/>
  <c r="K180" i="6"/>
  <c r="K179" i="6"/>
  <c r="K178" i="6"/>
  <c r="K177" i="6"/>
  <c r="S181" i="6" l="1"/>
  <c r="T181" i="6" s="1"/>
  <c r="T180" i="6"/>
  <c r="S187" i="6"/>
  <c r="T186" i="6"/>
  <c r="S184" i="6"/>
  <c r="T183" i="6"/>
  <c r="S179" i="6"/>
  <c r="T178" i="6"/>
  <c r="T177" i="6"/>
  <c r="T486" i="6"/>
  <c r="S487" i="6"/>
  <c r="T487" i="6" s="1"/>
  <c r="S479" i="6"/>
  <c r="S480" i="6" s="1"/>
  <c r="S481" i="6" s="1"/>
  <c r="S476" i="6"/>
  <c r="S477" i="6" s="1"/>
  <c r="S478" i="6" s="1"/>
  <c r="S473" i="6"/>
  <c r="S474" i="6" s="1"/>
  <c r="N475" i="6"/>
  <c r="O475" i="6"/>
  <c r="P475" i="6"/>
  <c r="Q475" i="6"/>
  <c r="N474" i="6"/>
  <c r="O474" i="6"/>
  <c r="P474" i="6"/>
  <c r="Q474" i="6"/>
  <c r="K475" i="6"/>
  <c r="K474" i="6"/>
  <c r="S470" i="6"/>
  <c r="S471" i="6" s="1"/>
  <c r="N472" i="6"/>
  <c r="O472" i="6"/>
  <c r="P472" i="6"/>
  <c r="Q472" i="6"/>
  <c r="N471" i="6"/>
  <c r="O471" i="6"/>
  <c r="P471" i="6"/>
  <c r="Q471" i="6"/>
  <c r="K472" i="6"/>
  <c r="K471" i="6"/>
  <c r="S467" i="6"/>
  <c r="S468" i="6" s="1"/>
  <c r="N469" i="6"/>
  <c r="O469" i="6"/>
  <c r="P469" i="6"/>
  <c r="Q469" i="6"/>
  <c r="N468" i="6"/>
  <c r="O468" i="6"/>
  <c r="P468" i="6"/>
  <c r="Q468" i="6"/>
  <c r="K469" i="6"/>
  <c r="K468" i="6"/>
  <c r="S464" i="6"/>
  <c r="S465" i="6" s="1"/>
  <c r="N466" i="6"/>
  <c r="O466" i="6"/>
  <c r="P466" i="6"/>
  <c r="Q466" i="6"/>
  <c r="N465" i="6"/>
  <c r="O465" i="6"/>
  <c r="P465" i="6"/>
  <c r="Q465" i="6"/>
  <c r="K466" i="6"/>
  <c r="K465" i="6"/>
  <c r="S461" i="6"/>
  <c r="S462" i="6" s="1"/>
  <c r="N463" i="6"/>
  <c r="O463" i="6"/>
  <c r="P463" i="6"/>
  <c r="Q463" i="6"/>
  <c r="N462" i="6"/>
  <c r="O462" i="6"/>
  <c r="P462" i="6"/>
  <c r="Q462" i="6"/>
  <c r="K463" i="6"/>
  <c r="K462" i="6"/>
  <c r="S458" i="6"/>
  <c r="S459" i="6" s="1"/>
  <c r="N460" i="6"/>
  <c r="O460" i="6"/>
  <c r="P460" i="6"/>
  <c r="Q460" i="6"/>
  <c r="N459" i="6"/>
  <c r="O459" i="6"/>
  <c r="P459" i="6"/>
  <c r="Q459" i="6"/>
  <c r="K460" i="6"/>
  <c r="K459" i="6"/>
  <c r="S456" i="6"/>
  <c r="S457" i="6" s="1"/>
  <c r="S454" i="6"/>
  <c r="S455" i="6" s="1"/>
  <c r="T455" i="6" s="1"/>
  <c r="S450" i="6"/>
  <c r="S451" i="6" s="1"/>
  <c r="S452" i="6" s="1"/>
  <c r="S453" i="6" s="1"/>
  <c r="T453" i="6" s="1"/>
  <c r="N455" i="6"/>
  <c r="O455" i="6"/>
  <c r="P455" i="6"/>
  <c r="Q455" i="6"/>
  <c r="N453" i="6"/>
  <c r="O453" i="6"/>
  <c r="P453" i="6"/>
  <c r="Q453" i="6"/>
  <c r="N452" i="6"/>
  <c r="O452" i="6"/>
  <c r="P452" i="6"/>
  <c r="Q452" i="6"/>
  <c r="K453" i="6"/>
  <c r="N451" i="6"/>
  <c r="O451" i="6"/>
  <c r="P451" i="6"/>
  <c r="Q451" i="6"/>
  <c r="N450" i="6"/>
  <c r="O450" i="6"/>
  <c r="P450" i="6"/>
  <c r="Q450" i="6"/>
  <c r="K452" i="6"/>
  <c r="K451" i="6"/>
  <c r="K450" i="6"/>
  <c r="S448" i="6"/>
  <c r="S449" i="6" s="1"/>
  <c r="T449" i="6" s="1"/>
  <c r="N449" i="6"/>
  <c r="O449" i="6"/>
  <c r="P449" i="6"/>
  <c r="Q449" i="6"/>
  <c r="K449" i="6"/>
  <c r="S446" i="6"/>
  <c r="S447" i="6" s="1"/>
  <c r="T447" i="6" s="1"/>
  <c r="N447" i="6"/>
  <c r="O447" i="6"/>
  <c r="P447" i="6"/>
  <c r="Q447" i="6"/>
  <c r="K447" i="6"/>
  <c r="S444" i="6"/>
  <c r="S445" i="6" s="1"/>
  <c r="T445" i="6" s="1"/>
  <c r="S182" i="6" l="1"/>
  <c r="T450" i="6"/>
  <c r="S185" i="6"/>
  <c r="T184" i="6"/>
  <c r="S188" i="6"/>
  <c r="T187" i="6"/>
  <c r="T462" i="6"/>
  <c r="S463" i="6"/>
  <c r="T463" i="6" s="1"/>
  <c r="T468" i="6"/>
  <c r="S469" i="6"/>
  <c r="T469" i="6" s="1"/>
  <c r="T474" i="6"/>
  <c r="S475" i="6"/>
  <c r="T475" i="6" s="1"/>
  <c r="S460" i="6"/>
  <c r="T460" i="6" s="1"/>
  <c r="T459" i="6"/>
  <c r="S466" i="6"/>
  <c r="T466" i="6" s="1"/>
  <c r="T465" i="6"/>
  <c r="T471" i="6"/>
  <c r="S472" i="6"/>
  <c r="T472" i="6" s="1"/>
  <c r="N445" i="6"/>
  <c r="O445" i="6"/>
  <c r="P445" i="6"/>
  <c r="Q445" i="6"/>
  <c r="K457" i="6"/>
  <c r="K458" i="6"/>
  <c r="K461" i="6"/>
  <c r="K464" i="6"/>
  <c r="K467" i="6"/>
  <c r="K470" i="6"/>
  <c r="K473" i="6"/>
  <c r="K476" i="6"/>
  <c r="K477" i="6"/>
  <c r="K478" i="6"/>
  <c r="K479" i="6"/>
  <c r="K480" i="6"/>
  <c r="K481" i="6"/>
  <c r="K482" i="6"/>
  <c r="K488" i="6"/>
  <c r="K491" i="6"/>
  <c r="K492" i="6"/>
  <c r="K493" i="6"/>
  <c r="K494" i="6"/>
  <c r="K503" i="6"/>
  <c r="K506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445" i="6"/>
  <c r="S442" i="6"/>
  <c r="S443" i="6" s="1"/>
  <c r="T443" i="6" s="1"/>
  <c r="T457" i="6"/>
  <c r="T458" i="6"/>
  <c r="T461" i="6"/>
  <c r="T464" i="6"/>
  <c r="T467" i="6"/>
  <c r="T470" i="6"/>
  <c r="T473" i="6"/>
  <c r="T476" i="6"/>
  <c r="T477" i="6"/>
  <c r="T478" i="6"/>
  <c r="T479" i="6"/>
  <c r="T480" i="6"/>
  <c r="T481" i="6"/>
  <c r="T482" i="6"/>
  <c r="T488" i="6"/>
  <c r="T491" i="6"/>
  <c r="T492" i="6"/>
  <c r="T493" i="6"/>
  <c r="T494" i="6"/>
  <c r="T503" i="6"/>
  <c r="T506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Q440" i="6"/>
  <c r="Q441" i="6"/>
  <c r="Q442" i="6"/>
  <c r="Q443" i="6"/>
  <c r="Q444" i="6"/>
  <c r="Q446" i="6"/>
  <c r="Q448" i="6"/>
  <c r="Q454" i="6"/>
  <c r="Q456" i="6"/>
  <c r="Q457" i="6"/>
  <c r="Q458" i="6"/>
  <c r="Q461" i="6"/>
  <c r="Q464" i="6"/>
  <c r="Q467" i="6"/>
  <c r="Q470" i="6"/>
  <c r="Q473" i="6"/>
  <c r="Q476" i="6"/>
  <c r="Q477" i="6"/>
  <c r="Q478" i="6"/>
  <c r="Q479" i="6"/>
  <c r="Q480" i="6"/>
  <c r="Q481" i="6"/>
  <c r="Q482" i="6"/>
  <c r="Q488" i="6"/>
  <c r="Q491" i="6"/>
  <c r="Q492" i="6"/>
  <c r="Q493" i="6"/>
  <c r="Q494" i="6"/>
  <c r="Q503" i="6"/>
  <c r="Q506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N481" i="6"/>
  <c r="N482" i="6"/>
  <c r="N488" i="6"/>
  <c r="N491" i="6"/>
  <c r="N492" i="6"/>
  <c r="N493" i="6"/>
  <c r="N494" i="6"/>
  <c r="N506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O481" i="6"/>
  <c r="O482" i="6"/>
  <c r="O488" i="6"/>
  <c r="O491" i="6"/>
  <c r="O492" i="6"/>
  <c r="O493" i="6"/>
  <c r="O494" i="6"/>
  <c r="O503" i="6"/>
  <c r="O506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P481" i="6"/>
  <c r="P482" i="6"/>
  <c r="P488" i="6"/>
  <c r="P491" i="6"/>
  <c r="P492" i="6"/>
  <c r="P493" i="6"/>
  <c r="P494" i="6"/>
  <c r="P503" i="6"/>
  <c r="P506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N457" i="6"/>
  <c r="N458" i="6"/>
  <c r="N461" i="6"/>
  <c r="N464" i="6"/>
  <c r="N467" i="6"/>
  <c r="N470" i="6"/>
  <c r="N473" i="6"/>
  <c r="N476" i="6"/>
  <c r="N477" i="6"/>
  <c r="N478" i="6"/>
  <c r="N479" i="6"/>
  <c r="N480" i="6"/>
  <c r="P440" i="6"/>
  <c r="P441" i="6"/>
  <c r="P442" i="6"/>
  <c r="P443" i="6"/>
  <c r="P444" i="6"/>
  <c r="P446" i="6"/>
  <c r="P448" i="6"/>
  <c r="P454" i="6"/>
  <c r="P456" i="6"/>
  <c r="P457" i="6"/>
  <c r="P458" i="6"/>
  <c r="P461" i="6"/>
  <c r="P464" i="6"/>
  <c r="P467" i="6"/>
  <c r="P470" i="6"/>
  <c r="P473" i="6"/>
  <c r="P476" i="6"/>
  <c r="P477" i="6"/>
  <c r="P478" i="6"/>
  <c r="P479" i="6"/>
  <c r="P480" i="6"/>
  <c r="O457" i="6"/>
  <c r="O458" i="6"/>
  <c r="O461" i="6"/>
  <c r="O464" i="6"/>
  <c r="O467" i="6"/>
  <c r="O470" i="6"/>
  <c r="O473" i="6"/>
  <c r="O476" i="6"/>
  <c r="O477" i="6"/>
  <c r="O478" i="6"/>
  <c r="O479" i="6"/>
  <c r="O480" i="6"/>
  <c r="N443" i="6"/>
  <c r="O443" i="6"/>
  <c r="K443" i="6"/>
  <c r="T440" i="6"/>
  <c r="T441" i="6"/>
  <c r="O440" i="6"/>
  <c r="O441" i="6"/>
  <c r="O442" i="6"/>
  <c r="O444" i="6"/>
  <c r="O446" i="6"/>
  <c r="O448" i="6"/>
  <c r="O454" i="6"/>
  <c r="O456" i="6"/>
  <c r="N440" i="6"/>
  <c r="N441" i="6"/>
  <c r="N442" i="6"/>
  <c r="N444" i="6"/>
  <c r="N446" i="6"/>
  <c r="N448" i="6"/>
  <c r="N454" i="6"/>
  <c r="N456" i="6"/>
  <c r="K441" i="6"/>
  <c r="K440" i="6"/>
  <c r="S434" i="6"/>
  <c r="S435" i="6" s="1"/>
  <c r="S436" i="6" s="1"/>
  <c r="S437" i="6" s="1"/>
  <c r="T452" i="6" l="1"/>
  <c r="T451" i="6"/>
  <c r="S432" i="6"/>
  <c r="S433" i="6" s="1"/>
  <c r="S430" i="6"/>
  <c r="S431" i="6" s="1"/>
  <c r="S427" i="6"/>
  <c r="S428" i="6" s="1"/>
  <c r="S429" i="6" s="1"/>
  <c r="T429" i="6" s="1"/>
  <c r="N429" i="6"/>
  <c r="O429" i="6"/>
  <c r="P429" i="6"/>
  <c r="Q429" i="6"/>
  <c r="N428" i="6"/>
  <c r="O428" i="6"/>
  <c r="P428" i="6"/>
  <c r="Q428" i="6"/>
  <c r="K429" i="6"/>
  <c r="K428" i="6"/>
  <c r="S425" i="6"/>
  <c r="S426" i="6" s="1"/>
  <c r="T426" i="6" s="1"/>
  <c r="N426" i="6"/>
  <c r="O426" i="6"/>
  <c r="P426" i="6"/>
  <c r="Q426" i="6"/>
  <c r="K426" i="6"/>
  <c r="S422" i="6"/>
  <c r="S423" i="6" s="1"/>
  <c r="N424" i="6"/>
  <c r="O424" i="6"/>
  <c r="P424" i="6"/>
  <c r="Q424" i="6"/>
  <c r="N423" i="6"/>
  <c r="O423" i="6"/>
  <c r="P423" i="6"/>
  <c r="Q423" i="6"/>
  <c r="S416" i="6"/>
  <c r="S417" i="6" s="1"/>
  <c r="S410" i="6"/>
  <c r="S411" i="6" s="1"/>
  <c r="K424" i="6"/>
  <c r="K423" i="6"/>
  <c r="S419" i="6"/>
  <c r="S420" i="6" s="1"/>
  <c r="S421" i="6" s="1"/>
  <c r="T421" i="6" s="1"/>
  <c r="N421" i="6"/>
  <c r="O421" i="6"/>
  <c r="P421" i="6"/>
  <c r="Q421" i="6"/>
  <c r="N420" i="6"/>
  <c r="O420" i="6"/>
  <c r="P420" i="6"/>
  <c r="Q420" i="6"/>
  <c r="K421" i="6"/>
  <c r="K420" i="6"/>
  <c r="N418" i="6"/>
  <c r="O418" i="6"/>
  <c r="P418" i="6"/>
  <c r="Q418" i="6"/>
  <c r="N417" i="6"/>
  <c r="O417" i="6"/>
  <c r="P417" i="6"/>
  <c r="Q417" i="6"/>
  <c r="K418" i="6"/>
  <c r="K417" i="6"/>
  <c r="S414" i="6"/>
  <c r="S415" i="6" s="1"/>
  <c r="T415" i="6" s="1"/>
  <c r="T414" i="6"/>
  <c r="N415" i="6"/>
  <c r="O415" i="6"/>
  <c r="P415" i="6"/>
  <c r="Q415" i="6"/>
  <c r="K415" i="6"/>
  <c r="N413" i="6"/>
  <c r="O413" i="6"/>
  <c r="P413" i="6"/>
  <c r="Q413" i="6"/>
  <c r="N412" i="6"/>
  <c r="O412" i="6"/>
  <c r="P412" i="6"/>
  <c r="Q412" i="6"/>
  <c r="N411" i="6"/>
  <c r="O411" i="6"/>
  <c r="P411" i="6"/>
  <c r="Q411" i="6"/>
  <c r="K413" i="6"/>
  <c r="K412" i="6"/>
  <c r="K411" i="6"/>
  <c r="S406" i="6"/>
  <c r="S407" i="6" s="1"/>
  <c r="T442" i="6"/>
  <c r="T444" i="6"/>
  <c r="T446" i="6"/>
  <c r="T448" i="6"/>
  <c r="T454" i="6"/>
  <c r="T456" i="6"/>
  <c r="N409" i="6"/>
  <c r="O409" i="6"/>
  <c r="P409" i="6"/>
  <c r="Q409" i="6"/>
  <c r="N408" i="6"/>
  <c r="O408" i="6"/>
  <c r="P408" i="6"/>
  <c r="Q408" i="6"/>
  <c r="K409" i="6"/>
  <c r="N407" i="6"/>
  <c r="O407" i="6"/>
  <c r="P407" i="6"/>
  <c r="Q407" i="6"/>
  <c r="K408" i="6"/>
  <c r="K407" i="6"/>
  <c r="K442" i="6"/>
  <c r="K444" i="6"/>
  <c r="K446" i="6"/>
  <c r="K448" i="6"/>
  <c r="K454" i="6"/>
  <c r="K456" i="6"/>
  <c r="S403" i="6"/>
  <c r="S404" i="6" s="1"/>
  <c r="S405" i="6" s="1"/>
  <c r="S400" i="6"/>
  <c r="S401" i="6" s="1"/>
  <c r="N402" i="6"/>
  <c r="O402" i="6"/>
  <c r="P402" i="6"/>
  <c r="Q402" i="6"/>
  <c r="N401" i="6"/>
  <c r="O401" i="6"/>
  <c r="P401" i="6"/>
  <c r="Q401" i="6"/>
  <c r="K402" i="6"/>
  <c r="K401" i="6"/>
  <c r="S397" i="6"/>
  <c r="S398" i="6" s="1"/>
  <c r="T398" i="6" s="1"/>
  <c r="N399" i="6"/>
  <c r="O399" i="6"/>
  <c r="P399" i="6"/>
  <c r="Q399" i="6"/>
  <c r="N398" i="6"/>
  <c r="O398" i="6"/>
  <c r="P398" i="6"/>
  <c r="Q398" i="6"/>
  <c r="K399" i="6"/>
  <c r="K398" i="6"/>
  <c r="S394" i="6"/>
  <c r="S395" i="6" s="1"/>
  <c r="N396" i="6"/>
  <c r="O396" i="6"/>
  <c r="P396" i="6"/>
  <c r="Q396" i="6"/>
  <c r="N395" i="6"/>
  <c r="O395" i="6"/>
  <c r="P395" i="6"/>
  <c r="Q395" i="6"/>
  <c r="K396" i="6"/>
  <c r="K395" i="6"/>
  <c r="S391" i="6"/>
  <c r="S392" i="6" s="1"/>
  <c r="N393" i="6"/>
  <c r="O393" i="6"/>
  <c r="P393" i="6"/>
  <c r="Q393" i="6"/>
  <c r="N392" i="6"/>
  <c r="O392" i="6"/>
  <c r="P392" i="6"/>
  <c r="Q392" i="6"/>
  <c r="K393" i="6"/>
  <c r="K392" i="6"/>
  <c r="S388" i="6"/>
  <c r="S389" i="6" s="1"/>
  <c r="N390" i="6"/>
  <c r="O390" i="6"/>
  <c r="P390" i="6"/>
  <c r="Q390" i="6"/>
  <c r="N389" i="6"/>
  <c r="O389" i="6"/>
  <c r="P389" i="6"/>
  <c r="Q389" i="6"/>
  <c r="K390" i="6"/>
  <c r="K389" i="6"/>
  <c r="S386" i="6"/>
  <c r="S387" i="6" s="1"/>
  <c r="S384" i="6"/>
  <c r="S385" i="6" s="1"/>
  <c r="T385" i="6" s="1"/>
  <c r="N385" i="6"/>
  <c r="O385" i="6"/>
  <c r="P385" i="6"/>
  <c r="Q385" i="6"/>
  <c r="K385" i="6"/>
  <c r="S382" i="6"/>
  <c r="S383" i="6" s="1"/>
  <c r="T383" i="6" s="1"/>
  <c r="N383" i="6"/>
  <c r="O383" i="6"/>
  <c r="P383" i="6"/>
  <c r="Q383" i="6"/>
  <c r="K383" i="6"/>
  <c r="S380" i="6"/>
  <c r="S381" i="6" s="1"/>
  <c r="T381" i="6" s="1"/>
  <c r="N381" i="6"/>
  <c r="O381" i="6"/>
  <c r="P381" i="6"/>
  <c r="Q381" i="6"/>
  <c r="K381" i="6"/>
  <c r="S378" i="6"/>
  <c r="S379" i="6" s="1"/>
  <c r="T379" i="6" s="1"/>
  <c r="N379" i="6"/>
  <c r="O379" i="6"/>
  <c r="P379" i="6"/>
  <c r="Q379" i="6"/>
  <c r="K379" i="6"/>
  <c r="S376" i="6"/>
  <c r="S377" i="6" s="1"/>
  <c r="T377" i="6" s="1"/>
  <c r="N377" i="6"/>
  <c r="O377" i="6"/>
  <c r="P377" i="6"/>
  <c r="Q377" i="6"/>
  <c r="K377" i="6"/>
  <c r="S374" i="6"/>
  <c r="S375" i="6" s="1"/>
  <c r="T375" i="6" s="1"/>
  <c r="N375" i="6"/>
  <c r="O375" i="6"/>
  <c r="P375" i="6"/>
  <c r="Q375" i="6"/>
  <c r="K375" i="6"/>
  <c r="S372" i="6"/>
  <c r="S373" i="6" s="1"/>
  <c r="T373" i="6" s="1"/>
  <c r="N373" i="6"/>
  <c r="O373" i="6"/>
  <c r="P373" i="6"/>
  <c r="Q373" i="6"/>
  <c r="S402" i="6" l="1"/>
  <c r="T402" i="6" s="1"/>
  <c r="T401" i="6"/>
  <c r="S408" i="6"/>
  <c r="T407" i="6"/>
  <c r="S412" i="6"/>
  <c r="T411" i="6"/>
  <c r="S418" i="6"/>
  <c r="T418" i="6" s="1"/>
  <c r="T417" i="6"/>
  <c r="T389" i="6"/>
  <c r="S390" i="6"/>
  <c r="T390" i="6" s="1"/>
  <c r="T423" i="6"/>
  <c r="S424" i="6"/>
  <c r="T424" i="6" s="1"/>
  <c r="T420" i="6"/>
  <c r="T428" i="6"/>
  <c r="S399" i="6"/>
  <c r="T399" i="6" s="1"/>
  <c r="T395" i="6"/>
  <c r="S396" i="6"/>
  <c r="T396" i="6" s="1"/>
  <c r="S393" i="6"/>
  <c r="T393" i="6" s="1"/>
  <c r="T392" i="6"/>
  <c r="K373" i="6"/>
  <c r="S370" i="6"/>
  <c r="S371" i="6" s="1"/>
  <c r="T371" i="6" s="1"/>
  <c r="N371" i="6"/>
  <c r="O371" i="6"/>
  <c r="P371" i="6"/>
  <c r="Q371" i="6"/>
  <c r="K371" i="6"/>
  <c r="K388" i="6"/>
  <c r="K391" i="6"/>
  <c r="K394" i="6"/>
  <c r="K397" i="6"/>
  <c r="K400" i="6"/>
  <c r="K403" i="6"/>
  <c r="K404" i="6"/>
  <c r="K405" i="6"/>
  <c r="K406" i="6"/>
  <c r="K410" i="6"/>
  <c r="K414" i="6"/>
  <c r="K416" i="6"/>
  <c r="K419" i="6"/>
  <c r="K422" i="6"/>
  <c r="K425" i="6"/>
  <c r="K427" i="6"/>
  <c r="K430" i="6"/>
  <c r="K431" i="6"/>
  <c r="K432" i="6"/>
  <c r="K433" i="6"/>
  <c r="K434" i="6"/>
  <c r="K435" i="6"/>
  <c r="K436" i="6"/>
  <c r="K437" i="6"/>
  <c r="K438" i="6"/>
  <c r="K439" i="6"/>
  <c r="S368" i="6"/>
  <c r="S369" i="6" s="1"/>
  <c r="S366" i="6"/>
  <c r="S367" i="6" s="1"/>
  <c r="T367" i="6" s="1"/>
  <c r="N367" i="6"/>
  <c r="O367" i="6"/>
  <c r="P367" i="6"/>
  <c r="Q367" i="6"/>
  <c r="K367" i="6"/>
  <c r="S364" i="6"/>
  <c r="S365" i="6" s="1"/>
  <c r="T365" i="6" s="1"/>
  <c r="N365" i="6"/>
  <c r="O365" i="6"/>
  <c r="P365" i="6"/>
  <c r="Q365" i="6"/>
  <c r="K365" i="6"/>
  <c r="K176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S362" i="6"/>
  <c r="S363" i="6" s="1"/>
  <c r="T363" i="6" s="1"/>
  <c r="N363" i="6"/>
  <c r="O363" i="6"/>
  <c r="P363" i="6"/>
  <c r="Q363" i="6"/>
  <c r="S360" i="6"/>
  <c r="S361" i="6" s="1"/>
  <c r="T361" i="6" s="1"/>
  <c r="N361" i="6"/>
  <c r="O361" i="6"/>
  <c r="P361" i="6"/>
  <c r="Q361" i="6"/>
  <c r="S358" i="6"/>
  <c r="S359" i="6" s="1"/>
  <c r="T359" i="6" s="1"/>
  <c r="N359" i="6"/>
  <c r="O359" i="6"/>
  <c r="P359" i="6"/>
  <c r="Q359" i="6"/>
  <c r="S409" i="6" l="1"/>
  <c r="T409" i="6" s="1"/>
  <c r="T408" i="6"/>
  <c r="S413" i="6"/>
  <c r="T413" i="6" s="1"/>
  <c r="T412" i="6"/>
  <c r="S356" i="6"/>
  <c r="S357" i="6" s="1"/>
  <c r="T357" i="6" s="1"/>
  <c r="N357" i="6"/>
  <c r="O357" i="6"/>
  <c r="P357" i="6"/>
  <c r="Q357" i="6"/>
  <c r="S353" i="6" l="1"/>
  <c r="S354" i="6" s="1"/>
  <c r="S355" i="6" s="1"/>
  <c r="S351" i="6"/>
  <c r="S352" i="6" s="1"/>
  <c r="S348" i="6"/>
  <c r="S349" i="6" s="1"/>
  <c r="N350" i="6"/>
  <c r="O350" i="6"/>
  <c r="P350" i="6"/>
  <c r="Q350" i="6"/>
  <c r="N349" i="6"/>
  <c r="O349" i="6"/>
  <c r="P349" i="6"/>
  <c r="Q349" i="6"/>
  <c r="S345" i="6"/>
  <c r="S346" i="6" s="1"/>
  <c r="T346" i="6" s="1"/>
  <c r="N347" i="6"/>
  <c r="O347" i="6"/>
  <c r="P347" i="6"/>
  <c r="Q347" i="6"/>
  <c r="N346" i="6"/>
  <c r="O346" i="6"/>
  <c r="P346" i="6"/>
  <c r="Q346" i="6"/>
  <c r="S342" i="6"/>
  <c r="S343" i="6" s="1"/>
  <c r="S344" i="6" s="1"/>
  <c r="S339" i="6"/>
  <c r="S340" i="6" s="1"/>
  <c r="N341" i="6"/>
  <c r="O341" i="6"/>
  <c r="P341" i="6"/>
  <c r="Q341" i="6"/>
  <c r="N340" i="6"/>
  <c r="O340" i="6"/>
  <c r="P340" i="6"/>
  <c r="Q340" i="6"/>
  <c r="S336" i="6"/>
  <c r="S337" i="6" s="1"/>
  <c r="N338" i="6"/>
  <c r="O338" i="6"/>
  <c r="P338" i="6"/>
  <c r="Q338" i="6"/>
  <c r="N337" i="6"/>
  <c r="O337" i="6"/>
  <c r="P337" i="6"/>
  <c r="Q337" i="6"/>
  <c r="S334" i="6"/>
  <c r="T334" i="6" s="1"/>
  <c r="S333" i="6"/>
  <c r="N335" i="6"/>
  <c r="O335" i="6"/>
  <c r="P335" i="6"/>
  <c r="Q335" i="6"/>
  <c r="N334" i="6"/>
  <c r="O334" i="6"/>
  <c r="P334" i="6"/>
  <c r="Q334" i="6"/>
  <c r="S330" i="6"/>
  <c r="S331" i="6" s="1"/>
  <c r="N332" i="6"/>
  <c r="O332" i="6"/>
  <c r="P332" i="6"/>
  <c r="Q332" i="6"/>
  <c r="N331" i="6"/>
  <c r="O331" i="6"/>
  <c r="P331" i="6"/>
  <c r="Q331" i="6"/>
  <c r="S327" i="6"/>
  <c r="S328" i="6" s="1"/>
  <c r="T328" i="6" s="1"/>
  <c r="N329" i="6"/>
  <c r="O329" i="6"/>
  <c r="P329" i="6"/>
  <c r="Q329" i="6"/>
  <c r="N328" i="6"/>
  <c r="O328" i="6"/>
  <c r="P328" i="6"/>
  <c r="Q328" i="6"/>
  <c r="S324" i="6"/>
  <c r="S325" i="6" s="1"/>
  <c r="N326" i="6"/>
  <c r="O326" i="6"/>
  <c r="P326" i="6"/>
  <c r="Q326" i="6"/>
  <c r="N325" i="6"/>
  <c r="O325" i="6"/>
  <c r="P325" i="6"/>
  <c r="Q325" i="6"/>
  <c r="Q439" i="6"/>
  <c r="S321" i="6"/>
  <c r="S322" i="6" s="1"/>
  <c r="N323" i="6"/>
  <c r="O323" i="6"/>
  <c r="P323" i="6"/>
  <c r="Q323" i="6"/>
  <c r="N322" i="6"/>
  <c r="O322" i="6"/>
  <c r="P322" i="6"/>
  <c r="Q322" i="6"/>
  <c r="S318" i="6"/>
  <c r="S319" i="6" s="1"/>
  <c r="S320" i="6" s="1"/>
  <c r="S315" i="6"/>
  <c r="S316" i="6" s="1"/>
  <c r="N317" i="6"/>
  <c r="O317" i="6"/>
  <c r="P317" i="6"/>
  <c r="Q317" i="6"/>
  <c r="N316" i="6"/>
  <c r="O316" i="6"/>
  <c r="P316" i="6"/>
  <c r="Q316" i="6"/>
  <c r="S312" i="6"/>
  <c r="S313" i="6" s="1"/>
  <c r="N314" i="6"/>
  <c r="O314" i="6"/>
  <c r="P314" i="6"/>
  <c r="Q314" i="6"/>
  <c r="N313" i="6"/>
  <c r="O313" i="6"/>
  <c r="P313" i="6"/>
  <c r="Q313" i="6"/>
  <c r="S309" i="6"/>
  <c r="S310" i="6" s="1"/>
  <c r="N311" i="6"/>
  <c r="O311" i="6"/>
  <c r="P311" i="6"/>
  <c r="Q311" i="6"/>
  <c r="N310" i="6"/>
  <c r="O310" i="6"/>
  <c r="P310" i="6"/>
  <c r="Q310" i="6"/>
  <c r="S305" i="6"/>
  <c r="S306" i="6" s="1"/>
  <c r="N308" i="6"/>
  <c r="O308" i="6"/>
  <c r="P308" i="6"/>
  <c r="Q308" i="6"/>
  <c r="N307" i="6"/>
  <c r="O307" i="6"/>
  <c r="P307" i="6"/>
  <c r="Q307" i="6"/>
  <c r="N306" i="6"/>
  <c r="O306" i="6"/>
  <c r="P306" i="6"/>
  <c r="Q306" i="6"/>
  <c r="S301" i="6"/>
  <c r="S302" i="6" s="1"/>
  <c r="N304" i="6"/>
  <c r="O304" i="6"/>
  <c r="P304" i="6"/>
  <c r="Q304" i="6"/>
  <c r="N303" i="6"/>
  <c r="O303" i="6"/>
  <c r="P303" i="6"/>
  <c r="Q303" i="6"/>
  <c r="N302" i="6"/>
  <c r="O302" i="6"/>
  <c r="P302" i="6"/>
  <c r="Q302" i="6"/>
  <c r="S294" i="6"/>
  <c r="S295" i="6" s="1"/>
  <c r="S296" i="6" s="1"/>
  <c r="S297" i="6" s="1"/>
  <c r="T297" i="6" s="1"/>
  <c r="S298" i="6"/>
  <c r="S299" i="6" s="1"/>
  <c r="N300" i="6"/>
  <c r="O300" i="6"/>
  <c r="P300" i="6"/>
  <c r="Q300" i="6"/>
  <c r="N299" i="6"/>
  <c r="O299" i="6"/>
  <c r="P299" i="6"/>
  <c r="Q299" i="6"/>
  <c r="N297" i="6"/>
  <c r="O297" i="6"/>
  <c r="P297" i="6"/>
  <c r="Q297" i="6"/>
  <c r="N296" i="6"/>
  <c r="O296" i="6"/>
  <c r="P296" i="6"/>
  <c r="Q296" i="6"/>
  <c r="N295" i="6"/>
  <c r="O295" i="6"/>
  <c r="P295" i="6"/>
  <c r="Q295" i="6"/>
  <c r="S290" i="6"/>
  <c r="S291" i="6" s="1"/>
  <c r="T291" i="6" s="1"/>
  <c r="N293" i="6"/>
  <c r="O293" i="6"/>
  <c r="P293" i="6"/>
  <c r="Q293" i="6"/>
  <c r="N292" i="6"/>
  <c r="O292" i="6"/>
  <c r="P292" i="6"/>
  <c r="Q292" i="6"/>
  <c r="N291" i="6"/>
  <c r="O291" i="6"/>
  <c r="P291" i="6"/>
  <c r="Q291" i="6"/>
  <c r="S288" i="6"/>
  <c r="S289" i="6" s="1"/>
  <c r="S285" i="6"/>
  <c r="S286" i="6" s="1"/>
  <c r="S287" i="6" s="1"/>
  <c r="T287" i="6" s="1"/>
  <c r="N287" i="6"/>
  <c r="O287" i="6"/>
  <c r="P287" i="6"/>
  <c r="Q287" i="6"/>
  <c r="N286" i="6"/>
  <c r="O286" i="6"/>
  <c r="P286" i="6"/>
  <c r="Q286" i="6"/>
  <c r="S282" i="6"/>
  <c r="S283" i="6" s="1"/>
  <c r="N284" i="6"/>
  <c r="O284" i="6"/>
  <c r="P284" i="6"/>
  <c r="Q284" i="6"/>
  <c r="N283" i="6"/>
  <c r="O283" i="6"/>
  <c r="P283" i="6"/>
  <c r="Q283" i="6"/>
  <c r="T322" i="6" l="1"/>
  <c r="S323" i="6"/>
  <c r="T323" i="6" s="1"/>
  <c r="T331" i="6"/>
  <c r="S332" i="6"/>
  <c r="T332" i="6" s="1"/>
  <c r="T313" i="6"/>
  <c r="S314" i="6"/>
  <c r="T314" i="6" s="1"/>
  <c r="T325" i="6"/>
  <c r="S326" i="6"/>
  <c r="T326" i="6" s="1"/>
  <c r="S307" i="6"/>
  <c r="T307" i="6" s="1"/>
  <c r="T306" i="6"/>
  <c r="S335" i="6"/>
  <c r="T335" i="6" s="1"/>
  <c r="S317" i="6"/>
  <c r="T317" i="6" s="1"/>
  <c r="T316" i="6"/>
  <c r="T302" i="6"/>
  <c r="S303" i="6"/>
  <c r="S338" i="6"/>
  <c r="T338" i="6" s="1"/>
  <c r="T337" i="6"/>
  <c r="S300" i="6"/>
  <c r="T300" i="6" s="1"/>
  <c r="T299" i="6"/>
  <c r="T310" i="6"/>
  <c r="S311" i="6"/>
  <c r="T311" i="6" s="1"/>
  <c r="S329" i="6"/>
  <c r="T329" i="6" s="1"/>
  <c r="S347" i="6"/>
  <c r="T347" i="6" s="1"/>
  <c r="S350" i="6"/>
  <c r="T350" i="6" s="1"/>
  <c r="T349" i="6"/>
  <c r="S341" i="6"/>
  <c r="T341" i="6" s="1"/>
  <c r="T340" i="6"/>
  <c r="T286" i="6"/>
  <c r="S292" i="6"/>
  <c r="T295" i="6"/>
  <c r="S284" i="6"/>
  <c r="T284" i="6" s="1"/>
  <c r="T283" i="6"/>
  <c r="S279" i="6"/>
  <c r="S280" i="6" s="1"/>
  <c r="N281" i="6"/>
  <c r="O281" i="6"/>
  <c r="P281" i="6"/>
  <c r="Q281" i="6"/>
  <c r="N280" i="6"/>
  <c r="O280" i="6"/>
  <c r="P280" i="6"/>
  <c r="Q280" i="6"/>
  <c r="S276" i="6"/>
  <c r="S277" i="6" s="1"/>
  <c r="N278" i="6"/>
  <c r="O278" i="6"/>
  <c r="P278" i="6"/>
  <c r="Q278" i="6"/>
  <c r="N277" i="6"/>
  <c r="O277" i="6"/>
  <c r="P277" i="6"/>
  <c r="Q277" i="6"/>
  <c r="S273" i="6"/>
  <c r="S274" i="6" s="1"/>
  <c r="N275" i="6"/>
  <c r="O275" i="6"/>
  <c r="P275" i="6"/>
  <c r="Q275" i="6"/>
  <c r="N274" i="6"/>
  <c r="O274" i="6"/>
  <c r="P274" i="6"/>
  <c r="Q274" i="6"/>
  <c r="S270" i="6"/>
  <c r="S271" i="6" s="1"/>
  <c r="S272" i="6" s="1"/>
  <c r="T272" i="6" s="1"/>
  <c r="N272" i="6"/>
  <c r="O272" i="6"/>
  <c r="P272" i="6"/>
  <c r="Q272" i="6"/>
  <c r="N271" i="6"/>
  <c r="O271" i="6"/>
  <c r="P271" i="6"/>
  <c r="Q271" i="6"/>
  <c r="T388" i="6"/>
  <c r="T391" i="6"/>
  <c r="T394" i="6"/>
  <c r="T397" i="6"/>
  <c r="T400" i="6"/>
  <c r="T403" i="6"/>
  <c r="T404" i="6"/>
  <c r="T405" i="6"/>
  <c r="T406" i="6"/>
  <c r="T410" i="6"/>
  <c r="T416" i="6"/>
  <c r="T419" i="6"/>
  <c r="T422" i="6"/>
  <c r="T425" i="6"/>
  <c r="T427" i="6"/>
  <c r="T430" i="6"/>
  <c r="T431" i="6"/>
  <c r="T432" i="6"/>
  <c r="T433" i="6"/>
  <c r="T434" i="6"/>
  <c r="T435" i="6"/>
  <c r="T436" i="6"/>
  <c r="T437" i="6"/>
  <c r="T438" i="6"/>
  <c r="T439" i="6"/>
  <c r="Q388" i="6"/>
  <c r="Q391" i="6"/>
  <c r="Q394" i="6"/>
  <c r="Q397" i="6"/>
  <c r="Q400" i="6"/>
  <c r="Q403" i="6"/>
  <c r="Q404" i="6"/>
  <c r="Q405" i="6"/>
  <c r="Q406" i="6"/>
  <c r="Q410" i="6"/>
  <c r="Q414" i="6"/>
  <c r="Q416" i="6"/>
  <c r="Q419" i="6"/>
  <c r="Q422" i="6"/>
  <c r="Q425" i="6"/>
  <c r="Q427" i="6"/>
  <c r="Q430" i="6"/>
  <c r="Q431" i="6"/>
  <c r="Q432" i="6"/>
  <c r="Q433" i="6"/>
  <c r="Q434" i="6"/>
  <c r="Q435" i="6"/>
  <c r="Q436" i="6"/>
  <c r="Q437" i="6"/>
  <c r="Q438" i="6"/>
  <c r="P388" i="6"/>
  <c r="P391" i="6"/>
  <c r="P394" i="6"/>
  <c r="P397" i="6"/>
  <c r="P400" i="6"/>
  <c r="P403" i="6"/>
  <c r="P404" i="6"/>
  <c r="P405" i="6"/>
  <c r="P406" i="6"/>
  <c r="P410" i="6"/>
  <c r="P414" i="6"/>
  <c r="P416" i="6"/>
  <c r="P419" i="6"/>
  <c r="P422" i="6"/>
  <c r="P425" i="6"/>
  <c r="P427" i="6"/>
  <c r="P430" i="6"/>
  <c r="P431" i="6"/>
  <c r="P432" i="6"/>
  <c r="P433" i="6"/>
  <c r="P434" i="6"/>
  <c r="P435" i="6"/>
  <c r="P436" i="6"/>
  <c r="P437" i="6"/>
  <c r="P438" i="6"/>
  <c r="P439" i="6"/>
  <c r="O388" i="6"/>
  <c r="O391" i="6"/>
  <c r="O394" i="6"/>
  <c r="O397" i="6"/>
  <c r="O400" i="6"/>
  <c r="O403" i="6"/>
  <c r="O404" i="6"/>
  <c r="O405" i="6"/>
  <c r="O406" i="6"/>
  <c r="O410" i="6"/>
  <c r="O414" i="6"/>
  <c r="O416" i="6"/>
  <c r="O419" i="6"/>
  <c r="O422" i="6"/>
  <c r="O425" i="6"/>
  <c r="O427" i="6"/>
  <c r="O430" i="6"/>
  <c r="O431" i="6"/>
  <c r="O432" i="6"/>
  <c r="O433" i="6"/>
  <c r="O434" i="6"/>
  <c r="O435" i="6"/>
  <c r="O436" i="6"/>
  <c r="O437" i="6"/>
  <c r="O438" i="6"/>
  <c r="O439" i="6"/>
  <c r="N388" i="6"/>
  <c r="N391" i="6"/>
  <c r="N394" i="6"/>
  <c r="N397" i="6"/>
  <c r="N400" i="6"/>
  <c r="N403" i="6"/>
  <c r="N404" i="6"/>
  <c r="N405" i="6"/>
  <c r="N406" i="6"/>
  <c r="N410" i="6"/>
  <c r="N414" i="6"/>
  <c r="N416" i="6"/>
  <c r="N419" i="6"/>
  <c r="N422" i="6"/>
  <c r="N425" i="6"/>
  <c r="N427" i="6"/>
  <c r="N430" i="6"/>
  <c r="N431" i="6"/>
  <c r="N432" i="6"/>
  <c r="N433" i="6"/>
  <c r="N434" i="6"/>
  <c r="N435" i="6"/>
  <c r="N436" i="6"/>
  <c r="N437" i="6"/>
  <c r="N438" i="6"/>
  <c r="N439" i="6"/>
  <c r="S308" i="6" l="1"/>
  <c r="T308" i="6" s="1"/>
  <c r="S304" i="6"/>
  <c r="T304" i="6" s="1"/>
  <c r="T303" i="6"/>
  <c r="T271" i="6"/>
  <c r="S281" i="6"/>
  <c r="T281" i="6" s="1"/>
  <c r="T280" i="6"/>
  <c r="S293" i="6"/>
  <c r="T293" i="6" s="1"/>
  <c r="T292" i="6"/>
  <c r="T296" i="6"/>
  <c r="S278" i="6"/>
  <c r="T278" i="6" s="1"/>
  <c r="T277" i="6"/>
  <c r="S275" i="6"/>
  <c r="T275" i="6" s="1"/>
  <c r="T274" i="6"/>
  <c r="S267" i="6" l="1"/>
  <c r="S268" i="6" s="1"/>
  <c r="S269" i="6" s="1"/>
  <c r="K366" i="6"/>
  <c r="K368" i="6"/>
  <c r="K369" i="6"/>
  <c r="K370" i="6"/>
  <c r="K372" i="6"/>
  <c r="K374" i="6"/>
  <c r="K376" i="6"/>
  <c r="K378" i="6"/>
  <c r="K380" i="6"/>
  <c r="K382" i="6"/>
  <c r="K384" i="6"/>
  <c r="K386" i="6"/>
  <c r="K387" i="6"/>
  <c r="S264" i="6"/>
  <c r="S265" i="6" s="1"/>
  <c r="S261" i="6"/>
  <c r="S262" i="6" s="1"/>
  <c r="T262" i="6" s="1"/>
  <c r="N266" i="6"/>
  <c r="O266" i="6"/>
  <c r="P266" i="6"/>
  <c r="Q266" i="6"/>
  <c r="N265" i="6"/>
  <c r="O265" i="6"/>
  <c r="P265" i="6"/>
  <c r="Q265" i="6"/>
  <c r="N263" i="6"/>
  <c r="O263" i="6"/>
  <c r="P263" i="6"/>
  <c r="Q263" i="6"/>
  <c r="N262" i="6"/>
  <c r="O262" i="6"/>
  <c r="P262" i="6"/>
  <c r="Q262" i="6"/>
  <c r="S258" i="6"/>
  <c r="S259" i="6" s="1"/>
  <c r="N260" i="6"/>
  <c r="O260" i="6"/>
  <c r="P260" i="6"/>
  <c r="Q260" i="6"/>
  <c r="N259" i="6"/>
  <c r="O259" i="6"/>
  <c r="P259" i="6"/>
  <c r="Q259" i="6"/>
  <c r="S255" i="6"/>
  <c r="S256" i="6" s="1"/>
  <c r="N257" i="6"/>
  <c r="O257" i="6"/>
  <c r="P257" i="6"/>
  <c r="Q257" i="6"/>
  <c r="N256" i="6"/>
  <c r="O256" i="6"/>
  <c r="P256" i="6"/>
  <c r="Q256" i="6"/>
  <c r="S252" i="6"/>
  <c r="S253" i="6" s="1"/>
  <c r="S254" i="6" s="1"/>
  <c r="T254" i="6" s="1"/>
  <c r="N254" i="6"/>
  <c r="O254" i="6"/>
  <c r="P254" i="6"/>
  <c r="Q254" i="6"/>
  <c r="N253" i="6"/>
  <c r="O253" i="6"/>
  <c r="P253" i="6"/>
  <c r="Q253" i="6"/>
  <c r="S249" i="6"/>
  <c r="S250" i="6" s="1"/>
  <c r="N251" i="6"/>
  <c r="O251" i="6"/>
  <c r="P251" i="6"/>
  <c r="Q251" i="6"/>
  <c r="N250" i="6"/>
  <c r="O250" i="6"/>
  <c r="P250" i="6"/>
  <c r="Q250" i="6"/>
  <c r="S246" i="6"/>
  <c r="S247" i="6" s="1"/>
  <c r="N248" i="6"/>
  <c r="O248" i="6"/>
  <c r="P248" i="6"/>
  <c r="Q248" i="6"/>
  <c r="N247" i="6"/>
  <c r="O247" i="6"/>
  <c r="P247" i="6"/>
  <c r="Q247" i="6"/>
  <c r="S243" i="6"/>
  <c r="S244" i="6" s="1"/>
  <c r="S245" i="6" s="1"/>
  <c r="S240" i="6"/>
  <c r="S241" i="6" s="1"/>
  <c r="N242" i="6"/>
  <c r="O242" i="6"/>
  <c r="P242" i="6"/>
  <c r="Q242" i="6"/>
  <c r="N241" i="6"/>
  <c r="O241" i="6"/>
  <c r="P241" i="6"/>
  <c r="Q241" i="6"/>
  <c r="S237" i="6"/>
  <c r="S238" i="6" s="1"/>
  <c r="N239" i="6"/>
  <c r="O239" i="6"/>
  <c r="P239" i="6"/>
  <c r="Q239" i="6"/>
  <c r="N238" i="6"/>
  <c r="O238" i="6"/>
  <c r="P238" i="6"/>
  <c r="Q238" i="6"/>
  <c r="S234" i="6"/>
  <c r="S235" i="6" s="1"/>
  <c r="S236" i="6" s="1"/>
  <c r="T236" i="6" s="1"/>
  <c r="N236" i="6"/>
  <c r="O236" i="6"/>
  <c r="P236" i="6"/>
  <c r="Q236" i="6"/>
  <c r="N235" i="6"/>
  <c r="O235" i="6"/>
  <c r="P235" i="6"/>
  <c r="Q235" i="6"/>
  <c r="S231" i="6"/>
  <c r="S232" i="6" s="1"/>
  <c r="N233" i="6"/>
  <c r="O233" i="6"/>
  <c r="P233" i="6"/>
  <c r="Q233" i="6"/>
  <c r="N232" i="6"/>
  <c r="O232" i="6"/>
  <c r="P232" i="6"/>
  <c r="Q232" i="6"/>
  <c r="S228" i="6"/>
  <c r="S229" i="6" s="1"/>
  <c r="N230" i="6"/>
  <c r="O230" i="6"/>
  <c r="P230" i="6"/>
  <c r="Q230" i="6"/>
  <c r="N229" i="6"/>
  <c r="O229" i="6"/>
  <c r="P229" i="6"/>
  <c r="Q229" i="6"/>
  <c r="S225" i="6"/>
  <c r="S226" i="6" s="1"/>
  <c r="N227" i="6"/>
  <c r="O227" i="6"/>
  <c r="P227" i="6"/>
  <c r="Q227" i="6"/>
  <c r="N226" i="6"/>
  <c r="O226" i="6"/>
  <c r="P226" i="6"/>
  <c r="Q226" i="6"/>
  <c r="S222" i="6"/>
  <c r="S223" i="6" s="1"/>
  <c r="T223" i="6" s="1"/>
  <c r="N224" i="6"/>
  <c r="O224" i="6"/>
  <c r="P224" i="6"/>
  <c r="Q224" i="6"/>
  <c r="N223" i="6"/>
  <c r="O223" i="6"/>
  <c r="P223" i="6"/>
  <c r="Q223" i="6"/>
  <c r="S219" i="6"/>
  <c r="S220" i="6" s="1"/>
  <c r="N221" i="6"/>
  <c r="O221" i="6"/>
  <c r="P221" i="6"/>
  <c r="Q221" i="6"/>
  <c r="N220" i="6"/>
  <c r="O220" i="6"/>
  <c r="P220" i="6"/>
  <c r="Q220" i="6"/>
  <c r="N176" i="6"/>
  <c r="O176" i="6"/>
  <c r="P176" i="6"/>
  <c r="Q176" i="6"/>
  <c r="N173" i="6"/>
  <c r="O173" i="6"/>
  <c r="P173" i="6"/>
  <c r="Q173" i="6"/>
  <c r="K173" i="6"/>
  <c r="N170" i="6"/>
  <c r="O170" i="6"/>
  <c r="P170" i="6"/>
  <c r="Q170" i="6"/>
  <c r="K170" i="6"/>
  <c r="N167" i="6"/>
  <c r="O167" i="6"/>
  <c r="P167" i="6"/>
  <c r="Q167" i="6"/>
  <c r="K167" i="6"/>
  <c r="N164" i="6"/>
  <c r="O164" i="6"/>
  <c r="P164" i="6"/>
  <c r="Q164" i="6"/>
  <c r="K164" i="6"/>
  <c r="S216" i="6"/>
  <c r="S217" i="6" s="1"/>
  <c r="S218" i="6" s="1"/>
  <c r="S213" i="6"/>
  <c r="S214" i="6" s="1"/>
  <c r="N215" i="6"/>
  <c r="O215" i="6"/>
  <c r="P215" i="6"/>
  <c r="Q215" i="6"/>
  <c r="N214" i="6"/>
  <c r="O214" i="6"/>
  <c r="P214" i="6"/>
  <c r="Q214" i="6"/>
  <c r="S210" i="6"/>
  <c r="S211" i="6" s="1"/>
  <c r="N212" i="6"/>
  <c r="O212" i="6"/>
  <c r="P212" i="6"/>
  <c r="Q212" i="6"/>
  <c r="N211" i="6"/>
  <c r="O211" i="6"/>
  <c r="P211" i="6"/>
  <c r="Q211" i="6"/>
  <c r="S207" i="6"/>
  <c r="S208" i="6" s="1"/>
  <c r="N209" i="6"/>
  <c r="O209" i="6"/>
  <c r="P209" i="6"/>
  <c r="Q209" i="6"/>
  <c r="N208" i="6"/>
  <c r="O208" i="6"/>
  <c r="P208" i="6"/>
  <c r="Q208" i="6"/>
  <c r="S204" i="6"/>
  <c r="S205" i="6" s="1"/>
  <c r="S206" i="6" s="1"/>
  <c r="T206" i="6" s="1"/>
  <c r="N206" i="6"/>
  <c r="O206" i="6"/>
  <c r="P206" i="6"/>
  <c r="Q206" i="6"/>
  <c r="N205" i="6"/>
  <c r="O205" i="6"/>
  <c r="P205" i="6"/>
  <c r="Q205" i="6"/>
  <c r="S201" i="6"/>
  <c r="S202" i="6" s="1"/>
  <c r="T202" i="6" s="1"/>
  <c r="N203" i="6"/>
  <c r="O203" i="6"/>
  <c r="P203" i="6"/>
  <c r="Q203" i="6"/>
  <c r="N202" i="6"/>
  <c r="O202" i="6"/>
  <c r="P202" i="6"/>
  <c r="Q202" i="6"/>
  <c r="T253" i="6" l="1"/>
  <c r="T265" i="6"/>
  <c r="S266" i="6"/>
  <c r="T266" i="6" s="1"/>
  <c r="S263" i="6"/>
  <c r="T263" i="6" s="1"/>
  <c r="S260" i="6"/>
  <c r="T260" i="6" s="1"/>
  <c r="T259" i="6"/>
  <c r="S257" i="6"/>
  <c r="T257" i="6" s="1"/>
  <c r="T256" i="6"/>
  <c r="T205" i="6"/>
  <c r="T211" i="6"/>
  <c r="S212" i="6"/>
  <c r="T212" i="6" s="1"/>
  <c r="T247" i="6"/>
  <c r="S248" i="6"/>
  <c r="T248" i="6" s="1"/>
  <c r="S239" i="6"/>
  <c r="T239" i="6" s="1"/>
  <c r="T238" i="6"/>
  <c r="S221" i="6"/>
  <c r="T221" i="6" s="1"/>
  <c r="T220" i="6"/>
  <c r="T232" i="6"/>
  <c r="S233" i="6"/>
  <c r="T233" i="6" s="1"/>
  <c r="S251" i="6"/>
  <c r="T251" i="6" s="1"/>
  <c r="T250" i="6"/>
  <c r="S203" i="6"/>
  <c r="T203" i="6" s="1"/>
  <c r="S242" i="6"/>
  <c r="T242" i="6" s="1"/>
  <c r="T241" i="6"/>
  <c r="T235" i="6"/>
  <c r="S230" i="6"/>
  <c r="T230" i="6" s="1"/>
  <c r="T229" i="6"/>
  <c r="S227" i="6"/>
  <c r="T227" i="6" s="1"/>
  <c r="T226" i="6"/>
  <c r="S224" i="6"/>
  <c r="T224" i="6" s="1"/>
  <c r="S215" i="6"/>
  <c r="T215" i="6" s="1"/>
  <c r="T214" i="6"/>
  <c r="S209" i="6"/>
  <c r="T209" i="6" s="1"/>
  <c r="T208" i="6"/>
  <c r="S199" i="6"/>
  <c r="S200" i="6" s="1"/>
  <c r="T200" i="6" s="1"/>
  <c r="N200" i="6"/>
  <c r="O200" i="6"/>
  <c r="P200" i="6"/>
  <c r="Q200" i="6"/>
  <c r="S197" i="6"/>
  <c r="S198" i="6" s="1"/>
  <c r="T198" i="6" s="1"/>
  <c r="N198" i="6"/>
  <c r="O198" i="6"/>
  <c r="P198" i="6"/>
  <c r="Q198" i="6"/>
  <c r="S194" i="6"/>
  <c r="S195" i="6" s="1"/>
  <c r="S196" i="6" s="1"/>
  <c r="T196" i="6" s="1"/>
  <c r="N196" i="6"/>
  <c r="O196" i="6"/>
  <c r="P196" i="6"/>
  <c r="Q196" i="6"/>
  <c r="N195" i="6"/>
  <c r="O195" i="6"/>
  <c r="P195" i="6"/>
  <c r="Q195" i="6"/>
  <c r="S191" i="6"/>
  <c r="S192" i="6" s="1"/>
  <c r="N193" i="6"/>
  <c r="O193" i="6"/>
  <c r="P193" i="6"/>
  <c r="Q193" i="6"/>
  <c r="N192" i="6"/>
  <c r="O192" i="6"/>
  <c r="P192" i="6"/>
  <c r="Q192" i="6"/>
  <c r="S190" i="6"/>
  <c r="T190" i="6" s="1"/>
  <c r="N190" i="6"/>
  <c r="O190" i="6"/>
  <c r="P190" i="6"/>
  <c r="Q190" i="6"/>
  <c r="T195" i="6" l="1"/>
  <c r="S193" i="6"/>
  <c r="T193" i="6" s="1"/>
  <c r="T192" i="6"/>
  <c r="S174" i="6"/>
  <c r="S175" i="6" s="1"/>
  <c r="S176" i="6" s="1"/>
  <c r="T176" i="6" s="1"/>
  <c r="S171" i="6"/>
  <c r="S172" i="6" s="1"/>
  <c r="N172" i="6"/>
  <c r="O172" i="6"/>
  <c r="P172" i="6"/>
  <c r="Q172" i="6"/>
  <c r="K172" i="6"/>
  <c r="S168" i="6"/>
  <c r="S169" i="6" s="1"/>
  <c r="N169" i="6"/>
  <c r="O169" i="6"/>
  <c r="P169" i="6"/>
  <c r="Q169" i="6"/>
  <c r="K169" i="6"/>
  <c r="S165" i="6"/>
  <c r="S166" i="6" s="1"/>
  <c r="S167" i="6" s="1"/>
  <c r="T167" i="6" s="1"/>
  <c r="N166" i="6"/>
  <c r="O166" i="6"/>
  <c r="P166" i="6"/>
  <c r="Q166" i="6"/>
  <c r="K166" i="6"/>
  <c r="S162" i="6"/>
  <c r="S163" i="6" s="1"/>
  <c r="N163" i="6"/>
  <c r="O163" i="6"/>
  <c r="P163" i="6"/>
  <c r="Q163" i="6"/>
  <c r="K163" i="6"/>
  <c r="T269" i="6"/>
  <c r="T270" i="6"/>
  <c r="T273" i="6"/>
  <c r="T276" i="6"/>
  <c r="T279" i="6"/>
  <c r="T282" i="6"/>
  <c r="T285" i="6"/>
  <c r="T288" i="6"/>
  <c r="T289" i="6"/>
  <c r="T290" i="6"/>
  <c r="T294" i="6"/>
  <c r="T298" i="6"/>
  <c r="T301" i="6"/>
  <c r="T305" i="6"/>
  <c r="T309" i="6"/>
  <c r="T312" i="6"/>
  <c r="T315" i="6"/>
  <c r="T318" i="6"/>
  <c r="T319" i="6"/>
  <c r="T320" i="6"/>
  <c r="T321" i="6"/>
  <c r="T324" i="6"/>
  <c r="T327" i="6"/>
  <c r="T330" i="6"/>
  <c r="T333" i="6"/>
  <c r="T336" i="6"/>
  <c r="T339" i="6"/>
  <c r="T342" i="6"/>
  <c r="T343" i="6"/>
  <c r="T344" i="6"/>
  <c r="T345" i="6"/>
  <c r="T348" i="6"/>
  <c r="T351" i="6"/>
  <c r="T352" i="6"/>
  <c r="T353" i="6"/>
  <c r="T354" i="6"/>
  <c r="T355" i="6"/>
  <c r="T356" i="6"/>
  <c r="T358" i="6"/>
  <c r="T360" i="6"/>
  <c r="T362" i="6"/>
  <c r="T364" i="6"/>
  <c r="T366" i="6"/>
  <c r="T368" i="6"/>
  <c r="T369" i="6"/>
  <c r="T370" i="6"/>
  <c r="T372" i="6"/>
  <c r="T374" i="6"/>
  <c r="T376" i="6"/>
  <c r="T378" i="6"/>
  <c r="T380" i="6"/>
  <c r="T382" i="6"/>
  <c r="T384" i="6"/>
  <c r="T386" i="6"/>
  <c r="T387" i="6"/>
  <c r="Q269" i="6"/>
  <c r="Q270" i="6"/>
  <c r="Q273" i="6"/>
  <c r="Q276" i="6"/>
  <c r="Q279" i="6"/>
  <c r="Q282" i="6"/>
  <c r="Q285" i="6"/>
  <c r="Q288" i="6"/>
  <c r="Q289" i="6"/>
  <c r="Q290" i="6"/>
  <c r="Q294" i="6"/>
  <c r="Q298" i="6"/>
  <c r="Q301" i="6"/>
  <c r="Q305" i="6"/>
  <c r="Q309" i="6"/>
  <c r="Q312" i="6"/>
  <c r="Q315" i="6"/>
  <c r="Q318" i="6"/>
  <c r="Q319" i="6"/>
  <c r="Q320" i="6"/>
  <c r="Q321" i="6"/>
  <c r="Q324" i="6"/>
  <c r="Q327" i="6"/>
  <c r="Q330" i="6"/>
  <c r="Q333" i="6"/>
  <c r="Q336" i="6"/>
  <c r="Q339" i="6"/>
  <c r="Q342" i="6"/>
  <c r="Q343" i="6"/>
  <c r="Q344" i="6"/>
  <c r="Q345" i="6"/>
  <c r="Q348" i="6"/>
  <c r="Q351" i="6"/>
  <c r="Q352" i="6"/>
  <c r="Q353" i="6"/>
  <c r="Q354" i="6"/>
  <c r="Q355" i="6"/>
  <c r="Q356" i="6"/>
  <c r="Q358" i="6"/>
  <c r="Q360" i="6"/>
  <c r="Q362" i="6"/>
  <c r="Q364" i="6"/>
  <c r="Q366" i="6"/>
  <c r="Q368" i="6"/>
  <c r="Q369" i="6"/>
  <c r="Q370" i="6"/>
  <c r="Q372" i="6"/>
  <c r="Q374" i="6"/>
  <c r="Q376" i="6"/>
  <c r="Q378" i="6"/>
  <c r="Q380" i="6"/>
  <c r="Q382" i="6"/>
  <c r="Q384" i="6"/>
  <c r="Q386" i="6"/>
  <c r="Q387" i="6"/>
  <c r="P269" i="6"/>
  <c r="P270" i="6"/>
  <c r="P273" i="6"/>
  <c r="P276" i="6"/>
  <c r="P279" i="6"/>
  <c r="P282" i="6"/>
  <c r="P285" i="6"/>
  <c r="P288" i="6"/>
  <c r="P289" i="6"/>
  <c r="P290" i="6"/>
  <c r="P294" i="6"/>
  <c r="P298" i="6"/>
  <c r="P301" i="6"/>
  <c r="P305" i="6"/>
  <c r="P309" i="6"/>
  <c r="P312" i="6"/>
  <c r="P315" i="6"/>
  <c r="P318" i="6"/>
  <c r="P319" i="6"/>
  <c r="P320" i="6"/>
  <c r="P321" i="6"/>
  <c r="P324" i="6"/>
  <c r="P327" i="6"/>
  <c r="P330" i="6"/>
  <c r="P333" i="6"/>
  <c r="P336" i="6"/>
  <c r="P339" i="6"/>
  <c r="P342" i="6"/>
  <c r="P343" i="6"/>
  <c r="P344" i="6"/>
  <c r="P345" i="6"/>
  <c r="P348" i="6"/>
  <c r="P351" i="6"/>
  <c r="P352" i="6"/>
  <c r="P353" i="6"/>
  <c r="P354" i="6"/>
  <c r="P355" i="6"/>
  <c r="P356" i="6"/>
  <c r="P358" i="6"/>
  <c r="P360" i="6"/>
  <c r="P362" i="6"/>
  <c r="P364" i="6"/>
  <c r="P366" i="6"/>
  <c r="P368" i="6"/>
  <c r="P369" i="6"/>
  <c r="P370" i="6"/>
  <c r="P372" i="6"/>
  <c r="P374" i="6"/>
  <c r="P376" i="6"/>
  <c r="P378" i="6"/>
  <c r="P380" i="6"/>
  <c r="P382" i="6"/>
  <c r="P384" i="6"/>
  <c r="P386" i="6"/>
  <c r="P387" i="6"/>
  <c r="O269" i="6"/>
  <c r="O270" i="6"/>
  <c r="O273" i="6"/>
  <c r="O276" i="6"/>
  <c r="O279" i="6"/>
  <c r="O282" i="6"/>
  <c r="O285" i="6"/>
  <c r="O288" i="6"/>
  <c r="O289" i="6"/>
  <c r="O290" i="6"/>
  <c r="O294" i="6"/>
  <c r="O298" i="6"/>
  <c r="O301" i="6"/>
  <c r="O305" i="6"/>
  <c r="O309" i="6"/>
  <c r="O312" i="6"/>
  <c r="O315" i="6"/>
  <c r="O318" i="6"/>
  <c r="O319" i="6"/>
  <c r="O320" i="6"/>
  <c r="O321" i="6"/>
  <c r="O324" i="6"/>
  <c r="O327" i="6"/>
  <c r="O330" i="6"/>
  <c r="O333" i="6"/>
  <c r="O336" i="6"/>
  <c r="O339" i="6"/>
  <c r="O342" i="6"/>
  <c r="O343" i="6"/>
  <c r="O344" i="6"/>
  <c r="O345" i="6"/>
  <c r="O348" i="6"/>
  <c r="O351" i="6"/>
  <c r="O352" i="6"/>
  <c r="O353" i="6"/>
  <c r="O354" i="6"/>
  <c r="O355" i="6"/>
  <c r="O356" i="6"/>
  <c r="O358" i="6"/>
  <c r="O360" i="6"/>
  <c r="O362" i="6"/>
  <c r="O364" i="6"/>
  <c r="O366" i="6"/>
  <c r="O368" i="6"/>
  <c r="O369" i="6"/>
  <c r="O370" i="6"/>
  <c r="O372" i="6"/>
  <c r="O374" i="6"/>
  <c r="O376" i="6"/>
  <c r="O378" i="6"/>
  <c r="O380" i="6"/>
  <c r="O382" i="6"/>
  <c r="O384" i="6"/>
  <c r="O386" i="6"/>
  <c r="O387" i="6"/>
  <c r="N269" i="6"/>
  <c r="N270" i="6"/>
  <c r="N273" i="6"/>
  <c r="N276" i="6"/>
  <c r="N279" i="6"/>
  <c r="N282" i="6"/>
  <c r="N285" i="6"/>
  <c r="N288" i="6"/>
  <c r="N289" i="6"/>
  <c r="N290" i="6"/>
  <c r="N294" i="6"/>
  <c r="N298" i="6"/>
  <c r="N301" i="6"/>
  <c r="N305" i="6"/>
  <c r="N309" i="6"/>
  <c r="N312" i="6"/>
  <c r="N315" i="6"/>
  <c r="N318" i="6"/>
  <c r="N319" i="6"/>
  <c r="N320" i="6"/>
  <c r="N321" i="6"/>
  <c r="N324" i="6"/>
  <c r="N327" i="6"/>
  <c r="N330" i="6"/>
  <c r="N333" i="6"/>
  <c r="N336" i="6"/>
  <c r="N339" i="6"/>
  <c r="N342" i="6"/>
  <c r="N343" i="6"/>
  <c r="N344" i="6"/>
  <c r="N345" i="6"/>
  <c r="N348" i="6"/>
  <c r="N351" i="6"/>
  <c r="N352" i="6"/>
  <c r="N353" i="6"/>
  <c r="N354" i="6"/>
  <c r="N355" i="6"/>
  <c r="N356" i="6"/>
  <c r="N358" i="6"/>
  <c r="N360" i="6"/>
  <c r="N362" i="6"/>
  <c r="N364" i="6"/>
  <c r="N366" i="6"/>
  <c r="N368" i="6"/>
  <c r="N369" i="6"/>
  <c r="N370" i="6"/>
  <c r="N372" i="6"/>
  <c r="N374" i="6"/>
  <c r="N376" i="6"/>
  <c r="N378" i="6"/>
  <c r="N380" i="6"/>
  <c r="N382" i="6"/>
  <c r="N384" i="6"/>
  <c r="N386" i="6"/>
  <c r="N387" i="6"/>
  <c r="S160" i="6"/>
  <c r="S161" i="6" s="1"/>
  <c r="S158" i="6"/>
  <c r="S159" i="6" s="1"/>
  <c r="T159" i="6" s="1"/>
  <c r="S164" i="6" l="1"/>
  <c r="T164" i="6" s="1"/>
  <c r="T163" i="6"/>
  <c r="S170" i="6"/>
  <c r="T170" i="6" s="1"/>
  <c r="T169" i="6"/>
  <c r="S173" i="6"/>
  <c r="T173" i="6" s="1"/>
  <c r="T172" i="6"/>
  <c r="T166" i="6"/>
  <c r="N159" i="6"/>
  <c r="O159" i="6"/>
  <c r="P159" i="6"/>
  <c r="Q159" i="6"/>
  <c r="K159" i="6" l="1"/>
  <c r="S156" i="6"/>
  <c r="S157" i="6" s="1"/>
  <c r="T157" i="6" s="1"/>
  <c r="N157" i="6"/>
  <c r="O157" i="6"/>
  <c r="P157" i="6"/>
  <c r="Q157" i="6"/>
  <c r="K157" i="6"/>
  <c r="S155" i="6"/>
  <c r="T155" i="6" s="1"/>
  <c r="S153" i="6"/>
  <c r="T154" i="6"/>
  <c r="P155" i="6"/>
  <c r="Q155" i="6"/>
  <c r="P154" i="6"/>
  <c r="Q154" i="6"/>
  <c r="O153" i="6"/>
  <c r="O154" i="6"/>
  <c r="O155" i="6"/>
  <c r="O156" i="6"/>
  <c r="O158" i="6"/>
  <c r="O160" i="6"/>
  <c r="O161" i="6"/>
  <c r="O162" i="6"/>
  <c r="O165" i="6"/>
  <c r="O168" i="6"/>
  <c r="O171" i="6"/>
  <c r="O174" i="6"/>
  <c r="O175" i="6"/>
  <c r="O189" i="6"/>
  <c r="O191" i="6"/>
  <c r="O194" i="6"/>
  <c r="O197" i="6"/>
  <c r="O199" i="6"/>
  <c r="O201" i="6"/>
  <c r="O204" i="6"/>
  <c r="O207" i="6"/>
  <c r="O210" i="6"/>
  <c r="O213" i="6"/>
  <c r="O216" i="6"/>
  <c r="O217" i="6"/>
  <c r="O218" i="6"/>
  <c r="O219" i="6"/>
  <c r="O222" i="6"/>
  <c r="O225" i="6"/>
  <c r="O228" i="6"/>
  <c r="O231" i="6"/>
  <c r="O234" i="6"/>
  <c r="O237" i="6"/>
  <c r="O240" i="6"/>
  <c r="O243" i="6"/>
  <c r="O244" i="6"/>
  <c r="O245" i="6"/>
  <c r="O246" i="6"/>
  <c r="O249" i="6"/>
  <c r="O252" i="6"/>
  <c r="O255" i="6"/>
  <c r="O258" i="6"/>
  <c r="O261" i="6"/>
  <c r="O264" i="6"/>
  <c r="O267" i="6"/>
  <c r="O268" i="6"/>
  <c r="N154" i="6"/>
  <c r="N155" i="6"/>
  <c r="N156" i="6"/>
  <c r="N158" i="6"/>
  <c r="N160" i="6"/>
  <c r="N161" i="6"/>
  <c r="N162" i="6"/>
  <c r="N165" i="6"/>
  <c r="N168" i="6"/>
  <c r="N171" i="6"/>
  <c r="N174" i="6"/>
  <c r="N175" i="6"/>
  <c r="N189" i="6"/>
  <c r="N191" i="6"/>
  <c r="N194" i="6"/>
  <c r="N197" i="6"/>
  <c r="N199" i="6"/>
  <c r="N201" i="6"/>
  <c r="N204" i="6"/>
  <c r="N207" i="6"/>
  <c r="N210" i="6"/>
  <c r="N213" i="6"/>
  <c r="N216" i="6"/>
  <c r="N217" i="6"/>
  <c r="N218" i="6"/>
  <c r="N219" i="6"/>
  <c r="N222" i="6"/>
  <c r="N225" i="6"/>
  <c r="N228" i="6"/>
  <c r="N231" i="6"/>
  <c r="N234" i="6"/>
  <c r="N237" i="6"/>
  <c r="N240" i="6"/>
  <c r="N243" i="6"/>
  <c r="N244" i="6"/>
  <c r="N245" i="6"/>
  <c r="N246" i="6"/>
  <c r="N249" i="6"/>
  <c r="N252" i="6"/>
  <c r="N255" i="6"/>
  <c r="N258" i="6"/>
  <c r="N261" i="6"/>
  <c r="N264" i="6"/>
  <c r="N267" i="6"/>
  <c r="N268" i="6"/>
  <c r="N153" i="6"/>
  <c r="K155" i="6"/>
  <c r="K154" i="6"/>
  <c r="S152" i="6"/>
  <c r="T152" i="6" s="1"/>
  <c r="S150" i="6"/>
  <c r="T151" i="6"/>
  <c r="N152" i="6"/>
  <c r="O152" i="6"/>
  <c r="P152" i="6"/>
  <c r="Q152" i="6"/>
  <c r="N151" i="6"/>
  <c r="O151" i="6"/>
  <c r="P151" i="6"/>
  <c r="Q151" i="6"/>
  <c r="O150" i="6"/>
  <c r="K152" i="6"/>
  <c r="K151" i="6"/>
  <c r="S149" i="6"/>
  <c r="T149" i="6" s="1"/>
  <c r="S147" i="6"/>
  <c r="T148" i="6"/>
  <c r="N149" i="6"/>
  <c r="O149" i="6"/>
  <c r="P149" i="6"/>
  <c r="Q149" i="6"/>
  <c r="N148" i="6"/>
  <c r="O148" i="6"/>
  <c r="P148" i="6"/>
  <c r="Q148" i="6"/>
  <c r="O147" i="6"/>
  <c r="K149" i="6"/>
  <c r="K148" i="6"/>
  <c r="S146" i="6"/>
  <c r="S144" i="6"/>
  <c r="T145" i="6" l="1"/>
  <c r="T146" i="6"/>
  <c r="N146" i="6"/>
  <c r="O146" i="6"/>
  <c r="P146" i="6"/>
  <c r="Q146" i="6"/>
  <c r="N145" i="6"/>
  <c r="O145" i="6"/>
  <c r="P145" i="6"/>
  <c r="Q145" i="6"/>
  <c r="O144" i="6"/>
  <c r="K146" i="6"/>
  <c r="K145" i="6"/>
  <c r="S143" i="6"/>
  <c r="T143" i="6" s="1"/>
  <c r="S141" i="6"/>
  <c r="T142" i="6"/>
  <c r="N143" i="6"/>
  <c r="O143" i="6"/>
  <c r="P143" i="6"/>
  <c r="Q143" i="6"/>
  <c r="N142" i="6"/>
  <c r="O142" i="6"/>
  <c r="P142" i="6"/>
  <c r="Q142" i="6"/>
  <c r="O141" i="6"/>
  <c r="K143" i="6"/>
  <c r="K142" i="6"/>
  <c r="T139" i="6"/>
  <c r="S140" i="6"/>
  <c r="T140" i="6" s="1"/>
  <c r="S138" i="6"/>
  <c r="N140" i="6"/>
  <c r="O140" i="6"/>
  <c r="P140" i="6"/>
  <c r="Q140" i="6"/>
  <c r="N139" i="6"/>
  <c r="O139" i="6"/>
  <c r="P139" i="6"/>
  <c r="Q139" i="6"/>
  <c r="O138" i="6"/>
  <c r="K140" i="6"/>
  <c r="K139" i="6"/>
  <c r="S135" i="6"/>
  <c r="S136" i="6" s="1"/>
  <c r="N137" i="6"/>
  <c r="O137" i="6"/>
  <c r="P137" i="6"/>
  <c r="Q137" i="6"/>
  <c r="N136" i="6"/>
  <c r="O136" i="6"/>
  <c r="P136" i="6"/>
  <c r="Q136" i="6"/>
  <c r="K137" i="6"/>
  <c r="K136" i="6"/>
  <c r="S132" i="6"/>
  <c r="S133" i="6" s="1"/>
  <c r="N134" i="6"/>
  <c r="O134" i="6"/>
  <c r="P134" i="6"/>
  <c r="Q134" i="6"/>
  <c r="N133" i="6"/>
  <c r="O133" i="6"/>
  <c r="P133" i="6"/>
  <c r="Q133" i="6"/>
  <c r="K134" i="6"/>
  <c r="K133" i="6"/>
  <c r="S129" i="6"/>
  <c r="S130" i="6" s="1"/>
  <c r="N131" i="6"/>
  <c r="O131" i="6"/>
  <c r="P131" i="6"/>
  <c r="Q131" i="6"/>
  <c r="N130" i="6"/>
  <c r="O130" i="6"/>
  <c r="P130" i="6"/>
  <c r="Q130" i="6"/>
  <c r="K131" i="6"/>
  <c r="K130" i="6"/>
  <c r="S126" i="6"/>
  <c r="S127" i="6" s="1"/>
  <c r="N128" i="6"/>
  <c r="O128" i="6"/>
  <c r="P128" i="6"/>
  <c r="Q128" i="6"/>
  <c r="N127" i="6"/>
  <c r="O127" i="6"/>
  <c r="P127" i="6"/>
  <c r="Q127" i="6"/>
  <c r="K128" i="6"/>
  <c r="K127" i="6"/>
  <c r="S123" i="6"/>
  <c r="S124" i="6" s="1"/>
  <c r="T124" i="6" s="1"/>
  <c r="N125" i="6"/>
  <c r="O125" i="6"/>
  <c r="P125" i="6"/>
  <c r="Q125" i="6"/>
  <c r="N124" i="6"/>
  <c r="O124" i="6"/>
  <c r="P124" i="6"/>
  <c r="Q124" i="6"/>
  <c r="K125" i="6"/>
  <c r="K124" i="6"/>
  <c r="S120" i="6"/>
  <c r="S121" i="6" s="1"/>
  <c r="N122" i="6"/>
  <c r="O122" i="6"/>
  <c r="P122" i="6"/>
  <c r="Q122" i="6"/>
  <c r="N121" i="6"/>
  <c r="O121" i="6"/>
  <c r="P121" i="6"/>
  <c r="Q121" i="6"/>
  <c r="K122" i="6"/>
  <c r="K121" i="6"/>
  <c r="S117" i="6"/>
  <c r="S118" i="6" s="1"/>
  <c r="T118" i="6" s="1"/>
  <c r="N119" i="6"/>
  <c r="O119" i="6"/>
  <c r="P119" i="6"/>
  <c r="Q119" i="6"/>
  <c r="N118" i="6"/>
  <c r="O118" i="6"/>
  <c r="P118" i="6"/>
  <c r="Q118" i="6"/>
  <c r="K119" i="6"/>
  <c r="K118" i="6"/>
  <c r="S114" i="6"/>
  <c r="S115" i="6" s="1"/>
  <c r="N116" i="6"/>
  <c r="O116" i="6"/>
  <c r="P116" i="6"/>
  <c r="Q116" i="6"/>
  <c r="N115" i="6"/>
  <c r="O115" i="6"/>
  <c r="P115" i="6"/>
  <c r="Q115" i="6"/>
  <c r="K116" i="6"/>
  <c r="K115" i="6"/>
  <c r="S111" i="6"/>
  <c r="S112" i="6" s="1"/>
  <c r="N113" i="6"/>
  <c r="O113" i="6"/>
  <c r="P113" i="6"/>
  <c r="Q113" i="6"/>
  <c r="N112" i="6"/>
  <c r="O112" i="6"/>
  <c r="P112" i="6"/>
  <c r="Q112" i="6"/>
  <c r="K113" i="6"/>
  <c r="K112" i="6"/>
  <c r="S108" i="6"/>
  <c r="S109" i="6" s="1"/>
  <c r="N110" i="6"/>
  <c r="O110" i="6"/>
  <c r="P110" i="6"/>
  <c r="Q110" i="6"/>
  <c r="N109" i="6"/>
  <c r="O109" i="6"/>
  <c r="P109" i="6"/>
  <c r="Q109" i="6"/>
  <c r="K110" i="6"/>
  <c r="K109" i="6"/>
  <c r="S105" i="6"/>
  <c r="S106" i="6" s="1"/>
  <c r="N107" i="6"/>
  <c r="O107" i="6"/>
  <c r="P107" i="6"/>
  <c r="Q107" i="6"/>
  <c r="N106" i="6"/>
  <c r="O106" i="6"/>
  <c r="P106" i="6"/>
  <c r="Q106" i="6"/>
  <c r="K107" i="6"/>
  <c r="K106" i="6"/>
  <c r="S102" i="6"/>
  <c r="S103" i="6" s="1"/>
  <c r="N104" i="6"/>
  <c r="O104" i="6"/>
  <c r="P104" i="6"/>
  <c r="Q104" i="6"/>
  <c r="N103" i="6"/>
  <c r="O103" i="6"/>
  <c r="P103" i="6"/>
  <c r="Q103" i="6"/>
  <c r="K104" i="6"/>
  <c r="K103" i="6"/>
  <c r="S99" i="6"/>
  <c r="S100" i="6" s="1"/>
  <c r="N101" i="6"/>
  <c r="O101" i="6"/>
  <c r="P101" i="6"/>
  <c r="Q101" i="6"/>
  <c r="N100" i="6"/>
  <c r="O100" i="6"/>
  <c r="P100" i="6"/>
  <c r="Q100" i="6"/>
  <c r="K101" i="6"/>
  <c r="K100" i="6"/>
  <c r="S96" i="6"/>
  <c r="S97" i="6" s="1"/>
  <c r="N98" i="6"/>
  <c r="O98" i="6"/>
  <c r="P98" i="6"/>
  <c r="Q98" i="6"/>
  <c r="N97" i="6"/>
  <c r="O97" i="6"/>
  <c r="P97" i="6"/>
  <c r="Q97" i="6"/>
  <c r="T189" i="6"/>
  <c r="T191" i="6"/>
  <c r="T194" i="6"/>
  <c r="T197" i="6"/>
  <c r="T199" i="6"/>
  <c r="T201" i="6"/>
  <c r="T204" i="6"/>
  <c r="T207" i="6"/>
  <c r="T210" i="6"/>
  <c r="T213" i="6"/>
  <c r="T216" i="6"/>
  <c r="T217" i="6"/>
  <c r="T218" i="6"/>
  <c r="T219" i="6"/>
  <c r="T222" i="6"/>
  <c r="T225" i="6"/>
  <c r="T228" i="6"/>
  <c r="T231" i="6"/>
  <c r="T234" i="6"/>
  <c r="T237" i="6"/>
  <c r="T240" i="6"/>
  <c r="T243" i="6"/>
  <c r="T244" i="6"/>
  <c r="T245" i="6"/>
  <c r="T246" i="6"/>
  <c r="T249" i="6"/>
  <c r="T252" i="6"/>
  <c r="T255" i="6"/>
  <c r="T258" i="6"/>
  <c r="T261" i="6"/>
  <c r="T264" i="6"/>
  <c r="T267" i="6"/>
  <c r="T268" i="6"/>
  <c r="Q189" i="6"/>
  <c r="Q191" i="6"/>
  <c r="Q194" i="6"/>
  <c r="Q197" i="6"/>
  <c r="Q199" i="6"/>
  <c r="Q201" i="6"/>
  <c r="Q204" i="6"/>
  <c r="Q207" i="6"/>
  <c r="Q210" i="6"/>
  <c r="Q213" i="6"/>
  <c r="Q216" i="6"/>
  <c r="Q217" i="6"/>
  <c r="Q218" i="6"/>
  <c r="Q219" i="6"/>
  <c r="Q222" i="6"/>
  <c r="Q225" i="6"/>
  <c r="Q228" i="6"/>
  <c r="Q231" i="6"/>
  <c r="Q234" i="6"/>
  <c r="Q237" i="6"/>
  <c r="Q240" i="6"/>
  <c r="Q243" i="6"/>
  <c r="Q244" i="6"/>
  <c r="Q245" i="6"/>
  <c r="Q246" i="6"/>
  <c r="Q249" i="6"/>
  <c r="Q252" i="6"/>
  <c r="Q255" i="6"/>
  <c r="Q258" i="6"/>
  <c r="Q261" i="6"/>
  <c r="Q264" i="6"/>
  <c r="Q267" i="6"/>
  <c r="Q268" i="6"/>
  <c r="P189" i="6"/>
  <c r="P191" i="6"/>
  <c r="P194" i="6"/>
  <c r="P197" i="6"/>
  <c r="P199" i="6"/>
  <c r="P201" i="6"/>
  <c r="P204" i="6"/>
  <c r="P207" i="6"/>
  <c r="P210" i="6"/>
  <c r="P213" i="6"/>
  <c r="P216" i="6"/>
  <c r="P217" i="6"/>
  <c r="P218" i="6"/>
  <c r="P219" i="6"/>
  <c r="P222" i="6"/>
  <c r="P225" i="6"/>
  <c r="P228" i="6"/>
  <c r="P231" i="6"/>
  <c r="P234" i="6"/>
  <c r="P237" i="6"/>
  <c r="P240" i="6"/>
  <c r="P243" i="6"/>
  <c r="P244" i="6"/>
  <c r="P245" i="6"/>
  <c r="P246" i="6"/>
  <c r="P249" i="6"/>
  <c r="P252" i="6"/>
  <c r="P255" i="6"/>
  <c r="P258" i="6"/>
  <c r="P261" i="6"/>
  <c r="P264" i="6"/>
  <c r="P267" i="6"/>
  <c r="P268" i="6"/>
  <c r="P161" i="6"/>
  <c r="P162" i="6"/>
  <c r="P165" i="6"/>
  <c r="P168" i="6"/>
  <c r="P171" i="6"/>
  <c r="P174" i="6"/>
  <c r="P175" i="6"/>
  <c r="K98" i="6"/>
  <c r="K97" i="6"/>
  <c r="S98" i="6" l="1"/>
  <c r="T98" i="6" s="1"/>
  <c r="T97" i="6"/>
  <c r="T121" i="6"/>
  <c r="T136" i="6"/>
  <c r="T133" i="6"/>
  <c r="T130" i="6"/>
  <c r="T127" i="6"/>
  <c r="S119" i="6"/>
  <c r="T119" i="6" s="1"/>
  <c r="S116" i="6"/>
  <c r="T116" i="6" s="1"/>
  <c r="T115" i="6"/>
  <c r="S113" i="6"/>
  <c r="T113" i="6" s="1"/>
  <c r="T112" i="6"/>
  <c r="S110" i="6"/>
  <c r="T110" i="6" s="1"/>
  <c r="T109" i="6"/>
  <c r="S107" i="6"/>
  <c r="T107" i="6" s="1"/>
  <c r="T106" i="6"/>
  <c r="S104" i="6"/>
  <c r="T104" i="6" s="1"/>
  <c r="T103" i="6"/>
  <c r="S101" i="6"/>
  <c r="T101" i="6" s="1"/>
  <c r="T100" i="6"/>
  <c r="S93" i="6"/>
  <c r="S94" i="6" s="1"/>
  <c r="S95" i="6" s="1"/>
  <c r="T95" i="6" s="1"/>
  <c r="N95" i="6"/>
  <c r="O95" i="6"/>
  <c r="P95" i="6"/>
  <c r="Q95" i="6"/>
  <c r="N94" i="6"/>
  <c r="O94" i="6"/>
  <c r="P94" i="6"/>
  <c r="Q94" i="6"/>
  <c r="K95" i="6"/>
  <c r="K94" i="6"/>
  <c r="S90" i="6"/>
  <c r="S91" i="6" s="1"/>
  <c r="T91" i="6" s="1"/>
  <c r="N92" i="6"/>
  <c r="O92" i="6"/>
  <c r="P92" i="6"/>
  <c r="Q92" i="6"/>
  <c r="N91" i="6"/>
  <c r="O91" i="6"/>
  <c r="P91" i="6"/>
  <c r="Q91" i="6"/>
  <c r="K92" i="6"/>
  <c r="K91" i="6"/>
  <c r="S87" i="6"/>
  <c r="S88" i="6" s="1"/>
  <c r="S89" i="6" s="1"/>
  <c r="T89" i="6" s="1"/>
  <c r="N89" i="6"/>
  <c r="O89" i="6"/>
  <c r="P89" i="6"/>
  <c r="Q89" i="6"/>
  <c r="N88" i="6"/>
  <c r="O88" i="6"/>
  <c r="P88" i="6"/>
  <c r="Q88" i="6"/>
  <c r="K89" i="6"/>
  <c r="K88" i="6"/>
  <c r="S84" i="6"/>
  <c r="S85" i="6" s="1"/>
  <c r="N86" i="6"/>
  <c r="O86" i="6"/>
  <c r="P86" i="6"/>
  <c r="Q86" i="6"/>
  <c r="N85" i="6"/>
  <c r="O85" i="6"/>
  <c r="P85" i="6"/>
  <c r="Q85" i="6"/>
  <c r="K86" i="6"/>
  <c r="K85" i="6"/>
  <c r="S81" i="6"/>
  <c r="S82" i="6" s="1"/>
  <c r="S83" i="6" s="1"/>
  <c r="T83" i="6" s="1"/>
  <c r="N83" i="6"/>
  <c r="O83" i="6"/>
  <c r="P83" i="6"/>
  <c r="Q83" i="6"/>
  <c r="N82" i="6"/>
  <c r="O82" i="6"/>
  <c r="P82" i="6"/>
  <c r="Q82" i="6"/>
  <c r="K83" i="6"/>
  <c r="K82" i="6"/>
  <c r="S78" i="6"/>
  <c r="S79" i="6" s="1"/>
  <c r="T79" i="6" s="1"/>
  <c r="N80" i="6"/>
  <c r="O80" i="6"/>
  <c r="P80" i="6"/>
  <c r="Q80" i="6"/>
  <c r="N79" i="6"/>
  <c r="O79" i="6"/>
  <c r="P79" i="6"/>
  <c r="Q79" i="6"/>
  <c r="K80" i="6"/>
  <c r="K79" i="6"/>
  <c r="S75" i="6"/>
  <c r="S76" i="6" s="1"/>
  <c r="N77" i="6"/>
  <c r="O77" i="6"/>
  <c r="P77" i="6"/>
  <c r="Q77" i="6"/>
  <c r="N76" i="6"/>
  <c r="O76" i="6"/>
  <c r="P76" i="6"/>
  <c r="Q76" i="6"/>
  <c r="K77" i="6"/>
  <c r="K76" i="6"/>
  <c r="S72" i="6"/>
  <c r="S73" i="6" s="1"/>
  <c r="N74" i="6"/>
  <c r="O74" i="6"/>
  <c r="P74" i="6"/>
  <c r="Q74" i="6"/>
  <c r="N73" i="6"/>
  <c r="O73" i="6"/>
  <c r="P73" i="6"/>
  <c r="Q73" i="6"/>
  <c r="K74" i="6"/>
  <c r="K73" i="6"/>
  <c r="S69" i="6"/>
  <c r="S70" i="6" s="1"/>
  <c r="N71" i="6"/>
  <c r="O71" i="6"/>
  <c r="P71" i="6"/>
  <c r="Q71" i="6"/>
  <c r="N70" i="6"/>
  <c r="O70" i="6"/>
  <c r="P70" i="6"/>
  <c r="Q70" i="6"/>
  <c r="K71" i="6"/>
  <c r="K70" i="6"/>
  <c r="N138" i="6"/>
  <c r="N141" i="6"/>
  <c r="N144" i="6"/>
  <c r="N147" i="6"/>
  <c r="N150" i="6"/>
  <c r="T67" i="6"/>
  <c r="S68" i="6"/>
  <c r="T68" i="6" s="1"/>
  <c r="S66" i="6"/>
  <c r="N68" i="6"/>
  <c r="O68" i="6"/>
  <c r="P68" i="6"/>
  <c r="Q68" i="6"/>
  <c r="N67" i="6"/>
  <c r="O67" i="6"/>
  <c r="P67" i="6"/>
  <c r="Q67" i="6"/>
  <c r="K68" i="6"/>
  <c r="K67" i="6"/>
  <c r="S65" i="6"/>
  <c r="T65" i="6" s="1"/>
  <c r="S63" i="6"/>
  <c r="T64" i="6"/>
  <c r="N65" i="6"/>
  <c r="O65" i="6"/>
  <c r="P65" i="6"/>
  <c r="Q65" i="6"/>
  <c r="N64" i="6"/>
  <c r="O64" i="6"/>
  <c r="P64" i="6"/>
  <c r="Q64" i="6"/>
  <c r="P63" i="6"/>
  <c r="K65" i="6"/>
  <c r="K64" i="6"/>
  <c r="T61" i="6"/>
  <c r="S62" i="6"/>
  <c r="T62" i="6" s="1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6" i="6"/>
  <c r="P69" i="6"/>
  <c r="P72" i="6"/>
  <c r="P75" i="6"/>
  <c r="P78" i="6"/>
  <c r="P81" i="6"/>
  <c r="P84" i="6"/>
  <c r="P87" i="6"/>
  <c r="P90" i="6"/>
  <c r="P93" i="6"/>
  <c r="P96" i="6"/>
  <c r="P99" i="6"/>
  <c r="P102" i="6"/>
  <c r="P105" i="6"/>
  <c r="P108" i="6"/>
  <c r="P111" i="6"/>
  <c r="P114" i="6"/>
  <c r="P117" i="6"/>
  <c r="P120" i="6"/>
  <c r="P123" i="6"/>
  <c r="P126" i="6"/>
  <c r="P129" i="6"/>
  <c r="P132" i="6"/>
  <c r="P135" i="6"/>
  <c r="P138" i="6"/>
  <c r="P141" i="6"/>
  <c r="P144" i="6"/>
  <c r="P147" i="6"/>
  <c r="P150" i="6"/>
  <c r="P153" i="6"/>
  <c r="P156" i="6"/>
  <c r="P158" i="6"/>
  <c r="P160" i="6"/>
  <c r="Q138" i="6"/>
  <c r="Q141" i="6"/>
  <c r="Q144" i="6"/>
  <c r="Q147" i="6"/>
  <c r="Q150" i="6"/>
  <c r="Q153" i="6"/>
  <c r="Q156" i="6"/>
  <c r="Q158" i="6"/>
  <c r="Q160" i="6"/>
  <c r="Q161" i="6"/>
  <c r="Q162" i="6"/>
  <c r="Q165" i="6"/>
  <c r="Q168" i="6"/>
  <c r="Q171" i="6"/>
  <c r="Q174" i="6"/>
  <c r="Q175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6" i="6"/>
  <c r="Q69" i="6"/>
  <c r="Q72" i="6"/>
  <c r="Q75" i="6"/>
  <c r="Q78" i="6"/>
  <c r="Q81" i="6"/>
  <c r="Q84" i="6"/>
  <c r="Q87" i="6"/>
  <c r="Q90" i="6"/>
  <c r="Q93" i="6"/>
  <c r="Q96" i="6"/>
  <c r="Q99" i="6"/>
  <c r="Q102" i="6"/>
  <c r="Q105" i="6"/>
  <c r="Q108" i="6"/>
  <c r="Q111" i="6"/>
  <c r="Q114" i="6"/>
  <c r="Q117" i="6"/>
  <c r="Q120" i="6"/>
  <c r="Q123" i="6"/>
  <c r="Q126" i="6"/>
  <c r="Q129" i="6"/>
  <c r="Q132" i="6"/>
  <c r="Q135" i="6"/>
  <c r="N62" i="6"/>
  <c r="O62" i="6"/>
  <c r="N61" i="6"/>
  <c r="O61" i="6"/>
  <c r="K62" i="6"/>
  <c r="K61" i="6"/>
  <c r="T58" i="6"/>
  <c r="S59" i="6"/>
  <c r="T59" i="6" s="1"/>
  <c r="N59" i="6"/>
  <c r="O59" i="6"/>
  <c r="N58" i="6"/>
  <c r="O58" i="6"/>
  <c r="K59" i="6"/>
  <c r="K58" i="6"/>
  <c r="T88" i="6" l="1"/>
  <c r="T94" i="6"/>
  <c r="T82" i="6"/>
  <c r="T76" i="6"/>
  <c r="S77" i="6"/>
  <c r="T77" i="6" s="1"/>
  <c r="S74" i="6"/>
  <c r="T74" i="6" s="1"/>
  <c r="T73" i="6"/>
  <c r="T70" i="6"/>
  <c r="S71" i="6"/>
  <c r="T71" i="6" s="1"/>
  <c r="S92" i="6"/>
  <c r="T92" i="6" s="1"/>
  <c r="S80" i="6"/>
  <c r="T80" i="6" s="1"/>
  <c r="S86" i="6"/>
  <c r="T86" i="6" s="1"/>
  <c r="T85" i="6"/>
  <c r="T55" i="6"/>
  <c r="S56" i="6"/>
  <c r="T56" i="6" s="1"/>
  <c r="N56" i="6" l="1"/>
  <c r="O56" i="6"/>
  <c r="N55" i="6"/>
  <c r="O55" i="6"/>
  <c r="K56" i="6"/>
  <c r="K55" i="6"/>
  <c r="T52" i="6"/>
  <c r="S53" i="6"/>
  <c r="T53" i="6" s="1"/>
  <c r="N53" i="6"/>
  <c r="O53" i="6"/>
  <c r="N52" i="6"/>
  <c r="O52" i="6"/>
  <c r="K52" i="6"/>
  <c r="K53" i="6"/>
  <c r="T49" i="6"/>
  <c r="S47" i="6"/>
  <c r="S50" i="6"/>
  <c r="T50" i="6" s="1"/>
  <c r="N50" i="6"/>
  <c r="O50" i="6"/>
  <c r="N49" i="6"/>
  <c r="O49" i="6"/>
  <c r="K49" i="6"/>
  <c r="K50" i="6"/>
  <c r="T46" i="6" l="1"/>
  <c r="T47" i="6"/>
  <c r="S45" i="6"/>
  <c r="T45" i="6" s="1"/>
  <c r="N47" i="6"/>
  <c r="O47" i="6"/>
  <c r="N46" i="6"/>
  <c r="O46" i="6"/>
  <c r="K46" i="6"/>
  <c r="K47" i="6"/>
  <c r="S44" i="6"/>
  <c r="T44" i="6" s="1"/>
  <c r="N42" i="6"/>
  <c r="O42" i="6"/>
  <c r="K44" i="6"/>
  <c r="K42" i="6"/>
  <c r="S23" i="6"/>
  <c r="T23" i="6" s="1"/>
  <c r="S22" i="6"/>
  <c r="T22" i="6" s="1"/>
  <c r="T20" i="6"/>
  <c r="T21" i="6"/>
  <c r="T24" i="6"/>
  <c r="T26" i="6"/>
  <c r="T28" i="6"/>
  <c r="T30" i="6"/>
  <c r="T31" i="6"/>
  <c r="T32" i="6"/>
  <c r="T33" i="6"/>
  <c r="T34" i="6"/>
  <c r="T35" i="6"/>
  <c r="T36" i="6"/>
  <c r="T37" i="6"/>
  <c r="T38" i="6"/>
  <c r="T39" i="6"/>
  <c r="T40" i="6"/>
  <c r="T41" i="6"/>
  <c r="T43" i="6"/>
  <c r="T48" i="6"/>
  <c r="T51" i="6"/>
  <c r="T54" i="6"/>
  <c r="T57" i="6"/>
  <c r="T60" i="6"/>
  <c r="T63" i="6"/>
  <c r="T66" i="6"/>
  <c r="T69" i="6"/>
  <c r="T72" i="6"/>
  <c r="T75" i="6"/>
  <c r="T78" i="6"/>
  <c r="T81" i="6"/>
  <c r="T84" i="6"/>
  <c r="T87" i="6"/>
  <c r="T90" i="6"/>
  <c r="T93" i="6"/>
  <c r="T96" i="6"/>
  <c r="T99" i="6"/>
  <c r="T102" i="6"/>
  <c r="T105" i="6"/>
  <c r="T108" i="6"/>
  <c r="T111" i="6"/>
  <c r="T114" i="6"/>
  <c r="T117" i="6"/>
  <c r="T120" i="6"/>
  <c r="T123" i="6"/>
  <c r="T126" i="6"/>
  <c r="T129" i="6"/>
  <c r="T132" i="6"/>
  <c r="T135" i="6"/>
  <c r="T138" i="6"/>
  <c r="T141" i="6"/>
  <c r="T144" i="6"/>
  <c r="T147" i="6"/>
  <c r="T150" i="6"/>
  <c r="T153" i="6"/>
  <c r="T156" i="6"/>
  <c r="T158" i="6"/>
  <c r="T160" i="6"/>
  <c r="T161" i="6"/>
  <c r="T162" i="6"/>
  <c r="V162" i="6" s="1"/>
  <c r="T165" i="6"/>
  <c r="V165" i="6" s="1"/>
  <c r="T168" i="6"/>
  <c r="T171" i="6"/>
  <c r="T174" i="6"/>
  <c r="T175" i="6"/>
  <c r="S29" i="6"/>
  <c r="T29" i="6" s="1"/>
  <c r="S27" i="6"/>
  <c r="T27" i="6" s="1"/>
  <c r="S25" i="6"/>
  <c r="T25" i="6" s="1"/>
  <c r="K40" i="6"/>
  <c r="N38" i="6"/>
  <c r="O38" i="6"/>
  <c r="K38" i="6"/>
  <c r="N36" i="6"/>
  <c r="O36" i="6"/>
  <c r="K36" i="6"/>
  <c r="N34" i="6"/>
  <c r="O34" i="6"/>
  <c r="K34" i="6"/>
  <c r="N32" i="6"/>
  <c r="O32" i="6"/>
  <c r="K32" i="6"/>
  <c r="N30" i="6"/>
  <c r="O30" i="6"/>
  <c r="K30" i="6"/>
  <c r="N28" i="6"/>
  <c r="O28" i="6"/>
  <c r="K28" i="6"/>
  <c r="T19" i="6"/>
  <c r="N26" i="6"/>
  <c r="O26" i="6"/>
  <c r="K26" i="6"/>
  <c r="K25" i="6"/>
  <c r="N25" i="6"/>
  <c r="O25" i="6"/>
  <c r="K175" i="6" l="1"/>
  <c r="K174" i="6"/>
  <c r="K171" i="6"/>
  <c r="K168" i="6"/>
  <c r="K165" i="6"/>
  <c r="K162" i="6"/>
  <c r="K161" i="6"/>
  <c r="K160" i="6"/>
  <c r="K158" i="6"/>
  <c r="K156" i="6"/>
  <c r="K153" i="6"/>
  <c r="K150" i="6"/>
  <c r="K147" i="6"/>
  <c r="K144" i="6"/>
  <c r="K141" i="6"/>
  <c r="K138" i="6"/>
  <c r="K135" i="6"/>
  <c r="K132" i="6"/>
  <c r="K129" i="6"/>
  <c r="K126" i="6"/>
  <c r="K123" i="6"/>
  <c r="K120" i="6"/>
  <c r="K117" i="6"/>
  <c r="K114" i="6"/>
  <c r="K111" i="6"/>
  <c r="K108" i="6"/>
  <c r="K105" i="6"/>
  <c r="K102" i="6"/>
  <c r="K99" i="6"/>
  <c r="K96" i="6"/>
  <c r="K93" i="6"/>
  <c r="K90" i="6"/>
  <c r="K87" i="6"/>
  <c r="K84" i="6"/>
  <c r="K81" i="6"/>
  <c r="K78" i="6"/>
  <c r="K75" i="6"/>
  <c r="K72" i="6"/>
  <c r="K69" i="6"/>
  <c r="K66" i="6"/>
  <c r="K63" i="6"/>
  <c r="K60" i="6"/>
  <c r="K57" i="6"/>
  <c r="K54" i="6"/>
  <c r="K51" i="6"/>
  <c r="K48" i="6"/>
  <c r="K45" i="6"/>
  <c r="K43" i="6"/>
  <c r="K41" i="6"/>
  <c r="K39" i="6"/>
  <c r="K37" i="6"/>
  <c r="K35" i="6"/>
  <c r="K33" i="6"/>
  <c r="K31" i="6"/>
  <c r="K29" i="6"/>
  <c r="K27" i="6"/>
  <c r="K24" i="6"/>
  <c r="K23" i="6"/>
  <c r="K22" i="6"/>
  <c r="K21" i="6"/>
  <c r="K20" i="6"/>
  <c r="K19" i="6"/>
  <c r="O135" i="6"/>
  <c r="N135" i="6"/>
  <c r="O132" i="6"/>
  <c r="N132" i="6"/>
  <c r="O129" i="6"/>
  <c r="N129" i="6"/>
  <c r="O126" i="6"/>
  <c r="N126" i="6"/>
  <c r="O123" i="6"/>
  <c r="N123" i="6"/>
  <c r="O120" i="6"/>
  <c r="N120" i="6"/>
  <c r="O117" i="6"/>
  <c r="N117" i="6"/>
  <c r="O114" i="6"/>
  <c r="N114" i="6"/>
  <c r="O111" i="6"/>
  <c r="N111" i="6"/>
  <c r="O108" i="6"/>
  <c r="N108" i="6"/>
  <c r="O105" i="6"/>
  <c r="N105" i="6"/>
  <c r="O102" i="6"/>
  <c r="N102" i="6"/>
  <c r="O99" i="6"/>
  <c r="N99" i="6"/>
  <c r="O96" i="6"/>
  <c r="N96" i="6"/>
  <c r="O93" i="6"/>
  <c r="N93" i="6"/>
  <c r="O90" i="6"/>
  <c r="N90" i="6"/>
  <c r="O87" i="6"/>
  <c r="N87" i="6"/>
  <c r="O84" i="6"/>
  <c r="N84" i="6"/>
  <c r="O81" i="6"/>
  <c r="N81" i="6"/>
  <c r="O78" i="6"/>
  <c r="N78" i="6"/>
  <c r="O75" i="6"/>
  <c r="N75" i="6"/>
  <c r="O72" i="6"/>
  <c r="N72" i="6"/>
  <c r="O69" i="6"/>
  <c r="N69" i="6"/>
  <c r="O66" i="6"/>
  <c r="N66" i="6"/>
  <c r="O63" i="6"/>
  <c r="N63" i="6"/>
  <c r="O60" i="6"/>
  <c r="N60" i="6"/>
  <c r="O57" i="6"/>
  <c r="N57" i="6"/>
  <c r="O54" i="6"/>
  <c r="N54" i="6"/>
  <c r="O51" i="6"/>
  <c r="N51" i="6"/>
  <c r="O48" i="6"/>
  <c r="N48" i="6"/>
  <c r="O45" i="6"/>
  <c r="N45" i="6"/>
  <c r="O44" i="6"/>
  <c r="N44" i="6"/>
  <c r="O43" i="6"/>
  <c r="N43" i="6"/>
  <c r="O41" i="6"/>
  <c r="N41" i="6"/>
  <c r="O40" i="6"/>
  <c r="N40" i="6"/>
  <c r="O39" i="6"/>
  <c r="N39" i="6"/>
  <c r="O37" i="6"/>
  <c r="N37" i="6"/>
  <c r="O35" i="6"/>
  <c r="N35" i="6"/>
  <c r="O33" i="6"/>
  <c r="N33" i="6"/>
  <c r="O31" i="6"/>
  <c r="N31" i="6"/>
  <c r="O29" i="6"/>
  <c r="N29" i="6"/>
  <c r="O27" i="6"/>
  <c r="N27" i="6"/>
  <c r="O24" i="6"/>
  <c r="N24" i="6"/>
  <c r="O23" i="6"/>
  <c r="N23" i="6"/>
  <c r="O22" i="6"/>
  <c r="N22" i="6"/>
  <c r="O21" i="6"/>
  <c r="N21" i="6"/>
  <c r="O20" i="6"/>
  <c r="N20" i="6"/>
  <c r="Q19" i="6"/>
  <c r="P19" i="6"/>
  <c r="O19" i="6"/>
  <c r="N19" i="6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Z81" i="1" l="1"/>
  <c r="Z80" i="1"/>
  <c r="Z79" i="1"/>
  <c r="Z78" i="1"/>
  <c r="Z77" i="1"/>
  <c r="Z76" i="1"/>
  <c r="Z75" i="1"/>
  <c r="Z74" i="1"/>
  <c r="Z73" i="1"/>
  <c r="Z72" i="1"/>
  <c r="Z71" i="1"/>
</calcChain>
</file>

<file path=xl/sharedStrings.xml><?xml version="1.0" encoding="utf-8"?>
<sst xmlns="http://schemas.openxmlformats.org/spreadsheetml/2006/main" count="5276" uniqueCount="1459">
  <si>
    <t>Nama Barang</t>
  </si>
  <si>
    <t>Nama Principle</t>
  </si>
  <si>
    <t>Renceng</t>
  </si>
  <si>
    <t>Pcs/Sachect</t>
  </si>
  <si>
    <t>Carton/Karung</t>
  </si>
  <si>
    <t>Pack/Box/Toples/Ball</t>
  </si>
  <si>
    <t>No</t>
  </si>
  <si>
    <t>Kode #Produk SAL</t>
  </si>
  <si>
    <t>Kode Produk Principle</t>
  </si>
  <si>
    <t>Isi Satuan</t>
  </si>
  <si>
    <t>MIGI WAFER COCOPDN (16x10)</t>
  </si>
  <si>
    <t>MOMOGI</t>
  </si>
  <si>
    <t>Satuan Harga Jual (RBP) Include Tax</t>
  </si>
  <si>
    <t>Satuan Harga Jual (RBP) Before Tax</t>
  </si>
  <si>
    <t>Satuan Harga Beli (DBP) Include Tax</t>
  </si>
  <si>
    <t>Satuan Harga Beli (DBP) Before Tax</t>
  </si>
  <si>
    <t>Nama Vendor/Distributor</t>
  </si>
  <si>
    <t>Status Principle</t>
  </si>
  <si>
    <t>NOTED : STATUS PRINCIPLE ADA :</t>
  </si>
  <si>
    <t>DISTRIBUTOR</t>
  </si>
  <si>
    <t>NON DISTRIBUTOR</t>
  </si>
  <si>
    <t>CV. TIARA MAS</t>
  </si>
  <si>
    <t>MOTASA</t>
  </si>
  <si>
    <t>HELLO PANDA MILK VANILLA 42 GR</t>
  </si>
  <si>
    <t>PT. SUKANDA DJAYA</t>
  </si>
  <si>
    <t>SUB DISTRIBUTOR</t>
  </si>
  <si>
    <t>MEIJI</t>
  </si>
  <si>
    <t>HL PANDA</t>
  </si>
  <si>
    <t>SINDE (BADAK)</t>
  </si>
  <si>
    <t>KALENG</t>
  </si>
  <si>
    <t>BOTOL</t>
  </si>
  <si>
    <t>YAN YAN</t>
  </si>
  <si>
    <t>MJ YAN YAN CHOCO 30 GR</t>
  </si>
  <si>
    <t>PT. SINARMAS DISTRIBUSI NUSANTARA</t>
  </si>
  <si>
    <t>PT. SINDE BUDI SENTOSA</t>
  </si>
  <si>
    <t>NOTED : CHANNEL DISTRIBUSI ADA :</t>
  </si>
  <si>
    <t>MT</t>
  </si>
  <si>
    <t>GT</t>
  </si>
  <si>
    <t>ALL CHANNEL</t>
  </si>
  <si>
    <t>NKA</t>
  </si>
  <si>
    <t>FOOD SERVICE</t>
  </si>
  <si>
    <t>KPQ-003</t>
  </si>
  <si>
    <t>POTATO-Q</t>
  </si>
  <si>
    <t>Channel Product</t>
  </si>
  <si>
    <t>SKU Name</t>
  </si>
  <si>
    <t>KALENG ANAK JAMBU</t>
  </si>
  <si>
    <t>KALENG ANAK STRAWBERY</t>
  </si>
  <si>
    <t>LPC BADAK BOTOL 200</t>
  </si>
  <si>
    <t>LPC BADAK BOTOL 350</t>
  </si>
  <si>
    <t>LPC BADAK BOTOL 500</t>
  </si>
  <si>
    <t>LPC BADAK CAN 320 GRAPE</t>
  </si>
  <si>
    <t>LPC BADAK CAN 320 GUAVA</t>
  </si>
  <si>
    <t>LPC BADAK CAN 320 APPLE</t>
  </si>
  <si>
    <t>LPC BADAK CAN 320 ORANGE</t>
  </si>
  <si>
    <t>LPC BADAK CAN 320 LYCHEE</t>
  </si>
  <si>
    <t>LPC BADAK CAN 320 LEMON</t>
  </si>
  <si>
    <t>LPC BADAK CAN 20 MELON</t>
  </si>
  <si>
    <t>LPC BADAK CAN 320 STRAWBERRY</t>
  </si>
  <si>
    <t>CROCKFORD</t>
  </si>
  <si>
    <t>UHT MILK FULL CREAM 125ML</t>
  </si>
  <si>
    <t>DIAMOND</t>
  </si>
  <si>
    <t>UHT MILK CHOCO MALT 200ML</t>
  </si>
  <si>
    <t>OVALTINE</t>
  </si>
  <si>
    <t>PT SUKANDA DJAYA</t>
  </si>
  <si>
    <t>CV.SUMBER ARTHA LAKSANA</t>
  </si>
  <si>
    <t>Lembar Penghitungan Stok</t>
  </si>
  <si>
    <t>Per Tgl. 17 Nov 2025</t>
  </si>
  <si>
    <t>Cabang : [Semua Cabang]</t>
  </si>
  <si>
    <t>Kode Barang</t>
  </si>
  <si>
    <t>BADAK</t>
  </si>
  <si>
    <t>100195</t>
  </si>
  <si>
    <t>KALENG 320 JAMBU</t>
  </si>
  <si>
    <t>100201</t>
  </si>
  <si>
    <t>BOTOL 500</t>
  </si>
  <si>
    <t>100196</t>
  </si>
  <si>
    <t>KALENG 320 STRAWBERRY</t>
  </si>
  <si>
    <t>100198</t>
  </si>
  <si>
    <t>KALENG 320 JERUK</t>
  </si>
  <si>
    <t>100200</t>
  </si>
  <si>
    <t>BOTOL 200</t>
  </si>
  <si>
    <t>100203</t>
  </si>
  <si>
    <t>100202</t>
  </si>
  <si>
    <t>100197</t>
  </si>
  <si>
    <t>KALENG 320 LECI</t>
  </si>
  <si>
    <t>100199</t>
  </si>
  <si>
    <t>KALENG 320 ANGGUR</t>
  </si>
  <si>
    <t>100211</t>
  </si>
  <si>
    <t>KALENG 320 MELON</t>
  </si>
  <si>
    <t>100212</t>
  </si>
  <si>
    <t>KALENG 320 APEL</t>
  </si>
  <si>
    <t>100250</t>
  </si>
  <si>
    <t>KALENG 320 LEMON</t>
  </si>
  <si>
    <t>100272</t>
  </si>
  <si>
    <t>BOTOL 350</t>
  </si>
  <si>
    <t>100336</t>
  </si>
  <si>
    <t>BADAK SACHET JAMBU 7GR</t>
  </si>
  <si>
    <t>100337</t>
  </si>
  <si>
    <t>BADAK SACHET JERUK NIPIS 7GR</t>
  </si>
  <si>
    <t>COLA FRESHTEA</t>
  </si>
  <si>
    <t>100208</t>
  </si>
  <si>
    <t>NN0069</t>
  </si>
  <si>
    <t>100210</t>
  </si>
  <si>
    <t>NN0007</t>
  </si>
  <si>
    <t>100209</t>
  </si>
  <si>
    <t>NN0008</t>
  </si>
  <si>
    <t>100205</t>
  </si>
  <si>
    <t>NN0009</t>
  </si>
  <si>
    <t>100207</t>
  </si>
  <si>
    <t>NN0010</t>
  </si>
  <si>
    <t>100206</t>
  </si>
  <si>
    <t>NN0011</t>
  </si>
  <si>
    <t>100547</t>
  </si>
  <si>
    <t>KUE SALJU MANGGA</t>
  </si>
  <si>
    <t>100548</t>
  </si>
  <si>
    <t>KUE SALJU BLUEBERRY</t>
  </si>
  <si>
    <t>100549</t>
  </si>
  <si>
    <t>KUE SALJU COKLAT</t>
  </si>
  <si>
    <t>100546</t>
  </si>
  <si>
    <t>KUE SALJU STRAWBERRY</t>
  </si>
  <si>
    <t>DIMA</t>
  </si>
  <si>
    <t>100427</t>
  </si>
  <si>
    <t>POKKA JASMINE GREEN TEA KALENG</t>
  </si>
  <si>
    <t>100426</t>
  </si>
  <si>
    <t>POKKA HONEY GREEN TEA 350ML</t>
  </si>
  <si>
    <t>100424</t>
  </si>
  <si>
    <t>IONESIA 450ML</t>
  </si>
  <si>
    <t>100428</t>
  </si>
  <si>
    <t>POKKA JASMINE GREEN TEA 350ML</t>
  </si>
  <si>
    <t>100429</t>
  </si>
  <si>
    <t>TEH HARUM 350ML</t>
  </si>
  <si>
    <t>100431</t>
  </si>
  <si>
    <t>JULIE'S CHOCO MORE 8000</t>
  </si>
  <si>
    <t>100430</t>
  </si>
  <si>
    <t>JULIE'S PEANUT BUTTER 8000</t>
  </si>
  <si>
    <t>100425</t>
  </si>
  <si>
    <t>NATSBEE HONEY LEMON 350ML</t>
  </si>
  <si>
    <t>DUA KELINCI</t>
  </si>
  <si>
    <t>100559</t>
  </si>
  <si>
    <t>TICTAC RENDANG 1000</t>
  </si>
  <si>
    <t>ACCURATE Accounting System Report</t>
  </si>
  <si>
    <t>Tercetak pada 17 November 2025 - 13:55</t>
  </si>
  <si>
    <t>Halaman 1</t>
  </si>
  <si>
    <t>100286</t>
  </si>
  <si>
    <t>SUKRO OR1 1000</t>
  </si>
  <si>
    <t>100287</t>
  </si>
  <si>
    <t>SUKRO BBQ I000</t>
  </si>
  <si>
    <t>100263</t>
  </si>
  <si>
    <t>SUKRO OVEN BAWANG 2000</t>
  </si>
  <si>
    <t>100271</t>
  </si>
  <si>
    <t>SUKRO OVEN BAWANG 1000</t>
  </si>
  <si>
    <t>100256</t>
  </si>
  <si>
    <t>RONI MAKARONI ROASTED CORN</t>
  </si>
  <si>
    <t>100257</t>
  </si>
  <si>
    <t>RONI MAKARONI SPICY</t>
  </si>
  <si>
    <t>100267</t>
  </si>
  <si>
    <t>TOS TOS ROASTED CORN  2000</t>
  </si>
  <si>
    <t>100268</t>
  </si>
  <si>
    <t>TOS TOS KOREAN BBQ 2000</t>
  </si>
  <si>
    <t>100269</t>
  </si>
  <si>
    <t>SUKRO OVEN JAGUNG BAKAR 1000</t>
  </si>
  <si>
    <t>100261</t>
  </si>
  <si>
    <t>TICTAC SAPI 1000</t>
  </si>
  <si>
    <t>100270</t>
  </si>
  <si>
    <t>SUKRO OVEN PEDAS 1000</t>
  </si>
  <si>
    <t>100258</t>
  </si>
  <si>
    <t>SUKRO ORI 2000</t>
  </si>
  <si>
    <t>100390</t>
  </si>
  <si>
    <t>TATO TATO TTEOKBOKKI 2000</t>
  </si>
  <si>
    <t>100280</t>
  </si>
  <si>
    <t>NN 1</t>
  </si>
  <si>
    <t>100281</t>
  </si>
  <si>
    <t>NN</t>
  </si>
  <si>
    <t>100275</t>
  </si>
  <si>
    <t>TICTAC RUMPUT LAUT 1000</t>
  </si>
  <si>
    <t>100296</t>
  </si>
  <si>
    <t>KACANG MIX NUT 1000</t>
  </si>
  <si>
    <t>100297</t>
  </si>
  <si>
    <t>KORO ORI 1000</t>
  </si>
  <si>
    <t>100298</t>
  </si>
  <si>
    <t>KORO PEDAS 1000</t>
  </si>
  <si>
    <t>100299</t>
  </si>
  <si>
    <t>KORO RUMPUT LAUT 1000</t>
  </si>
  <si>
    <t>100301</t>
  </si>
  <si>
    <t>DK ROL JUMBO CHOCO BANANA</t>
  </si>
  <si>
    <t>100274</t>
  </si>
  <si>
    <t>TICTAC AYAM BAWANG 1000</t>
  </si>
  <si>
    <t>100273</t>
  </si>
  <si>
    <t>TICTAC ORI 1000</t>
  </si>
  <si>
    <t>100291</t>
  </si>
  <si>
    <t>TICTAC MIE GORENG 1000</t>
  </si>
  <si>
    <t>100262</t>
  </si>
  <si>
    <t>TICTAC MIX 1000</t>
  </si>
  <si>
    <t>100260</t>
  </si>
  <si>
    <t>TICTAC PEDAS 1000</t>
  </si>
  <si>
    <t>100300</t>
  </si>
  <si>
    <t>DK ROL JUMBO WHITE COFFE</t>
  </si>
  <si>
    <t>100326</t>
  </si>
  <si>
    <t>DK ROOL CHOCO 500</t>
  </si>
  <si>
    <t>100327</t>
  </si>
  <si>
    <t>DK ROOL CHOCONUT 500</t>
  </si>
  <si>
    <t>100391</t>
  </si>
  <si>
    <t>TATO TATO FLAME BEEF 2000</t>
  </si>
  <si>
    <t>Diamond</t>
  </si>
  <si>
    <t>100410</t>
  </si>
  <si>
    <t>Ovaltine 200ml</t>
  </si>
  <si>
    <t>100535</t>
  </si>
  <si>
    <t>SUSU UHT DIAMOND FULL CREAM 125ML</t>
  </si>
  <si>
    <t>FKS</t>
  </si>
  <si>
    <t>100325</t>
  </si>
  <si>
    <t>TARO NET POTATO 32GR 5000</t>
  </si>
  <si>
    <t>100278</t>
  </si>
  <si>
    <t>MIE KREMEZZ SHORR AYAM 1000</t>
  </si>
  <si>
    <t>100279</t>
  </si>
  <si>
    <t>MIE KREMEZZ SHORR KEJU 1000</t>
  </si>
  <si>
    <t>Halaman 2</t>
  </si>
  <si>
    <t>100315</t>
  </si>
  <si>
    <t>TARO NET SEAWEED 8gr 1000</t>
  </si>
  <si>
    <t>100305</t>
  </si>
  <si>
    <t>TARO NET SEAWED 17GR 2000</t>
  </si>
  <si>
    <t>100316</t>
  </si>
  <si>
    <t>TARO NET POTATO BBQ 17GR 2000</t>
  </si>
  <si>
    <t>100367</t>
  </si>
  <si>
    <t>KREZ SAMBAL BALADO 2000</t>
  </si>
  <si>
    <t>100545</t>
  </si>
  <si>
    <t>MIE GEMOY 5000</t>
  </si>
  <si>
    <t>100277</t>
  </si>
  <si>
    <t>MIE KREMEZZ SHORR BALADO 1000</t>
  </si>
  <si>
    <t>100306</t>
  </si>
  <si>
    <t>TARO NET SEAWEED 32GR 5000</t>
  </si>
  <si>
    <t>100304</t>
  </si>
  <si>
    <t>PIO WAFER STICK TOPLES</t>
  </si>
  <si>
    <t>100345</t>
  </si>
  <si>
    <t>KREMEZZ MIX AYAM PANGGANG</t>
  </si>
  <si>
    <t>100346</t>
  </si>
  <si>
    <t>KREMEZZ MIX SAMBAL BALADO</t>
  </si>
  <si>
    <t>100347</t>
  </si>
  <si>
    <t>KREMEZZ MIX JAGUNG BAKAR</t>
  </si>
  <si>
    <t>100348</t>
  </si>
  <si>
    <t>KREMEZZ MIX MIE GORENG</t>
  </si>
  <si>
    <t>100366</t>
  </si>
  <si>
    <t>KREZ MIE GORENG 2000</t>
  </si>
  <si>
    <t>100386</t>
  </si>
  <si>
    <t>TARO NET 32GR COWBOY STEAK 5000</t>
  </si>
  <si>
    <t>100387</t>
  </si>
  <si>
    <t>TARO NET 32GR ITALIAN PIZZA 5000</t>
  </si>
  <si>
    <t>100396</t>
  </si>
  <si>
    <t>KREZ AYAM PANGGANG 2000</t>
  </si>
  <si>
    <t>100544</t>
  </si>
  <si>
    <t>TARO NET JALAPENO 2000</t>
  </si>
  <si>
    <t>FUNNY BEAR- NATURAL FOOD SUCCES</t>
  </si>
  <si>
    <t>100400</t>
  </si>
  <si>
    <t>FB GUMMY ORANGE</t>
  </si>
  <si>
    <t>100398</t>
  </si>
  <si>
    <t>FB GUMMY ICE CONE</t>
  </si>
  <si>
    <t>100397</t>
  </si>
  <si>
    <t>FB GUMMY DUCKLING</t>
  </si>
  <si>
    <t>100402</t>
  </si>
  <si>
    <t>FB FUN GUM GUMMY CANDIES</t>
  </si>
  <si>
    <t>100399</t>
  </si>
  <si>
    <t>FB STRAWBERRY PILLOW</t>
  </si>
  <si>
    <t>100319</t>
  </si>
  <si>
    <t>FB AQUARIUM</t>
  </si>
  <si>
    <t>100320</t>
  </si>
  <si>
    <t>FB BURGER</t>
  </si>
  <si>
    <t>100321</t>
  </si>
  <si>
    <t>FB DINOSAURUS</t>
  </si>
  <si>
    <t>100322</t>
  </si>
  <si>
    <t>FB HAPPY BEAR</t>
  </si>
  <si>
    <t>100323</t>
  </si>
  <si>
    <t>FB PIZZA</t>
  </si>
  <si>
    <t>100324</t>
  </si>
  <si>
    <t>FB PONIES</t>
  </si>
  <si>
    <t>100401</t>
  </si>
  <si>
    <t>FB GUMMY BEARS</t>
  </si>
  <si>
    <t>HOLYLAND FOOD</t>
  </si>
  <si>
    <t>100394</t>
  </si>
  <si>
    <t>KIKOYA TELUR ASIN</t>
  </si>
  <si>
    <t>100561</t>
  </si>
  <si>
    <t>POTATOQ KOREAN BBQ POUCH</t>
  </si>
  <si>
    <t>100414</t>
  </si>
  <si>
    <t>CHIPSY BBQ</t>
  </si>
  <si>
    <t>100413</t>
  </si>
  <si>
    <t>CHIPSY RUMPUT LAUT</t>
  </si>
  <si>
    <t>100363</t>
  </si>
  <si>
    <t>KIKOYA SAMBAL BALADO</t>
  </si>
  <si>
    <t>100362</t>
  </si>
  <si>
    <t>KIKOYA SAPI PANGGANG</t>
  </si>
  <si>
    <t>Halaman 3</t>
  </si>
  <si>
    <t>100364</t>
  </si>
  <si>
    <t>KIKOYA BBQ</t>
  </si>
  <si>
    <t>100560</t>
  </si>
  <si>
    <t>POTATOQ RUMPUT LAUT POUCH</t>
  </si>
  <si>
    <t>100562</t>
  </si>
  <si>
    <t>POTATOQ SOSIS JUMBO POUCH</t>
  </si>
  <si>
    <t>100365</t>
  </si>
  <si>
    <t>KIKOYA RUMPUT LAUT</t>
  </si>
  <si>
    <t>100226</t>
  </si>
  <si>
    <t>POTAKREZ SAPI PANGGANG 10X10</t>
  </si>
  <si>
    <t>100411</t>
  </si>
  <si>
    <t>CRUNZ CRUNZ RUMPUT LAUT</t>
  </si>
  <si>
    <t>100452</t>
  </si>
  <si>
    <t>CRUNZ CRUNZ BAWANG PUTIH</t>
  </si>
  <si>
    <t>100290</t>
  </si>
  <si>
    <t>POTATO Q RUMPUT LAUT</t>
  </si>
  <si>
    <t>100537</t>
  </si>
  <si>
    <t>POTATO Q PEDAS MANIS</t>
  </si>
  <si>
    <t>100538</t>
  </si>
  <si>
    <t>POTATO Q AYAM BAWANG</t>
  </si>
  <si>
    <t>100223</t>
  </si>
  <si>
    <t>POTAKREZ AYAM GEPREK 10X10</t>
  </si>
  <si>
    <t>100224</t>
  </si>
  <si>
    <t>POTAKREZ SPICY BEEF 10X10</t>
  </si>
  <si>
    <t>100288</t>
  </si>
  <si>
    <t>POTATO Q KOREAN BBQ</t>
  </si>
  <si>
    <t>100289</t>
  </si>
  <si>
    <t>POTATO Q SOSIS JUMBO MEKSIKO</t>
  </si>
  <si>
    <t>100292</t>
  </si>
  <si>
    <t>POTATO Q SAMBAL DAUN JERUK</t>
  </si>
  <si>
    <t>100225</t>
  </si>
  <si>
    <t>POTAKREZ RUMPUT LAUT 10X10</t>
  </si>
  <si>
    <t>100395</t>
  </si>
  <si>
    <t>KIKOYA SEBLAK SUNDA</t>
  </si>
  <si>
    <t>100228</t>
  </si>
  <si>
    <t>BROTATOZ KOREAN BBQ 5x10</t>
  </si>
  <si>
    <t>100229</t>
  </si>
  <si>
    <t>BROTATOZ RENDANG SAPI 5x10</t>
  </si>
  <si>
    <t>100227</t>
  </si>
  <si>
    <t>BROTATOZ RUMPUT LAUT 5x10</t>
  </si>
  <si>
    <t>100412</t>
  </si>
  <si>
    <t>CRUNZ CRUNZ ORIGINAL</t>
  </si>
  <si>
    <t>100415</t>
  </si>
  <si>
    <t>CHIPSY LADA HITAM</t>
  </si>
  <si>
    <t>INDOFOOD SNACK</t>
  </si>
  <si>
    <t>100246</t>
  </si>
  <si>
    <t>CHITATO LITE 2000</t>
  </si>
  <si>
    <t>100237</t>
  </si>
  <si>
    <t>CHITATO SAPI PANGGANG 2000</t>
  </si>
  <si>
    <t>100484</t>
  </si>
  <si>
    <t>CHITATO SAPI PANGGANG 5000</t>
  </si>
  <si>
    <t>100483</t>
  </si>
  <si>
    <t>CHITATO LITE 5000</t>
  </si>
  <si>
    <t>100238</t>
  </si>
  <si>
    <t>QTELA BBQ 2000</t>
  </si>
  <si>
    <t>100239</t>
  </si>
  <si>
    <t>MAXICORN 2000</t>
  </si>
  <si>
    <t>100240</t>
  </si>
  <si>
    <t>JETZ COKLAT 2000</t>
  </si>
  <si>
    <t>100241</t>
  </si>
  <si>
    <t>CHIKI BALLS KEJU 2000</t>
  </si>
  <si>
    <t>100242</t>
  </si>
  <si>
    <t>CHIKI BALLS COKLAT</t>
  </si>
  <si>
    <t>100243</t>
  </si>
  <si>
    <t>CHIKI BALLS KALDU AYAM</t>
  </si>
  <si>
    <t>100247</t>
  </si>
  <si>
    <t>CHIKI TWIST 2000</t>
  </si>
  <si>
    <t>100248</t>
  </si>
  <si>
    <t>CHIKI TWIST FLAMING HOT 2000</t>
  </si>
  <si>
    <t>100249</t>
  </si>
  <si>
    <t>JET Z FRENCH FRIES</t>
  </si>
  <si>
    <t>Halaman 4</t>
  </si>
  <si>
    <t>100485</t>
  </si>
  <si>
    <t>QTELA BBQ 5000</t>
  </si>
  <si>
    <t>100486</t>
  </si>
  <si>
    <t>QTELA ORI 5000</t>
  </si>
  <si>
    <t>100487</t>
  </si>
  <si>
    <t>QTELA BALADO 5000</t>
  </si>
  <si>
    <t>100488</t>
  </si>
  <si>
    <t>CHIKI TWIST JG PEDAS MANIS 2000</t>
  </si>
  <si>
    <t>INDOMARCO</t>
  </si>
  <si>
    <t>100558</t>
  </si>
  <si>
    <t>JETZ BBQ</t>
  </si>
  <si>
    <t>100466</t>
  </si>
  <si>
    <t>GOWELL FRENCH VANILLA</t>
  </si>
  <si>
    <t>100467</t>
  </si>
  <si>
    <t>GOWELL MILKY TARO</t>
  </si>
  <si>
    <t>100468</t>
  </si>
  <si>
    <t>GOWELL BELGIAN COKLAT</t>
  </si>
  <si>
    <t>100469</t>
  </si>
  <si>
    <t>SUN PUFF KEJU</t>
  </si>
  <si>
    <t>100470</t>
  </si>
  <si>
    <t>SUN PUFF STW</t>
  </si>
  <si>
    <t>100496</t>
  </si>
  <si>
    <t>CHIKI TWIST 5000</t>
  </si>
  <si>
    <t>100497</t>
  </si>
  <si>
    <t>JETZ COKLAT 5000</t>
  </si>
  <si>
    <t>INDOMIE</t>
  </si>
  <si>
    <t>100232</t>
  </si>
  <si>
    <t>INDOMIE GORENG</t>
  </si>
  <si>
    <t>100233</t>
  </si>
  <si>
    <t>INDOMIE KUAH AYAM BAWANG</t>
  </si>
  <si>
    <t>100234</t>
  </si>
  <si>
    <t>INDOMIE KUAH SOTO</t>
  </si>
  <si>
    <t>100235</t>
  </si>
  <si>
    <t>INDOMIE GORENG RENDANG</t>
  </si>
  <si>
    <t>100303</t>
  </si>
  <si>
    <t>INDOMIE GORENG AYAM GEPREK</t>
  </si>
  <si>
    <t>100403</t>
  </si>
  <si>
    <t>INDOMIE KUAH AYAM SPECIAL</t>
  </si>
  <si>
    <t>100420</t>
  </si>
  <si>
    <t>INDOMIE GORENG JUMBO</t>
  </si>
  <si>
    <t>INDRACO</t>
  </si>
  <si>
    <t>100172</t>
  </si>
  <si>
    <t>NN0077</t>
  </si>
  <si>
    <t>100165</t>
  </si>
  <si>
    <t>NN0016</t>
  </si>
  <si>
    <t>100164</t>
  </si>
  <si>
    <t>NN0070</t>
  </si>
  <si>
    <t>100218</t>
  </si>
  <si>
    <t>NN0071</t>
  </si>
  <si>
    <t>100187</t>
  </si>
  <si>
    <t>NN0081</t>
  </si>
  <si>
    <t>100173</t>
  </si>
  <si>
    <t>NN0083</t>
  </si>
  <si>
    <t>100170</t>
  </si>
  <si>
    <t>NN079</t>
  </si>
  <si>
    <t>100204</t>
  </si>
  <si>
    <t>NN0080</t>
  </si>
  <si>
    <t>100219</t>
  </si>
  <si>
    <t>NN0078</t>
  </si>
  <si>
    <t>100220</t>
  </si>
  <si>
    <t>NN0076</t>
  </si>
  <si>
    <t>100169</t>
  </si>
  <si>
    <t>NN0072</t>
  </si>
  <si>
    <t>100221</t>
  </si>
  <si>
    <t>NN0082</t>
  </si>
  <si>
    <t>100168</t>
  </si>
  <si>
    <t>NN0005</t>
  </si>
  <si>
    <t>100167</t>
  </si>
  <si>
    <t>NN0006</t>
  </si>
  <si>
    <t>100166</t>
  </si>
  <si>
    <t>NN017</t>
  </si>
  <si>
    <t>100171</t>
  </si>
  <si>
    <t>NN0075</t>
  </si>
  <si>
    <t>INFRESH</t>
  </si>
  <si>
    <t>100043</t>
  </si>
  <si>
    <t>NN0014</t>
  </si>
  <si>
    <t>100044</t>
  </si>
  <si>
    <t>NN0015</t>
  </si>
  <si>
    <t>Halaman 5</t>
  </si>
  <si>
    <t>100045</t>
  </si>
  <si>
    <t>NN0013</t>
  </si>
  <si>
    <t>JELLY SEVEN</t>
  </si>
  <si>
    <t>100101</t>
  </si>
  <si>
    <t>NN0018</t>
  </si>
  <si>
    <t>100100</t>
  </si>
  <si>
    <t>NN019</t>
  </si>
  <si>
    <t>100102</t>
  </si>
  <si>
    <t>NN0020</t>
  </si>
  <si>
    <t>100103</t>
  </si>
  <si>
    <t>NN0021</t>
  </si>
  <si>
    <t>100106</t>
  </si>
  <si>
    <t>NN0023</t>
  </si>
  <si>
    <t>100107</t>
  </si>
  <si>
    <t>NN0024</t>
  </si>
  <si>
    <t>100110</t>
  </si>
  <si>
    <t>NN0031</t>
  </si>
  <si>
    <t>100104</t>
  </si>
  <si>
    <t>NN0043</t>
  </si>
  <si>
    <t>100117</t>
  </si>
  <si>
    <t>NN0027</t>
  </si>
  <si>
    <t>100118</t>
  </si>
  <si>
    <t>NN0028</t>
  </si>
  <si>
    <t>100119</t>
  </si>
  <si>
    <t>NN0029</t>
  </si>
  <si>
    <t>100120</t>
  </si>
  <si>
    <t>NN0030</t>
  </si>
  <si>
    <t>100109</t>
  </si>
  <si>
    <t>NN0032</t>
  </si>
  <si>
    <t>100111</t>
  </si>
  <si>
    <t>NN0033</t>
  </si>
  <si>
    <t>100112</t>
  </si>
  <si>
    <t>NN0036</t>
  </si>
  <si>
    <t>100113</t>
  </si>
  <si>
    <t>NN0037</t>
  </si>
  <si>
    <t>100114</t>
  </si>
  <si>
    <t>NN0039</t>
  </si>
  <si>
    <t>100115</t>
  </si>
  <si>
    <t>NN0040</t>
  </si>
  <si>
    <t>100116</t>
  </si>
  <si>
    <t>NN0041</t>
  </si>
  <si>
    <t>100105</t>
  </si>
  <si>
    <t>NN0022</t>
  </si>
  <si>
    <t>100108</t>
  </si>
  <si>
    <t>NN0025</t>
  </si>
  <si>
    <t>JOOY NORI</t>
  </si>
  <si>
    <t>100404</t>
  </si>
  <si>
    <t>JOOY NORI ORIGINAL</t>
  </si>
  <si>
    <t>100405</t>
  </si>
  <si>
    <t>JOOY NORI SAPI PANGGANG</t>
  </si>
  <si>
    <t>100406</t>
  </si>
  <si>
    <t>JOOY NORI JAGUNG BAKAR</t>
  </si>
  <si>
    <t>100407</t>
  </si>
  <si>
    <t>JOOY NORI BALADO</t>
  </si>
  <si>
    <t>100408</t>
  </si>
  <si>
    <t>JOOY NORI KEJU</t>
  </si>
  <si>
    <t>100409</t>
  </si>
  <si>
    <t>JOOY NORI MIE GORENG</t>
  </si>
  <si>
    <t>KACANG ATOM GAJAH</t>
  </si>
  <si>
    <t>100382</t>
  </si>
  <si>
    <t>KACANG ATOM MAMMOTH 500</t>
  </si>
  <si>
    <t>100374</t>
  </si>
  <si>
    <t>KACANG ATOM BLEDUGH 2000</t>
  </si>
  <si>
    <t>100375</t>
  </si>
  <si>
    <t>KACANG ATOM BLEDUGH 6000</t>
  </si>
  <si>
    <t>KIJANG</t>
  </si>
  <si>
    <t>100490</t>
  </si>
  <si>
    <t>BIHUN JAGUNG MERAH 4 KP</t>
  </si>
  <si>
    <t>100489</t>
  </si>
  <si>
    <t>BIHUN JAGUNG HIJAU 4 KP</t>
  </si>
  <si>
    <t>100494</t>
  </si>
  <si>
    <t>MIE TELUR KIJANG PIPIH 2 KP</t>
  </si>
  <si>
    <t>100491</t>
  </si>
  <si>
    <t>BIHUN JAGUNG KIJANG KUNING 2 KP</t>
  </si>
  <si>
    <t>100495</t>
  </si>
  <si>
    <t>MIE TELUR KIJANG BUNDAR 2 KP</t>
  </si>
  <si>
    <t>100493</t>
  </si>
  <si>
    <t xml:space="preserve">MIE TELUR KIJANG BUNDAR 4 </t>
  </si>
  <si>
    <t>Halaman 6</t>
  </si>
  <si>
    <t>KP</t>
  </si>
  <si>
    <t>100492</t>
  </si>
  <si>
    <t>MIE TELUR KIJANG PIPIH 4 KP</t>
  </si>
  <si>
    <t>KOKI KITA</t>
  </si>
  <si>
    <t>100556</t>
  </si>
  <si>
    <t>SANTANPAS RENCENG 1000</t>
  </si>
  <si>
    <t>KOPI KENANGAN</t>
  </si>
  <si>
    <t>100575</t>
  </si>
  <si>
    <t>KENANGAN SPARKS PEACH 250ML</t>
  </si>
  <si>
    <t>100576</t>
  </si>
  <si>
    <t>KENANGAN SPARKS LYCHEE 250ML</t>
  </si>
  <si>
    <t>100585</t>
  </si>
  <si>
    <t>KOPI KENANGAN AVOCUDDLE 220ML</t>
  </si>
  <si>
    <t>100584</t>
  </si>
  <si>
    <t>KENANGAN SPARKS PEACH 250ML ( FREE )</t>
  </si>
  <si>
    <t>100568</t>
  </si>
  <si>
    <t>KOPI KENANGAN INDONESIANO 220ML</t>
  </si>
  <si>
    <t>100569</t>
  </si>
  <si>
    <t>KOPI KENANGAN CAFFE LATTE 220ML</t>
  </si>
  <si>
    <t>100570</t>
  </si>
  <si>
    <t>KOPI KENANGAN ROYAL CHEESE 220ML</t>
  </si>
  <si>
    <t>100571</t>
  </si>
  <si>
    <t>KOPI KENANGAN MATCHA ESPRESSO 220ML</t>
  </si>
  <si>
    <t>100572</t>
  </si>
  <si>
    <t>KOPI KENANGAN BLACK AREN 220ML</t>
  </si>
  <si>
    <t>100573</t>
  </si>
  <si>
    <t>KOPI KENANGAN MANTANCHINO 220ML</t>
  </si>
  <si>
    <t>LOTTE</t>
  </si>
  <si>
    <t>100392</t>
  </si>
  <si>
    <t>CHOCO PIE ORIGINAL 2000</t>
  </si>
  <si>
    <t>100539</t>
  </si>
  <si>
    <t>CHOCO PIE STRAWBERRY</t>
  </si>
  <si>
    <t>MAHSURI</t>
  </si>
  <si>
    <t>100188</t>
  </si>
  <si>
    <t>NN0060</t>
  </si>
  <si>
    <t>100189</t>
  </si>
  <si>
    <t>NN00061</t>
  </si>
  <si>
    <t>100190</t>
  </si>
  <si>
    <t>NN0049</t>
  </si>
  <si>
    <t>100191</t>
  </si>
  <si>
    <t>NN0050</t>
  </si>
  <si>
    <t>MAYORA WAFER</t>
  </si>
  <si>
    <t>100360</t>
  </si>
  <si>
    <t>SUPERSTAR 16GR 20+1</t>
  </si>
  <si>
    <t>100285</t>
  </si>
  <si>
    <t>CHOKI CHOKI 10GR</t>
  </si>
  <si>
    <t>100330</t>
  </si>
  <si>
    <t>ASTOR SINGLE 1 BOX ISI 20</t>
  </si>
  <si>
    <t>100282</t>
  </si>
  <si>
    <t>BENG BENG REGULER 25GR</t>
  </si>
  <si>
    <t>100283</t>
  </si>
  <si>
    <t>SUPERSTAR 16GR</t>
  </si>
  <si>
    <t>100284</t>
  </si>
  <si>
    <t>ASTOR SINGLE 16GR</t>
  </si>
  <si>
    <t>100294</t>
  </si>
  <si>
    <t>SUPERSTAR SNAPS</t>
  </si>
  <si>
    <t>100328</t>
  </si>
  <si>
    <t>WAFELLO COKLAT 2000</t>
  </si>
  <si>
    <t>100329</t>
  </si>
  <si>
    <t>WAFELLO CARAMEL 2000</t>
  </si>
  <si>
    <t>MEIJI (HL PANDA, LUCKY STICK, YAN-YAN)</t>
  </si>
  <si>
    <t>100317</t>
  </si>
  <si>
    <t>HL PANDA MILK VANILLA 25 GR</t>
  </si>
  <si>
    <t>100153</t>
  </si>
  <si>
    <t>YAN YAN CHOCO 40GR</t>
  </si>
  <si>
    <t>100137</t>
  </si>
  <si>
    <t>HL PANDA DIP DIP STRAW 20GR</t>
  </si>
  <si>
    <t>100517</t>
  </si>
  <si>
    <t>MJ HL PANDA DOUBLE CHOCO 42GR</t>
  </si>
  <si>
    <t>100141</t>
  </si>
  <si>
    <t>HL PANDA STRAW 25GR</t>
  </si>
  <si>
    <t>100142</t>
  </si>
  <si>
    <t>MJ HL PANDA CHOCO 42GR</t>
  </si>
  <si>
    <t>100143</t>
  </si>
  <si>
    <t>MJ HL PANDA STRAW 42GR</t>
  </si>
  <si>
    <t>100318</t>
  </si>
  <si>
    <t>HL PANDA COOKIES AND CREAM 25GR</t>
  </si>
  <si>
    <t>100138</t>
  </si>
  <si>
    <t>HL PANDA STICK CHOC 20GR</t>
  </si>
  <si>
    <t>100139</t>
  </si>
  <si>
    <t>HL PANDA STICK STRAW 20GR</t>
  </si>
  <si>
    <t>100140</t>
  </si>
  <si>
    <t>HL PANDA CHOCO 25GR</t>
  </si>
  <si>
    <t>100136</t>
  </si>
  <si>
    <t>HL PANDA DIP DIP CHOC 20GR</t>
  </si>
  <si>
    <t>100149</t>
  </si>
  <si>
    <t>YAN YAN TOP CHOCO 30GR</t>
  </si>
  <si>
    <t>100432</t>
  </si>
  <si>
    <t>HL PANDA CARAMEL 25GR</t>
  </si>
  <si>
    <t>100146</t>
  </si>
  <si>
    <t>LC STICK CHOCO 45GR</t>
  </si>
  <si>
    <t>100148</t>
  </si>
  <si>
    <t>LC STICK CHOCO COFFEE 38GR</t>
  </si>
  <si>
    <t>100147</t>
  </si>
  <si>
    <t>LC STICK STRAW 45GR</t>
  </si>
  <si>
    <t>100150</t>
  </si>
  <si>
    <t>YAN YAN TOP STRAW 30GR</t>
  </si>
  <si>
    <t>100155</t>
  </si>
  <si>
    <t>YAN YAN STRAW 30GR</t>
  </si>
  <si>
    <t>100154</t>
  </si>
  <si>
    <t>YAN YAN CHOCO 30GR</t>
  </si>
  <si>
    <t>100433</t>
  </si>
  <si>
    <t>MJ HL PANDA CARAMEL 42GR</t>
  </si>
  <si>
    <t>100236</t>
  </si>
  <si>
    <t>MJ HL PANDA CHEESE 42GR</t>
  </si>
  <si>
    <t>100144</t>
  </si>
  <si>
    <t>MJ HL MILK VANNILA 42GR</t>
  </si>
  <si>
    <t>100145</t>
  </si>
  <si>
    <t>MJ HL COOKIES &amp; CREAM 42GR</t>
  </si>
  <si>
    <t>100349</t>
  </si>
  <si>
    <t>KINDER CREAMY 19GR</t>
  </si>
  <si>
    <t>100498</t>
  </si>
  <si>
    <t>YAN YAN STRAWBERRY 40GR</t>
  </si>
  <si>
    <t>MICHIKO</t>
  </si>
  <si>
    <t>100440</t>
  </si>
  <si>
    <t>MICHIKO GARLIC 8GR</t>
  </si>
  <si>
    <t>100439</t>
  </si>
  <si>
    <t>MICHIKO BALADO 8GR</t>
  </si>
  <si>
    <t>100441</t>
  </si>
  <si>
    <t>MICHIKO SAPI PANGGANG 8GR</t>
  </si>
  <si>
    <t>100581</t>
  </si>
  <si>
    <t>CRISCITO ORIGINAL 2000</t>
  </si>
  <si>
    <t>100582</t>
  </si>
  <si>
    <t>CRISCITO RUMPUT LAUT 2000</t>
  </si>
  <si>
    <t>100583</t>
  </si>
  <si>
    <t>CRISCITO BBQ 2000</t>
  </si>
  <si>
    <t>100603</t>
  </si>
  <si>
    <t>CRISCITO CHEESE GOCHUJANG 1000</t>
  </si>
  <si>
    <t>100179</t>
  </si>
  <si>
    <t>MOMOGI JAGUNG BAKAR 40</t>
  </si>
  <si>
    <t>100175</t>
  </si>
  <si>
    <t>MOMOGI STICK KEJU 240</t>
  </si>
  <si>
    <t>100184</t>
  </si>
  <si>
    <t>MIGI MIGI WAFER VAN COKLAT 160</t>
  </si>
  <si>
    <t>100186</t>
  </si>
  <si>
    <t>MIGI MIGI WAFER COCO PANDAN 160</t>
  </si>
  <si>
    <t>Halaman 8</t>
  </si>
  <si>
    <t>100174</t>
  </si>
  <si>
    <t>MOMOGI STICK JAGUNG BAKAR 240</t>
  </si>
  <si>
    <t>100180</t>
  </si>
  <si>
    <t>MOMOGI HATI CHEESE 40</t>
  </si>
  <si>
    <t>100389</t>
  </si>
  <si>
    <t>MIGI MIGI VANILLA MOCA</t>
  </si>
  <si>
    <t>100181</t>
  </si>
  <si>
    <t>MOMOGI BINTANG COKLAT 40</t>
  </si>
  <si>
    <t>100393</t>
  </si>
  <si>
    <t>MIGI MIGI COKLAT KEJU</t>
  </si>
  <si>
    <t>100176</t>
  </si>
  <si>
    <t>MOMOGI STICK COKLAT 240</t>
  </si>
  <si>
    <t>100177</t>
  </si>
  <si>
    <t>MOMOGI STICK FRUTTY 240</t>
  </si>
  <si>
    <t>100182</t>
  </si>
  <si>
    <t>MOMOGI TWIST JG BAKAR 40</t>
  </si>
  <si>
    <t>100183</t>
  </si>
  <si>
    <t>MIGI MIGI WAFER COKLAT 160</t>
  </si>
  <si>
    <t>100178</t>
  </si>
  <si>
    <t>MOMOGI STICK CAPUCINO 240</t>
  </si>
  <si>
    <t>100185</t>
  </si>
  <si>
    <t>MIGI MIGI WAFER STW VAN 160</t>
  </si>
  <si>
    <t>100193</t>
  </si>
  <si>
    <t>NN0051</t>
  </si>
  <si>
    <t>100192</t>
  </si>
  <si>
    <t>NN0052</t>
  </si>
  <si>
    <t>100194</t>
  </si>
  <si>
    <t>NN0053</t>
  </si>
  <si>
    <t>100252</t>
  </si>
  <si>
    <t>CRISCITO CRACK KIMCHI 2000</t>
  </si>
  <si>
    <t>100295</t>
  </si>
  <si>
    <t>MARSHMALLOW DORAEMON 500an</t>
  </si>
  <si>
    <t>100453</t>
  </si>
  <si>
    <t>MOMOGI SOTO AYAM 1000</t>
  </si>
  <si>
    <t>100454</t>
  </si>
  <si>
    <t>MOMOGI RUMPUT LAUT 1000</t>
  </si>
  <si>
    <t>100455</t>
  </si>
  <si>
    <t>MOMOGI COKLAT 1000</t>
  </si>
  <si>
    <t>100456</t>
  </si>
  <si>
    <t>MOMOGI KEJU 1000</t>
  </si>
  <si>
    <t>100457</t>
  </si>
  <si>
    <t>MOMOGI JG BAKAR 1000</t>
  </si>
  <si>
    <t>100464</t>
  </si>
  <si>
    <t>MOMOGI POPCORN BUTTER</t>
  </si>
  <si>
    <t>100465</t>
  </si>
  <si>
    <t>MOMOGI POPCORN KARAMEL</t>
  </si>
  <si>
    <t>100372</t>
  </si>
  <si>
    <t>DESAKU BALADO</t>
  </si>
  <si>
    <t>100339</t>
  </si>
  <si>
    <t>KETUMBAR SACHET</t>
  </si>
  <si>
    <t>100383</t>
  </si>
  <si>
    <t>DESAKU BAWANG PUTIH</t>
  </si>
  <si>
    <t>100338</t>
  </si>
  <si>
    <t>LADAKU SACHET</t>
  </si>
  <si>
    <t>100434</t>
  </si>
  <si>
    <t>DESAKU CABE BUBUK</t>
  </si>
  <si>
    <t>100463</t>
  </si>
  <si>
    <t>DESAKU OPOR</t>
  </si>
  <si>
    <t>100341</t>
  </si>
  <si>
    <t>MARINASI SACHET</t>
  </si>
  <si>
    <t>100340</t>
  </si>
  <si>
    <t>KUNYIT SACHET</t>
  </si>
  <si>
    <t>100447</t>
  </si>
  <si>
    <t>DESAKU KARI</t>
  </si>
  <si>
    <t>MR LEMON&amp;BLAST</t>
  </si>
  <si>
    <t>100156</t>
  </si>
  <si>
    <t>NN0054</t>
  </si>
  <si>
    <t>100157</t>
  </si>
  <si>
    <t>NN0055</t>
  </si>
  <si>
    <t>100159</t>
  </si>
  <si>
    <t>NN0056</t>
  </si>
  <si>
    <t>100158</t>
  </si>
  <si>
    <t>NN0057</t>
  </si>
  <si>
    <t>100161</t>
  </si>
  <si>
    <t>NN0001</t>
  </si>
  <si>
    <t>100163</t>
  </si>
  <si>
    <t>NN0002</t>
  </si>
  <si>
    <t>Halaman 9</t>
  </si>
  <si>
    <t>100160</t>
  </si>
  <si>
    <t>NN0003</t>
  </si>
  <si>
    <t>100162</t>
  </si>
  <si>
    <t>NN0004</t>
  </si>
  <si>
    <t>NORI RIJAU</t>
  </si>
  <si>
    <t>100577</t>
  </si>
  <si>
    <t>RIJAU AYAM BAWANG</t>
  </si>
  <si>
    <t>100578</t>
  </si>
  <si>
    <t>RIJAU AYAM GORENG</t>
  </si>
  <si>
    <t>100579</t>
  </si>
  <si>
    <t>RIJAU BBQ</t>
  </si>
  <si>
    <t>100580</t>
  </si>
  <si>
    <t>RIJAU PEDAS</t>
  </si>
  <si>
    <t>100563</t>
  </si>
  <si>
    <t>ORIGU ROOL BALADO</t>
  </si>
  <si>
    <t>100564</t>
  </si>
  <si>
    <t>ORIGU ROOL BBQ</t>
  </si>
  <si>
    <t>NUTRI SARI</t>
  </si>
  <si>
    <t>100388</t>
  </si>
  <si>
    <t>NUTRI SARI LECI TEA</t>
  </si>
  <si>
    <t>100368</t>
  </si>
  <si>
    <t>NUTRI SARI STRAWBERRY</t>
  </si>
  <si>
    <t>100369</t>
  </si>
  <si>
    <t>NUTRI SARI SIRSAK</t>
  </si>
  <si>
    <t>100370</t>
  </si>
  <si>
    <t>NUTRI SARI NANAS</t>
  </si>
  <si>
    <t>100371</t>
  </si>
  <si>
    <t>NUTRI SARI COCO PANDAN</t>
  </si>
  <si>
    <t>100350</t>
  </si>
  <si>
    <t>NUTRI SARI MILKY ORANGE</t>
  </si>
  <si>
    <t>100351</t>
  </si>
  <si>
    <t>NUTRI SARI ANGGUR</t>
  </si>
  <si>
    <t>100352</t>
  </si>
  <si>
    <t>NUTRI SARI SWEET GUAVA</t>
  </si>
  <si>
    <t>100355</t>
  </si>
  <si>
    <t>NUTRI SARI FLORIDA ORANGE</t>
  </si>
  <si>
    <t>100356</t>
  </si>
  <si>
    <t>NUTRI SARI AMERICAN SWEET ORANGE</t>
  </si>
  <si>
    <t>100357</t>
  </si>
  <si>
    <t>NUTRI SARI CINCAU</t>
  </si>
  <si>
    <t>100358</t>
  </si>
  <si>
    <t>NUTRI SARI LEMON TEA</t>
  </si>
  <si>
    <t>100353</t>
  </si>
  <si>
    <t>NUTRI SARI JERUK NIPIS</t>
  </si>
  <si>
    <t>100354</t>
  </si>
  <si>
    <t>NUTRI SARI SWEET MANGGO</t>
  </si>
  <si>
    <t>O-JELLY</t>
  </si>
  <si>
    <t>100445</t>
  </si>
  <si>
    <t>O-JELLY LYCHEE STW</t>
  </si>
  <si>
    <t>100446</t>
  </si>
  <si>
    <t>O-JELLY LYCHEE GUAVA</t>
  </si>
  <si>
    <t>100444</t>
  </si>
  <si>
    <t>O-JELLY LYCHEE GRAPE</t>
  </si>
  <si>
    <t>100443</t>
  </si>
  <si>
    <t>O-JELLY STW MANGO</t>
  </si>
  <si>
    <t>100442</t>
  </si>
  <si>
    <t>O-JELLY MANGO ORANGE</t>
  </si>
  <si>
    <t>100511</t>
  </si>
  <si>
    <t>O-JELLY APPLE STW</t>
  </si>
  <si>
    <t>OBUCHI POPCORN</t>
  </si>
  <si>
    <t>100381</t>
  </si>
  <si>
    <t>OBUCHI POPCORN KEJU</t>
  </si>
  <si>
    <t>100379</t>
  </si>
  <si>
    <t>OBUCHI POPCORN COCOPANDAN</t>
  </si>
  <si>
    <t>100377</t>
  </si>
  <si>
    <t>OBUCHI POPCORN STRAWBERRY</t>
  </si>
  <si>
    <t>100376</t>
  </si>
  <si>
    <t>OBUCHI POPCORN KARAMEL</t>
  </si>
  <si>
    <t>100380</t>
  </si>
  <si>
    <t>OBUCHI POPCORN COKELAT</t>
  </si>
  <si>
    <t>100419</t>
  </si>
  <si>
    <t>OBUCHI BUSCHET BUBUK CABE TABUR</t>
  </si>
  <si>
    <t>100378</t>
  </si>
  <si>
    <t>OBUCHI POPCORN ORIGINAL</t>
  </si>
  <si>
    <t>100421</t>
  </si>
  <si>
    <t>OBUCHI COKLAT 60GR</t>
  </si>
  <si>
    <t>Halaman 10</t>
  </si>
  <si>
    <t>100422</t>
  </si>
  <si>
    <t>OBUCHI KARAMEL 60GR</t>
  </si>
  <si>
    <t>100423</t>
  </si>
  <si>
    <t>OBUCHI STW 60GR</t>
  </si>
  <si>
    <t>PINUS MERAH ABADI</t>
  </si>
  <si>
    <t>100332</t>
  </si>
  <si>
    <t>AMO COLA 200ML</t>
  </si>
  <si>
    <t>100331</t>
  </si>
  <si>
    <t>AMO LEMON 200ML</t>
  </si>
  <si>
    <t>100333</t>
  </si>
  <si>
    <t>AMO STW 200ML</t>
  </si>
  <si>
    <t>100334</t>
  </si>
  <si>
    <t>AMO SPARKLING ORANGE 200ML</t>
  </si>
  <si>
    <t>100335</t>
  </si>
  <si>
    <t>AMO SPARKLING GRAPE 200ML</t>
  </si>
  <si>
    <t>100450</t>
  </si>
  <si>
    <t>AMO STW 330ML</t>
  </si>
  <si>
    <t>100448</t>
  </si>
  <si>
    <t>AMO LEMON 330ML</t>
  </si>
  <si>
    <t>SERENA</t>
  </si>
  <si>
    <t>100342</t>
  </si>
  <si>
    <t>LEMONIA ORI 1000</t>
  </si>
  <si>
    <t>100343</t>
  </si>
  <si>
    <t>LEMONIA COKLAT 1000</t>
  </si>
  <si>
    <t>100344</t>
  </si>
  <si>
    <t>KLIK 1000</t>
  </si>
  <si>
    <t>100359</t>
  </si>
  <si>
    <t>SALTCHEESE 1000</t>
  </si>
  <si>
    <t>100384</t>
  </si>
  <si>
    <t>MALKIST ABON SAPI</t>
  </si>
  <si>
    <t>100385</t>
  </si>
  <si>
    <t>MALKIST CRACKERS</t>
  </si>
  <si>
    <t>100480</t>
  </si>
  <si>
    <t>SUPERCO</t>
  </si>
  <si>
    <t>SIANTAR TOP</t>
  </si>
  <si>
    <t>100214</t>
  </si>
  <si>
    <t>TIC TIC BAWANG CBP 2000</t>
  </si>
  <si>
    <t>100266</t>
  </si>
  <si>
    <t>SPIX MIE GORENG 500</t>
  </si>
  <si>
    <t>100293</t>
  </si>
  <si>
    <t>GO POTATO 500</t>
  </si>
  <si>
    <t>100302</t>
  </si>
  <si>
    <t>GEMEZ ENAK SPICY 1000</t>
  </si>
  <si>
    <t>100213</t>
  </si>
  <si>
    <t>TIC TIC BAWANG SAMBAL COLEK 2000</t>
  </si>
  <si>
    <t>100222</t>
  </si>
  <si>
    <t>TIC TIC SPICY GARLIC 2000</t>
  </si>
  <si>
    <t>100312</t>
  </si>
  <si>
    <t>SPIX MIE GORENG 1000 RENCENG</t>
  </si>
  <si>
    <t>100308</t>
  </si>
  <si>
    <t>GEMEZ ENAK 1000 RENCENG</t>
  </si>
  <si>
    <t>100244</t>
  </si>
  <si>
    <t>TIC TIC MIE 500</t>
  </si>
  <si>
    <t>100217</t>
  </si>
  <si>
    <t>MISTER KENTANG GORENG CBP 2000</t>
  </si>
  <si>
    <t>100216</t>
  </si>
  <si>
    <t>NN0065</t>
  </si>
  <si>
    <t>100215</t>
  </si>
  <si>
    <t>NN0012</t>
  </si>
  <si>
    <t>100245</t>
  </si>
  <si>
    <t>KETAGI 2000</t>
  </si>
  <si>
    <t>100253</t>
  </si>
  <si>
    <t>GO RIO COKLAT 500</t>
  </si>
  <si>
    <t>100254</t>
  </si>
  <si>
    <t>GO RIO VANILA 500</t>
  </si>
  <si>
    <t>100255</t>
  </si>
  <si>
    <t>NORI SAKU ORIGINAL 2000</t>
  </si>
  <si>
    <t>100265</t>
  </si>
  <si>
    <t>NORI SAKU SPICY 2000</t>
  </si>
  <si>
    <t>100313</t>
  </si>
  <si>
    <t>GO RIO COKLAT 1000</t>
  </si>
  <si>
    <t>100311</t>
  </si>
  <si>
    <t>SPIX SOBA KENTANG BBQ 1000 RENCENG</t>
  </si>
  <si>
    <t>100314</t>
  </si>
  <si>
    <t>GO RIO VANILLA 1000</t>
  </si>
  <si>
    <t>Halaman 11</t>
  </si>
  <si>
    <t>100309</t>
  </si>
  <si>
    <t>SPIX SOBA BALADO 1000 RENCENG</t>
  </si>
  <si>
    <t>100276</t>
  </si>
  <si>
    <t>NN0066</t>
  </si>
  <si>
    <t>100231</t>
  </si>
  <si>
    <t>NN0067</t>
  </si>
  <si>
    <t>100307</t>
  </si>
  <si>
    <t>NN0068</t>
  </si>
  <si>
    <t>100310</t>
  </si>
  <si>
    <t>SPIX SOBA AYAM BAKAR 1000 RENCENG</t>
  </si>
  <si>
    <t>100533</t>
  </si>
  <si>
    <t>TIC TIC BAWANG 70GR</t>
  </si>
  <si>
    <t>100534</t>
  </si>
  <si>
    <t>TWISTKO ROASTED CORN 70GR</t>
  </si>
  <si>
    <t>100536</t>
  </si>
  <si>
    <t>FRENCH FRIES 68GR</t>
  </si>
  <si>
    <t>100540</t>
  </si>
  <si>
    <t>FRENCH FRIES 62GR</t>
  </si>
  <si>
    <t>100541</t>
  </si>
  <si>
    <t>FRENCH FRIES 28GR</t>
  </si>
  <si>
    <t>SOBASO</t>
  </si>
  <si>
    <t>100473</t>
  </si>
  <si>
    <t>BAWANG PUTIH SOBASO</t>
  </si>
  <si>
    <t>100527</t>
  </si>
  <si>
    <t>TP PENGENYAL EMULSIFER 32GR</t>
  </si>
  <si>
    <t>100530</t>
  </si>
  <si>
    <t>SAOS SAMBAL PEPELEGI 500ML</t>
  </si>
  <si>
    <t>100460</t>
  </si>
  <si>
    <t>MSG SOBASO 15GR</t>
  </si>
  <si>
    <t>100461</t>
  </si>
  <si>
    <t>MSG SOBASO 250GR</t>
  </si>
  <si>
    <t>100458</t>
  </si>
  <si>
    <t>MSG SOBASO 5000</t>
  </si>
  <si>
    <t>100474</t>
  </si>
  <si>
    <t>MAIZENA 200GR</t>
  </si>
  <si>
    <t>100479</t>
  </si>
  <si>
    <t>KUAH SUM SUM 65GR</t>
  </si>
  <si>
    <t>100554</t>
  </si>
  <si>
    <t>TEPUNG ADONAN SAPI SOBASO 125GR</t>
  </si>
  <si>
    <t>100459</t>
  </si>
  <si>
    <t>SOBASO SAOS SAMBAL 620ML</t>
  </si>
  <si>
    <t>100471</t>
  </si>
  <si>
    <t>MERICA SILIWANGI 2GR</t>
  </si>
  <si>
    <t>100475</t>
  </si>
  <si>
    <t>PATI SAGU MERAH 500GR</t>
  </si>
  <si>
    <t>100476</t>
  </si>
  <si>
    <t>SOBASO SAOS TOMAT 620ML</t>
  </si>
  <si>
    <t>100477</t>
  </si>
  <si>
    <t>KUAH BAKSO 8GR</t>
  </si>
  <si>
    <t>100478</t>
  </si>
  <si>
    <t>KUAH BAKSO 65GR</t>
  </si>
  <si>
    <t>100472</t>
  </si>
  <si>
    <t>SOBASO MERICA BUBUK 5GR</t>
  </si>
  <si>
    <t>100528</t>
  </si>
  <si>
    <t>TP PERENYAH PLUS 20GR</t>
  </si>
  <si>
    <t>100514</t>
  </si>
  <si>
    <t>KUAH SUM SUM SAPI SOBASO 65GR</t>
  </si>
  <si>
    <t>100529</t>
  </si>
  <si>
    <t>TEPUNG ADONAN SAPI 250GR</t>
  </si>
  <si>
    <t>100516</t>
  </si>
  <si>
    <t>TEPUNG ADONAN PRAKTIS 500GR</t>
  </si>
  <si>
    <t>100515</t>
  </si>
  <si>
    <t>TEPUNG ADONAN BAKSO 125GR</t>
  </si>
  <si>
    <t>100531</t>
  </si>
  <si>
    <t>SAOS SAMBAL SILIHWANGI 500GR</t>
  </si>
  <si>
    <t>100543</t>
  </si>
  <si>
    <t>KUAH SUM SUM 8GR</t>
  </si>
  <si>
    <t>100550</t>
  </si>
  <si>
    <t>TEPUNG ADONAN BAKSO NYAKRES 250GR</t>
  </si>
  <si>
    <t>Halaman 12</t>
  </si>
  <si>
    <t>100551</t>
  </si>
  <si>
    <t>TEPUNG ADONAN BAKSO IGA BAKAR 250GR</t>
  </si>
  <si>
    <t>100512</t>
  </si>
  <si>
    <t>100513</t>
  </si>
  <si>
    <t>100553</t>
  </si>
  <si>
    <t>TEPUNG ADONAN KOTA SOLO 125GR</t>
  </si>
  <si>
    <t>100552</t>
  </si>
  <si>
    <t>TEPUNG ADONAN KOTA MALANG 250GR</t>
  </si>
  <si>
    <t>TEH SEMESTA</t>
  </si>
  <si>
    <t>100557</t>
  </si>
  <si>
    <t>TEH SEMESTA 255ML</t>
  </si>
  <si>
    <t>TERASI JEMPOL</t>
  </si>
  <si>
    <t>100462</t>
  </si>
  <si>
    <t>TERASI CAP JEMPOL 4,5GR</t>
  </si>
  <si>
    <t>TOBELO</t>
  </si>
  <si>
    <t>100586</t>
  </si>
  <si>
    <t>TOBELO POP KRESS MIX</t>
  </si>
  <si>
    <t>100587</t>
  </si>
  <si>
    <t>TOBELO CHOCO TOSS</t>
  </si>
  <si>
    <t>100588</t>
  </si>
  <si>
    <t>TOBELO MOONLIGHT (BAG)</t>
  </si>
  <si>
    <t>100590</t>
  </si>
  <si>
    <t>TOBELO LOLLY COKLAT</t>
  </si>
  <si>
    <t>100589</t>
  </si>
  <si>
    <t>TOBELO LONG STICK JAR</t>
  </si>
  <si>
    <t>100591</t>
  </si>
  <si>
    <t>TOBELO LOLLY MANGGA</t>
  </si>
  <si>
    <t>100592</t>
  </si>
  <si>
    <t>TOBELO LOLLY STRAWBERRY</t>
  </si>
  <si>
    <t>TOP TIME</t>
  </si>
  <si>
    <t>100519</t>
  </si>
  <si>
    <t>JAGUNG JUMBO AYAM BAKAR 120</t>
  </si>
  <si>
    <t>100521</t>
  </si>
  <si>
    <t>WAFER ROLLS COKLAT 120</t>
  </si>
  <si>
    <t>100524</t>
  </si>
  <si>
    <t>WAFER MIX 120</t>
  </si>
  <si>
    <t>100518</t>
  </si>
  <si>
    <t>JAGUNG JUMBO 120</t>
  </si>
  <si>
    <t>100523</t>
  </si>
  <si>
    <t>WAFER ROLLS STRAWBERRY 120</t>
  </si>
  <si>
    <t>100522</t>
  </si>
  <si>
    <t>WAFER ROLLS PANDAN 120</t>
  </si>
  <si>
    <t>100520</t>
  </si>
  <si>
    <t>MIE GORENG TOP TIME 120</t>
  </si>
  <si>
    <t>100525</t>
  </si>
  <si>
    <t>NORI KING ORIGINAL</t>
  </si>
  <si>
    <t>100526</t>
  </si>
  <si>
    <t>NORI KING PEDAS</t>
  </si>
  <si>
    <t>Umum/No Name</t>
  </si>
  <si>
    <t>100574</t>
  </si>
  <si>
    <t>SMAX PARTY CHEESE FLAVOR 100GR 30X10</t>
  </si>
  <si>
    <t>100251</t>
  </si>
  <si>
    <t>NN000005</t>
  </si>
  <si>
    <t>100437</t>
  </si>
  <si>
    <t>100436</t>
  </si>
  <si>
    <t>NN 0006</t>
  </si>
  <si>
    <t>100435</t>
  </si>
  <si>
    <t>NN 000999</t>
  </si>
  <si>
    <t>100567</t>
  </si>
  <si>
    <t>NN0017</t>
  </si>
  <si>
    <t>100565</t>
  </si>
  <si>
    <t>NN 0099911</t>
  </si>
  <si>
    <t>100438</t>
  </si>
  <si>
    <t>100566</t>
  </si>
  <si>
    <t>100126</t>
  </si>
  <si>
    <t>N/A59</t>
  </si>
  <si>
    <t>Halaman 13</t>
  </si>
  <si>
    <t>100019</t>
  </si>
  <si>
    <t>N/A34</t>
  </si>
  <si>
    <t>100048</t>
  </si>
  <si>
    <t>N/A12</t>
  </si>
  <si>
    <t>100008</t>
  </si>
  <si>
    <t>N/A43</t>
  </si>
  <si>
    <t>100052</t>
  </si>
  <si>
    <t>N/A44</t>
  </si>
  <si>
    <t>100028</t>
  </si>
  <si>
    <t>N/A45</t>
  </si>
  <si>
    <t>100033</t>
  </si>
  <si>
    <t>N/A49</t>
  </si>
  <si>
    <t>100074</t>
  </si>
  <si>
    <t>N/A46</t>
  </si>
  <si>
    <t>100049</t>
  </si>
  <si>
    <t>N/A11</t>
  </si>
  <si>
    <t>100047</t>
  </si>
  <si>
    <t>N/A13</t>
  </si>
  <si>
    <t>100046</t>
  </si>
  <si>
    <t>N/A14</t>
  </si>
  <si>
    <t>100121</t>
  </si>
  <si>
    <t>N/A15</t>
  </si>
  <si>
    <t>100131</t>
  </si>
  <si>
    <t>N/A2</t>
  </si>
  <si>
    <t>100022</t>
  </si>
  <si>
    <t>N/A20</t>
  </si>
  <si>
    <t>100021</t>
  </si>
  <si>
    <t>N/A21</t>
  </si>
  <si>
    <t>100051</t>
  </si>
  <si>
    <t>N/A22</t>
  </si>
  <si>
    <t>100050</t>
  </si>
  <si>
    <t>N/A25</t>
  </si>
  <si>
    <t>100054</t>
  </si>
  <si>
    <t>N/A27</t>
  </si>
  <si>
    <t>100036</t>
  </si>
  <si>
    <t>N/A52</t>
  </si>
  <si>
    <t>100011</t>
  </si>
  <si>
    <t>N/A30</t>
  </si>
  <si>
    <t>100069</t>
  </si>
  <si>
    <t>N/A38</t>
  </si>
  <si>
    <t>100122</t>
  </si>
  <si>
    <t>N/A16</t>
  </si>
  <si>
    <t>100087</t>
  </si>
  <si>
    <t>N/A24</t>
  </si>
  <si>
    <t>100086</t>
  </si>
  <si>
    <t>N/A26</t>
  </si>
  <si>
    <t>100075</t>
  </si>
  <si>
    <t>N/A61</t>
  </si>
  <si>
    <t>100063</t>
  </si>
  <si>
    <t>N/A35</t>
  </si>
  <si>
    <t>100062</t>
  </si>
  <si>
    <t>N/A36</t>
  </si>
  <si>
    <t>100070</t>
  </si>
  <si>
    <t>N/A37</t>
  </si>
  <si>
    <t>100068</t>
  </si>
  <si>
    <t>N/A39</t>
  </si>
  <si>
    <t>100071</t>
  </si>
  <si>
    <t>N/A40</t>
  </si>
  <si>
    <t>100080</t>
  </si>
  <si>
    <t>N/A41</t>
  </si>
  <si>
    <t>100065</t>
  </si>
  <si>
    <t>N/A42</t>
  </si>
  <si>
    <t>100072</t>
  </si>
  <si>
    <t>N/A47</t>
  </si>
  <si>
    <t>100079</t>
  </si>
  <si>
    <t>N/A48</t>
  </si>
  <si>
    <t>100077</t>
  </si>
  <si>
    <t>N/A50</t>
  </si>
  <si>
    <t>100076</t>
  </si>
  <si>
    <t>N/A51</t>
  </si>
  <si>
    <t>100085</t>
  </si>
  <si>
    <t>N/A55</t>
  </si>
  <si>
    <t>100083</t>
  </si>
  <si>
    <t>N/A56</t>
  </si>
  <si>
    <t>100082</t>
  </si>
  <si>
    <t>N/A57</t>
  </si>
  <si>
    <t>100096</t>
  </si>
  <si>
    <t>N/A62</t>
  </si>
  <si>
    <t>100097</t>
  </si>
  <si>
    <t>N/A63</t>
  </si>
  <si>
    <t>100095</t>
  </si>
  <si>
    <t>N/A58</t>
  </si>
  <si>
    <t>100124</t>
  </si>
  <si>
    <t>N/A18</t>
  </si>
  <si>
    <t>Halaman 14</t>
  </si>
  <si>
    <t>100133</t>
  </si>
  <si>
    <t>N/A7</t>
  </si>
  <si>
    <t>100135</t>
  </si>
  <si>
    <t>N/A8</t>
  </si>
  <si>
    <t>100125</t>
  </si>
  <si>
    <t>N/A19</t>
  </si>
  <si>
    <t>100127</t>
  </si>
  <si>
    <t>N/A3</t>
  </si>
  <si>
    <t>100057</t>
  </si>
  <si>
    <t>N/A32</t>
  </si>
  <si>
    <t>100129</t>
  </si>
  <si>
    <t>N/A4</t>
  </si>
  <si>
    <t>100128</t>
  </si>
  <si>
    <t>N/A5</t>
  </si>
  <si>
    <t>100132</t>
  </si>
  <si>
    <t>N/A6</t>
  </si>
  <si>
    <t>100134</t>
  </si>
  <si>
    <t>N/A9</t>
  </si>
  <si>
    <t>100098</t>
  </si>
  <si>
    <t>N/A64</t>
  </si>
  <si>
    <t>100010</t>
  </si>
  <si>
    <t>N/A31</t>
  </si>
  <si>
    <t>100123</t>
  </si>
  <si>
    <t>N/A17</t>
  </si>
  <si>
    <t>100099</t>
  </si>
  <si>
    <t>N/A33</t>
  </si>
  <si>
    <t>100084</t>
  </si>
  <si>
    <t>N/A53</t>
  </si>
  <si>
    <t>100094</t>
  </si>
  <si>
    <t>N/A54</t>
  </si>
  <si>
    <t>100130</t>
  </si>
  <si>
    <t>N/A1</t>
  </si>
  <si>
    <t>100373</t>
  </si>
  <si>
    <t>100361</t>
  </si>
  <si>
    <t>NN100</t>
  </si>
  <si>
    <t>100451</t>
  </si>
  <si>
    <t>AMO COLA 330ML</t>
  </si>
  <si>
    <t>100481</t>
  </si>
  <si>
    <t>LUCKY STICK FAMILY PACK CHOCO 120GR</t>
  </si>
  <si>
    <t>100482</t>
  </si>
  <si>
    <t>LUCKY STICK FAMILY PACK STRAW 120GR</t>
  </si>
  <si>
    <t>100508</t>
  </si>
  <si>
    <t>BIG SHEET- GARLIC MAYO 3.2 GR</t>
  </si>
  <si>
    <t>100499</t>
  </si>
  <si>
    <t>BIG SHEET-CLASSIC FLAVOUR 3.2 GR</t>
  </si>
  <si>
    <t>100500</t>
  </si>
  <si>
    <t>BIG SHEET-HOT &amp; SPICY FLAVOUR 3.2 GR</t>
  </si>
  <si>
    <t>100501</t>
  </si>
  <si>
    <t>BIG SHEET-JAPANESE SAUCE FLAVOUR 3.2 GR</t>
  </si>
  <si>
    <t>100502</t>
  </si>
  <si>
    <t>CRISPY SEAWEED ORIGINAL FLAVOUR 32 GR</t>
  </si>
  <si>
    <t>100503</t>
  </si>
  <si>
    <t>CRISPY SEAWEED HOT &amp; SPICY FLAVOUR 32 GR</t>
  </si>
  <si>
    <t>100504</t>
  </si>
  <si>
    <t>BIG ROLL CLASSIC FLAVOUR 3 GR</t>
  </si>
  <si>
    <t>100505</t>
  </si>
  <si>
    <t>BIG ROLL HOT &amp; SPICY FLAVOUR 3 GR</t>
  </si>
  <si>
    <t>100506</t>
  </si>
  <si>
    <t>BIG ROLL GRILLED SQUID FLAVOUR 3 GR</t>
  </si>
  <si>
    <t>100507</t>
  </si>
  <si>
    <t>BIG SHEET-GARLIC MAYO 3.2 GR</t>
  </si>
  <si>
    <t>100509</t>
  </si>
  <si>
    <t>CRISPY SEAWEED JAPANESE FLAVOUR 32GR</t>
  </si>
  <si>
    <t>100510</t>
  </si>
  <si>
    <t>CRISPY SEAWEED SEAFOOD FLAVOUR 32GR</t>
  </si>
  <si>
    <t>Halaman 15</t>
  </si>
  <si>
    <t>100532</t>
  </si>
  <si>
    <t>TWISKO PREMIUM ROASTED CORN CHEESE 70GRx20</t>
  </si>
  <si>
    <t>100555</t>
  </si>
  <si>
    <t>NN S</t>
  </si>
  <si>
    <t>WANT-WANT</t>
  </si>
  <si>
    <t>100593</t>
  </si>
  <si>
    <t>RICE POP ORIGINAL 15GR</t>
  </si>
  <si>
    <t>100595</t>
  </si>
  <si>
    <t>RICE POP ORIGINAL 30GR</t>
  </si>
  <si>
    <t>100596</t>
  </si>
  <si>
    <t>RICE POP BBQ 30GR</t>
  </si>
  <si>
    <t>100598</t>
  </si>
  <si>
    <t>O PAO ORIGINAL 125ML</t>
  </si>
  <si>
    <t>100599</t>
  </si>
  <si>
    <t>O PAO STRWABERRY 125ML</t>
  </si>
  <si>
    <t>100600</t>
  </si>
  <si>
    <t>O PAO YOGHURT DRINK 125ML</t>
  </si>
  <si>
    <t>100601</t>
  </si>
  <si>
    <t>NEW SENBEI 56GR</t>
  </si>
  <si>
    <t>100597</t>
  </si>
  <si>
    <t>RICE POP SAPI PANGGANG 30GR</t>
  </si>
  <si>
    <t>100602</t>
  </si>
  <si>
    <t>NEW SNOWY SENBEI 96GR</t>
  </si>
  <si>
    <t>100594</t>
  </si>
  <si>
    <t>RICE POP SAPI PANGGANG 15GR</t>
  </si>
  <si>
    <t>Halaman 16</t>
  </si>
  <si>
    <t>HELLO PANDA CHOCO 42 GR</t>
  </si>
  <si>
    <t>HELLO PANDA STRAW 42 GR</t>
  </si>
  <si>
    <t>HELLO PANDA COOKIES &amp; CREAM 42 GR</t>
  </si>
  <si>
    <t>HELLO PANDA CARAMEL 42 GR</t>
  </si>
  <si>
    <t>HELLO PANDA DOUBLE CHOCO 42 GR</t>
  </si>
  <si>
    <t>HELLO PANDA CHOCO 25 GR</t>
  </si>
  <si>
    <t>HELLO PANDA STRAW 25 GR</t>
  </si>
  <si>
    <t>HELLO PANDA COOKIES &amp; CREAM 25 GR</t>
  </si>
  <si>
    <t>HELLO PANDA MILK 25 GR</t>
  </si>
  <si>
    <t>HELO PANDA CARAMEL 25 GR</t>
  </si>
  <si>
    <t>HELLO PANDA STICK CHOC 20 GR</t>
  </si>
  <si>
    <t>HELLO PANDA STICK STRAW 20GR</t>
  </si>
  <si>
    <t>HELLO PANDA DIP DIP CHOC 20 GR</t>
  </si>
  <si>
    <t>HELLO PANDA DIP DIP STRAW 20 GR</t>
  </si>
  <si>
    <t>MJ YAN YAN STRAW 30 GR</t>
  </si>
  <si>
    <t>LUCKY STICK FAMILLY PACK CHOCO 120 G</t>
  </si>
  <si>
    <t>LUCKY STICK FAMILLY PACK STRAW 120 G</t>
  </si>
  <si>
    <t>LUCKY STICK</t>
  </si>
  <si>
    <t>PT01</t>
  </si>
  <si>
    <t>POTAKREZ AYAM GEPREK 10 X 10</t>
  </si>
  <si>
    <t>PT02</t>
  </si>
  <si>
    <t>POTAKREZ RUMPUT LAUT 10 X 10</t>
  </si>
  <si>
    <t>PT03</t>
  </si>
  <si>
    <t>POTAKREZ SAPI PANGGANG 10 X 10</t>
  </si>
  <si>
    <t>PT05</t>
  </si>
  <si>
    <t>POTAKREZ SPICY BEEF 10 X 10</t>
  </si>
  <si>
    <t>POTAKREZ</t>
  </si>
  <si>
    <t>RPK-008</t>
  </si>
  <si>
    <t>POTAKREZ AYAM GEPREK 10 X 10 RENCENG</t>
  </si>
  <si>
    <t>RPK-009</t>
  </si>
  <si>
    <t>POTAKREZ SPICY BEEF 10 x 10 RENCENG</t>
  </si>
  <si>
    <t>RPK-010</t>
  </si>
  <si>
    <t>POTAKREZ RUMPUT LAUT 10 X 10 RENCENG</t>
  </si>
  <si>
    <t>RPK-011</t>
  </si>
  <si>
    <t>POTAKREZ SAPI PANGGANG 10 X 10 RENCENG</t>
  </si>
  <si>
    <t>PQ01</t>
  </si>
  <si>
    <t>POTATO-Q KOREAN BBQ 5x10</t>
  </si>
  <si>
    <t>PQ02</t>
  </si>
  <si>
    <t>POTATO-Q RUMPUT LAUT 5x10</t>
  </si>
  <si>
    <t>PTQ004</t>
  </si>
  <si>
    <t>POTATO-Q SAMBAL DAUN JERUK 5x10</t>
  </si>
  <si>
    <t>PQ03</t>
  </si>
  <si>
    <t>POTATO-Q SOSIS JUMBO MEKSIKO 5x10</t>
  </si>
  <si>
    <t>PTQ005</t>
  </si>
  <si>
    <t>POTATO-Q PEDAS MANIS 5x10</t>
  </si>
  <si>
    <t>PTQ006</t>
  </si>
  <si>
    <t>POTATO-Q AYAM BAWANG 5x10</t>
  </si>
  <si>
    <t>KK01</t>
  </si>
  <si>
    <t>KIKOYA BARBEQUE 10X10</t>
  </si>
  <si>
    <t>KK02</t>
  </si>
  <si>
    <t>KIKOYA RUMPUT LAUT 10X10</t>
  </si>
  <si>
    <t>KK03</t>
  </si>
  <si>
    <t>KIKOYA SAMBAL BALADO 10X10</t>
  </si>
  <si>
    <t>KK04</t>
  </si>
  <si>
    <t>KIKOYA SAPI PANGGANG 10X10</t>
  </si>
  <si>
    <t>KK05</t>
  </si>
  <si>
    <t>KIKOYA SEBLAK SUNDA 10X10</t>
  </si>
  <si>
    <t>KK06</t>
  </si>
  <si>
    <t>KIKOYA TELUR ASIN 10X10</t>
  </si>
  <si>
    <t>PT. HOLYLAND FOOD INDONESIA</t>
  </si>
  <si>
    <t>KIKOYA</t>
  </si>
  <si>
    <t>POTAKREZ 10X10</t>
  </si>
  <si>
    <t>POTATO-Q 5X10</t>
  </si>
  <si>
    <t>POTATO-Q 5X11</t>
  </si>
  <si>
    <t>POTATO-Q 5X12</t>
  </si>
  <si>
    <t>POTATO-Q 5X13</t>
  </si>
  <si>
    <t>POTATO-Q 5X14</t>
  </si>
  <si>
    <t>POTATO-Q 5X15</t>
  </si>
  <si>
    <t>KIKOYA 10X10</t>
  </si>
  <si>
    <t>GT POTATO-Q KOREAN BBQ 50GR - POUCH</t>
  </si>
  <si>
    <t>KPQ-001</t>
  </si>
  <si>
    <t>GT POTATO-Q RUMPUT LAUT 50GR - POUCH</t>
  </si>
  <si>
    <t>KPQ-002</t>
  </si>
  <si>
    <t>GT POTATO-Q SOSIS JUMBO MEKSIKO 50GR - POUCH</t>
  </si>
  <si>
    <t>POTATO-Q- POUCH</t>
  </si>
  <si>
    <t>75g Mini Puri Puri Jelly-5pack</t>
  </si>
  <si>
    <t>75g Mini Zuru Zuru PannaCotta-5pack</t>
  </si>
  <si>
    <t>6kg Mini Puri Puri Jelly</t>
  </si>
  <si>
    <t>6kg Mini Zuru Zuru PannaCotta</t>
  </si>
  <si>
    <t>JELLY 7COSIA</t>
  </si>
  <si>
    <t>PT. COTG SUKSES MAKMUR</t>
  </si>
  <si>
    <t>82mL Lollipop lce 12 pack</t>
  </si>
  <si>
    <t>100102024002</t>
  </si>
  <si>
    <t>POKKA JASMINE GREEN TEA 24x300ML</t>
  </si>
  <si>
    <t>POKKA</t>
  </si>
  <si>
    <t>202914006004</t>
  </si>
  <si>
    <t>NEW RICEPOP ORIGINAL FLAVOR 6x15G (RICE CRACKER)</t>
  </si>
  <si>
    <t>WANTWANT</t>
  </si>
  <si>
    <t>202914006006</t>
  </si>
  <si>
    <t>NEW RICEPOP ROASTED BEEF FLAVOR 6x15G (RICE CRACKER)</t>
  </si>
  <si>
    <t>202914020004</t>
  </si>
  <si>
    <t>NEW SENBEI ORIGINAL FLAVOR 20x56GR</t>
  </si>
  <si>
    <t>202914020005</t>
  </si>
  <si>
    <t>NEW SNOWY SENBEI ORIGINAL FLAVOR 20x96GR</t>
  </si>
  <si>
    <t>202914032001</t>
  </si>
  <si>
    <t>RICEPOP ORIGINAL FLAVOR 4x8x30G (RICE CRACKER)</t>
  </si>
  <si>
    <t>202914032002</t>
  </si>
  <si>
    <t>RICEPOP BARBEQUE FLAVOR 4x8x30G (RICE CRACKER)</t>
  </si>
  <si>
    <t>202914032003</t>
  </si>
  <si>
    <t>RICEPOP ROASTED BEEF FLAVOR 4x8x30G (RICE CRACKER)</t>
  </si>
  <si>
    <t>202914036001</t>
  </si>
  <si>
    <t>O PAO ORIGINAL FLAVOR 9x4x125ML</t>
  </si>
  <si>
    <t>202914036002</t>
  </si>
  <si>
    <t>O PAO STRAWBERRY FLAVOR 9x4x125ML</t>
  </si>
  <si>
    <t>202931036001</t>
  </si>
  <si>
    <t>YOGURT DRINK ORIGINAL FLAVOUR 9x4x125ML</t>
  </si>
  <si>
    <t xml:space="preserve">PT. DIMA ESHAM </t>
  </si>
  <si>
    <t>MIGI WAFER COKLAT (16x10)</t>
  </si>
  <si>
    <t>MIGI WAFER VAN COK (16x10)</t>
  </si>
  <si>
    <t>MIGI WAFER STW VAN (16x10)</t>
  </si>
  <si>
    <t>MOMOGI STICK CAPPUCINO 12 IN</t>
  </si>
  <si>
    <t>MOMOGI STICK COKLAT 12 IN</t>
  </si>
  <si>
    <t>MOMOGI STICK FRUTTY 12 IN</t>
  </si>
  <si>
    <t>MOMOGI STICK JG BAKAR 12 IN</t>
  </si>
  <si>
    <t>MOMOGI STICK KEJU 12 IN</t>
  </si>
  <si>
    <t>PT SUKSES MAKUR JAYA</t>
  </si>
  <si>
    <t>SARI MURNI</t>
  </si>
  <si>
    <t>CB CHN 16 R- SNACK CHIKI BALLS CH</t>
  </si>
  <si>
    <t>CB CHO 16 R- SNACK CHIKI BALLS CH</t>
  </si>
  <si>
    <t>JSW CHF 18 R+1 SNACK JETZ SWEET</t>
  </si>
  <si>
    <t>CBCHE16R- SNACK CHIKI BALLS CHE</t>
  </si>
  <si>
    <t>CHT ROCC22,5 R- SNACK CHIKI TWIST ROC</t>
  </si>
  <si>
    <t>CTL NOS 14G R-SNACK CHITATO LITE NOS</t>
  </si>
  <si>
    <t>CTBEB15REN-SNACK CHITATO BEB</t>
  </si>
  <si>
    <t xml:space="preserve">QTS BBQ 20G R-SNACK QTELA BBQ2 </t>
  </si>
  <si>
    <t>PT. INDOMARCO ADI PRIMA</t>
  </si>
  <si>
    <t>INMKSAP-SHORR MP GT 16GR AYAM PANGGANG</t>
  </si>
  <si>
    <t>INMKSKM- SHORR MP GT 16GR KEJU MANIS</t>
  </si>
  <si>
    <t>INMKSHC-SHORR MP GT 16GR SAMBAL BALADO</t>
  </si>
  <si>
    <t>TARO NET SP 17GR POTATO BARBEQUE</t>
  </si>
  <si>
    <t>TARO NET SP 17GR SEAWEED</t>
  </si>
  <si>
    <t>TARO NET SP 8GR SEAWEED</t>
  </si>
  <si>
    <t>TARO NEY MP 32GR SEAWEED</t>
  </si>
  <si>
    <t>PT. FKS PANGAN NUSANTARA</t>
  </si>
  <si>
    <t>DESAKU KETUMBAR BUBUK 8PX2RX12</t>
  </si>
  <si>
    <t>DESAKU KUNYIT BUBUK 18PX2RX12</t>
  </si>
  <si>
    <t>DESAKU MARINASI 36PX1RX12</t>
  </si>
  <si>
    <t>DESAKU BAWANG PUTIH 8PX2RX12</t>
  </si>
  <si>
    <t>LADAKU SACHET 8PX6RX12</t>
  </si>
  <si>
    <t>DESAKU KARI NUSANTARA 12PX1PX10</t>
  </si>
  <si>
    <t xml:space="preserve">DESAKU CABE BUBUK </t>
  </si>
  <si>
    <t>DESAKU BALADO 12PX1PX10</t>
  </si>
  <si>
    <t>DESAKU OPOR 12PX1PX10</t>
  </si>
  <si>
    <t>MIE GEMEZ ENAAK AYAM KECAP CBP 1000@80PCS</t>
  </si>
  <si>
    <t>MIE GEMEZ ENAAK AYAM SPICY CBP 1000@80PCS</t>
  </si>
  <si>
    <t>SPIX MIE GORENG SAMBAL BALADO @80PCS (4BAL)</t>
  </si>
  <si>
    <t>SPIX MIE GORENG SAMBAL BALADO CBP 1000 @80P</t>
  </si>
  <si>
    <t>MISTER KENTANG GORENG CBP 2000 @40PCS (4RT</t>
  </si>
  <si>
    <t>TIC TIC BAWANG SAMBAL COLEK CBP 2000 @40PCS</t>
  </si>
  <si>
    <t>TIC TIC SPICY GARLIC CBP 2000 @40PCS (4RTG@10</t>
  </si>
  <si>
    <t>TIC TIC BAWANG CBP 2000 @40PCS (4RTG @10PCS )</t>
  </si>
  <si>
    <t>PT. SEMESTANUSTRA DISTRINDO</t>
  </si>
  <si>
    <t>SIBOLI</t>
  </si>
  <si>
    <t>SANTANPAS</t>
  </si>
  <si>
    <t>RIJAU</t>
  </si>
  <si>
    <t>KOPKEN</t>
  </si>
  <si>
    <t>SIBOLI UBI BAKAR</t>
  </si>
  <si>
    <t>SIBOLI ORIGINAL</t>
  </si>
  <si>
    <t>UMBIS</t>
  </si>
  <si>
    <t>BMG SEMARANG</t>
  </si>
  <si>
    <t xml:space="preserve">SANTANPAS </t>
  </si>
  <si>
    <t>KOKITOP</t>
  </si>
  <si>
    <t>CV BERKAH TRITUNGGAL ABADI</t>
  </si>
  <si>
    <t>KODE PRODUK NEW SISTEM</t>
  </si>
  <si>
    <t>Kategori Barang (SKU)</t>
  </si>
  <si>
    <t>ID STATUS PRINCIPLE</t>
  </si>
  <si>
    <t>ID Status Principle</t>
  </si>
  <si>
    <t>ID SATUAN</t>
  </si>
  <si>
    <t>Karung</t>
  </si>
  <si>
    <t>Carton</t>
  </si>
  <si>
    <t>Pack</t>
  </si>
  <si>
    <t>Box</t>
  </si>
  <si>
    <t>Toples</t>
  </si>
  <si>
    <t>Ball</t>
  </si>
  <si>
    <t>In Caton</t>
  </si>
  <si>
    <t>In Pack</t>
  </si>
  <si>
    <t>Pcs</t>
  </si>
  <si>
    <t>In Pcs</t>
  </si>
  <si>
    <t>In Renceng</t>
  </si>
  <si>
    <t>3 Pack</t>
  </si>
  <si>
    <t>1 Karton</t>
  </si>
  <si>
    <t>2 Karung</t>
  </si>
  <si>
    <t>4 Box</t>
  </si>
  <si>
    <t>5 Toples</t>
  </si>
  <si>
    <t>Hanger</t>
  </si>
  <si>
    <t>6 Hanger</t>
  </si>
  <si>
    <t>7 Ball</t>
  </si>
  <si>
    <t>8 Renceng</t>
  </si>
  <si>
    <t>9 Pcs</t>
  </si>
  <si>
    <t>10 Sachect</t>
  </si>
  <si>
    <t>In Carton</t>
  </si>
  <si>
    <t>SATUAN BESAR</t>
  </si>
  <si>
    <t>SATUAN PECAH</t>
  </si>
  <si>
    <t>LEVEL SATUAN</t>
  </si>
  <si>
    <t>KODE LEVEL SATUAN</t>
  </si>
  <si>
    <t>large</t>
  </si>
  <si>
    <t>small</t>
  </si>
  <si>
    <t>ID LEVEL SATUAN</t>
  </si>
  <si>
    <t>ISI ID SATUAN</t>
  </si>
  <si>
    <t>Botol</t>
  </si>
  <si>
    <t>Sachet</t>
  </si>
  <si>
    <t>ISI SATUAN</t>
  </si>
  <si>
    <t>Channel Distribusi</t>
  </si>
  <si>
    <t>BADAK BOTOL</t>
  </si>
  <si>
    <t>↓↓</t>
  </si>
  <si>
    <t>HARGA JUAL+PPN</t>
  </si>
  <si>
    <t>HARGA BELI (NON PPN)</t>
  </si>
  <si>
    <t>HARGA BELI+PPN</t>
  </si>
  <si>
    <t>HARGA JUAL (NON PPN)</t>
  </si>
  <si>
    <t xml:space="preserve"> STATUS PRINCIPLE :</t>
  </si>
  <si>
    <t>BADAK KALENG</t>
  </si>
  <si>
    <t>POTAKREZ RUMPUT LAUT 10 X 11</t>
  </si>
  <si>
    <t>POTAKREZ RUMPUT LAUT 10 X 12</t>
  </si>
  <si>
    <t>POTAKREZ SAPI PANGGANG 10 X 11</t>
  </si>
  <si>
    <t>POTAKREZ SAPI PANGGANG 10 X 12</t>
  </si>
  <si>
    <t>POTAKREZ SPICY BEEF 10 X 11</t>
  </si>
  <si>
    <t>POTAKREZ SPICY BEEF 10 X 12</t>
  </si>
  <si>
    <t>QTS BBQ 20G R-SNACK QTELA BBQ3</t>
  </si>
  <si>
    <t>QTS BBQ 20G R-SNACK QTELA BBQ4</t>
  </si>
  <si>
    <t>TARO NET MP 32GR SEAWEED</t>
  </si>
  <si>
    <t>MTK4P</t>
  </si>
  <si>
    <t>MT-Kijang 4kp PIPIH</t>
  </si>
  <si>
    <t>PT. SEMI INTAN SEJAHTERA</t>
  </si>
  <si>
    <t>NTK4KB</t>
  </si>
  <si>
    <t>MT-Kijang 4kp BUNDAR</t>
  </si>
  <si>
    <t>MTK20B</t>
  </si>
  <si>
    <t>MT-Kijang 20 pack BUNDAR</t>
  </si>
  <si>
    <t>MTK20P</t>
  </si>
  <si>
    <t>MT-Kijang 20 pack PIPIH</t>
  </si>
  <si>
    <t>BJK4H</t>
  </si>
  <si>
    <t>BJ-Kijang 4 kp (Hijau)</t>
  </si>
  <si>
    <t>BJK4M</t>
  </si>
  <si>
    <t>BJ-Kijang 4 kp (Merah)</t>
  </si>
  <si>
    <t>BJK2K</t>
  </si>
  <si>
    <t>BJ-Kijang 2 kp (Kuning)</t>
  </si>
  <si>
    <t>PT. BUMI CIPTA RASA</t>
  </si>
  <si>
    <t>ORIGU</t>
  </si>
  <si>
    <t>PT. GLOBAL PANGAN ABADI</t>
  </si>
  <si>
    <t>PT. HIMALAYA MITRA SUKSES</t>
  </si>
  <si>
    <t>PT. BUMI TANGERANG COKLAT UTAMA</t>
  </si>
  <si>
    <t>NUTELLA B READY 22GR</t>
  </si>
  <si>
    <t>FERERO</t>
  </si>
  <si>
    <t>KIDSFUN SQUEEZE JELLY YOGHURT FLAVOUR</t>
  </si>
  <si>
    <t>KIDSFUN SQUEEZE JELLY- GRAPE YOGHURT FLAVOUR</t>
  </si>
  <si>
    <t>TRUELOVE POP SQUEEZE JELLY- MIX FRUIT FLAVOUR</t>
  </si>
  <si>
    <t>TRUELOVE POP SQUEEZE JELLY- PEACH FLAVOUR</t>
  </si>
  <si>
    <t>OYSTER SAUCE PANDA SACHET 30GR HANGER</t>
  </si>
  <si>
    <t>MH SAUS GURIH ASAM MANIS 30GR BOX</t>
  </si>
  <si>
    <t>MH SAUS GURIH ASAM MANIS 30GR HANGER</t>
  </si>
  <si>
    <t>OYSTER SAUCE PANDA SACHET 30GR BOX</t>
  </si>
  <si>
    <t>CRISPY SEAWEED BIG SHEET CLASSIC 3.2 GR</t>
  </si>
  <si>
    <t>BIG SHEET CHILI GARLIC MAYO 3.2 G</t>
  </si>
  <si>
    <t>SEASONED LAVER ORIGINAL FLV BOX 1 GR- P</t>
  </si>
  <si>
    <t>SEASONED LAVER TERIYAKI FLV BOX 1 GR- P</t>
  </si>
  <si>
    <t>CRISPY SEAWEED BIG SHEET JAPANESE 3.2 G</t>
  </si>
  <si>
    <t>CRISPY SEAWEED BIG SHEET SPICY 3.2 GR10</t>
  </si>
  <si>
    <t>TAO KAE NOI</t>
  </si>
  <si>
    <t>CRISPY SEAWEED BIG SHEET SPICY 3.2 GR11</t>
  </si>
  <si>
    <t>CRISPY SEAWEED BIG SHEET SPICY 3.2 GR12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</si>
</sst>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(* #,##0_);_(* \(#,##0\);_(* &quot;-&quot;_);_(@_)"/>
    <numFmt numFmtId="43" formatCode="_(* #,##0.00_);_(* \(#,##0.00\);_(* &quot;-&quot;??_);_(@_)"/>
    <numFmt numFmtId="164" formatCode="0.000"/>
    <numFmt numFmtId="165" formatCode="_(* #,##0_);_(* \(#,##0\);_(* &quot;-&quot;??_);_(@_)"/>
  </numFmts>
  <fonts count="29">
    <font>
      <sz val="11"/>
      <color theme="1"/>
      <name val="Calibri"/>
      <family val="2"/>
      <scheme val="minor"/>
    </font>
    <font>
      <b/>
      <sz val="9"/>
      <color rgb="FF003366"/>
      <name val="Arial"/>
      <family val="2"/>
    </font>
    <font>
      <b/>
      <sz val="12"/>
      <color theme="3"/>
      <name val="Arial"/>
      <family val="2"/>
    </font>
    <font>
      <b/>
      <sz val="12"/>
      <name val="Arial"/>
      <family val="2"/>
    </font>
    <font>
      <b/>
      <sz val="11"/>
      <color rgb="FFFF0000"/>
      <name val="Calibri"/>
      <family val="2"/>
      <scheme val="minor"/>
    </font>
    <font>
      <sz val="12"/>
      <color rgb="FF000000"/>
      <name val="Courier"/>
      <family val="2"/>
    </font>
    <font>
      <b/>
      <sz val="18"/>
      <color rgb="FF990033"/>
      <name val="Arial"/>
      <family val="2"/>
    </font>
    <font>
      <sz val="11"/>
      <color rgb="FF000000"/>
      <name val="Courier"/>
      <family val="2"/>
    </font>
    <font>
      <i/>
      <sz val="7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Courier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name val="Calibri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sz val="11"/>
      <color rgb="FFFF0000"/>
      <name val="Arial"/>
      <family val="2"/>
    </font>
    <font>
      <sz val="11"/>
      <name val="Calibri"/>
      <family val="2"/>
      <scheme val="minor"/>
    </font>
    <font>
      <sz val="10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666666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4" fillId="0" borderId="0" applyFont="0" applyFill="0" applyBorder="0" applyAlignment="0" applyProtection="0"/>
    <xf numFmtId="0" fontId="14" fillId="0" borderId="0">
      <alignment vertical="center"/>
    </xf>
    <xf numFmtId="0" fontId="21" fillId="0" borderId="0">
      <alignment vertical="center"/>
    </xf>
  </cellStyleXfs>
  <cellXfs count="236">
    <xf numFmtId="0" fontId="0" fillId="0" borderId="0" xfId="0"/>
    <xf numFmtId="0" fontId="1" fillId="0" borderId="1" xfId="0" applyFont="1" applyBorder="1" applyAlignment="1">
      <alignment horizontal="right" vertical="top"/>
    </xf>
    <xf numFmtId="0" fontId="3" fillId="3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4" fillId="0" borderId="0" xfId="0" applyFont="1"/>
    <xf numFmtId="0" fontId="0" fillId="0" borderId="0" xfId="0" applyAlignment="1" applyProtection="1">
      <alignment wrapText="1"/>
      <protection locked="0"/>
    </xf>
    <xf numFmtId="0" fontId="1" fillId="0" borderId="2" xfId="0" applyFont="1" applyBorder="1" applyAlignment="1">
      <alignment horizontal="left" vertical="top" wrapText="1"/>
    </xf>
    <xf numFmtId="0" fontId="10" fillId="6" borderId="0" xfId="0" applyFont="1" applyFill="1" applyAlignment="1">
      <alignment horizontal="left" vertical="top" wrapText="1"/>
    </xf>
    <xf numFmtId="0" fontId="0" fillId="6" borderId="0" xfId="0" applyFill="1" applyAlignment="1" applyProtection="1">
      <alignment wrapText="1"/>
      <protection locked="0"/>
    </xf>
    <xf numFmtId="0" fontId="10" fillId="0" borderId="0" xfId="0" applyFont="1" applyAlignment="1">
      <alignment horizontal="left" vertical="top" wrapText="1"/>
    </xf>
    <xf numFmtId="0" fontId="0" fillId="8" borderId="1" xfId="0" applyFill="1" applyBorder="1"/>
    <xf numFmtId="0" fontId="0" fillId="8" borderId="0" xfId="0" applyFill="1"/>
    <xf numFmtId="0" fontId="0" fillId="9" borderId="1" xfId="0" applyFill="1" applyBorder="1"/>
    <xf numFmtId="0" fontId="0" fillId="9" borderId="0" xfId="0" applyFill="1"/>
    <xf numFmtId="0" fontId="0" fillId="10" borderId="1" xfId="0" applyFill="1" applyBorder="1"/>
    <xf numFmtId="0" fontId="0" fillId="10" borderId="0" xfId="0" applyFill="1"/>
    <xf numFmtId="0" fontId="0" fillId="11" borderId="1" xfId="0" applyFill="1" applyBorder="1"/>
    <xf numFmtId="0" fontId="12" fillId="11" borderId="1" xfId="0" applyFont="1" applyFill="1" applyBorder="1" applyAlignment="1">
      <alignment horizontal="right" wrapText="1"/>
    </xf>
    <xf numFmtId="0" fontId="12" fillId="11" borderId="1" xfId="0" applyFont="1" applyFill="1" applyBorder="1" applyAlignment="1">
      <alignment wrapText="1"/>
    </xf>
    <xf numFmtId="0" fontId="0" fillId="11" borderId="0" xfId="0" applyFill="1"/>
    <xf numFmtId="0" fontId="0" fillId="11" borderId="1" xfId="0" applyFill="1" applyBorder="1" applyAlignment="1">
      <alignment horizontal="right"/>
    </xf>
    <xf numFmtId="0" fontId="16" fillId="10" borderId="1" xfId="2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vertical="center"/>
    </xf>
    <xf numFmtId="164" fontId="17" fillId="10" borderId="4" xfId="2" applyNumberFormat="1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vertical="center"/>
    </xf>
    <xf numFmtId="165" fontId="0" fillId="8" borderId="1" xfId="1" applyNumberFormat="1" applyFont="1" applyFill="1" applyBorder="1"/>
    <xf numFmtId="0" fontId="0" fillId="12" borderId="1" xfId="0" applyFill="1" applyBorder="1"/>
    <xf numFmtId="0" fontId="0" fillId="12" borderId="0" xfId="0" applyFill="1"/>
    <xf numFmtId="0" fontId="0" fillId="13" borderId="1" xfId="0" applyFill="1" applyBorder="1"/>
    <xf numFmtId="0" fontId="0" fillId="13" borderId="0" xfId="0" applyFill="1"/>
    <xf numFmtId="0" fontId="0" fillId="14" borderId="1" xfId="0" applyFill="1" applyBorder="1"/>
    <xf numFmtId="0" fontId="0" fillId="14" borderId="0" xfId="0" applyFill="1"/>
    <xf numFmtId="0" fontId="0" fillId="14" borderId="5" xfId="0" applyFill="1" applyBorder="1"/>
    <xf numFmtId="0" fontId="0" fillId="15" borderId="5" xfId="0" applyFill="1" applyBorder="1"/>
    <xf numFmtId="0" fontId="0" fillId="15" borderId="0" xfId="0" applyFill="1"/>
    <xf numFmtId="165" fontId="0" fillId="15" borderId="0" xfId="1" applyNumberFormat="1" applyFont="1" applyFill="1"/>
    <xf numFmtId="0" fontId="3" fillId="0" borderId="1" xfId="0" applyFont="1" applyBorder="1" applyAlignment="1">
      <alignment horizontal="center" vertical="center"/>
    </xf>
    <xf numFmtId="0" fontId="0" fillId="10" borderId="6" xfId="0" applyFill="1" applyBorder="1"/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vertical="center" wrapText="1"/>
    </xf>
    <xf numFmtId="0" fontId="18" fillId="16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18" fillId="0" borderId="0" xfId="0" applyFont="1"/>
    <xf numFmtId="0" fontId="0" fillId="8" borderId="8" xfId="0" applyFill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3" borderId="0" xfId="0" applyFont="1" applyFill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  <xf numFmtId="0" fontId="3" fillId="5" borderId="11" xfId="0" applyFont="1" applyFill="1" applyBorder="1" applyAlignment="1">
      <alignment vertical="center" wrapText="1"/>
    </xf>
    <xf numFmtId="0" fontId="0" fillId="0" borderId="11" xfId="0" applyBorder="1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top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18" borderId="1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vertical="center" wrapText="1"/>
    </xf>
    <xf numFmtId="0" fontId="18" fillId="1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vertical="center" wrapText="1"/>
    </xf>
    <xf numFmtId="0" fontId="3" fillId="19" borderId="0" xfId="0" applyFont="1" applyFill="1" applyAlignment="1">
      <alignment horizontal="center" vertical="center" wrapText="1"/>
    </xf>
    <xf numFmtId="0" fontId="3" fillId="19" borderId="0" xfId="0" applyFont="1" applyFill="1" applyAlignment="1">
      <alignment vertical="center" wrapText="1"/>
    </xf>
    <xf numFmtId="0" fontId="0" fillId="19" borderId="0" xfId="0" applyFill="1" applyAlignment="1">
      <alignment horizontal="center"/>
    </xf>
    <xf numFmtId="0" fontId="0" fillId="19" borderId="0" xfId="0" applyFill="1"/>
    <xf numFmtId="0" fontId="4" fillId="17" borderId="0" xfId="0" applyFont="1" applyFill="1" applyAlignment="1">
      <alignment horizontal="center" vertical="center"/>
    </xf>
    <xf numFmtId="0" fontId="4" fillId="17" borderId="0" xfId="0" applyFont="1" applyFill="1"/>
    <xf numFmtId="41" fontId="0" fillId="0" borderId="0" xfId="0" applyNumberFormat="1"/>
    <xf numFmtId="41" fontId="4" fillId="0" borderId="0" xfId="0" applyNumberFormat="1" applyFont="1"/>
    <xf numFmtId="41" fontId="3" fillId="0" borderId="0" xfId="0" applyNumberFormat="1" applyFont="1" applyAlignment="1">
      <alignment vertical="center"/>
    </xf>
    <xf numFmtId="41" fontId="3" fillId="3" borderId="1" xfId="0" applyNumberFormat="1" applyFont="1" applyFill="1" applyBorder="1" applyAlignment="1">
      <alignment vertical="center" wrapText="1"/>
    </xf>
    <xf numFmtId="165" fontId="0" fillId="0" borderId="0" xfId="0" applyNumberFormat="1"/>
    <xf numFmtId="165" fontId="4" fillId="0" borderId="0" xfId="0" applyNumberFormat="1" applyFont="1"/>
    <xf numFmtId="165" fontId="3" fillId="0" borderId="0" xfId="0" applyNumberFormat="1" applyFont="1" applyAlignment="1">
      <alignment vertical="center"/>
    </xf>
    <xf numFmtId="165" fontId="3" fillId="3" borderId="1" xfId="0" applyNumberFormat="1" applyFont="1" applyFill="1" applyBorder="1" applyAlignment="1">
      <alignment vertical="center" wrapText="1"/>
    </xf>
    <xf numFmtId="0" fontId="0" fillId="32" borderId="0" xfId="0" applyFill="1"/>
    <xf numFmtId="0" fontId="0" fillId="32" borderId="0" xfId="0" applyFill="1" applyAlignment="1">
      <alignment horizontal="center" vertical="center"/>
    </xf>
    <xf numFmtId="41" fontId="0" fillId="32" borderId="0" xfId="0" applyNumberFormat="1" applyFill="1"/>
    <xf numFmtId="0" fontId="25" fillId="0" borderId="0" xfId="0" applyFont="1"/>
    <xf numFmtId="0" fontId="3" fillId="0" borderId="0" xfId="0" applyFont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right" vertical="top" wrapText="1"/>
    </xf>
    <xf numFmtId="0" fontId="11" fillId="0" borderId="0" xfId="0" applyFont="1" applyAlignment="1">
      <alignment horizontal="right" vertical="top" wrapText="1"/>
    </xf>
    <xf numFmtId="0" fontId="0" fillId="7" borderId="3" xfId="0" applyFill="1" applyBorder="1" applyAlignment="1" applyProtection="1">
      <alignment wrapText="1"/>
      <protection locked="0"/>
    </xf>
    <xf numFmtId="0" fontId="11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0" fillId="0" borderId="1" xfId="0" applyBorder="1"/>
    <xf numFmtId="0" fontId="0" fillId="20" borderId="1" xfId="0" applyFill="1" applyBorder="1"/>
    <xf numFmtId="0" fontId="0" fillId="20" borderId="1" xfId="0" applyFill="1" applyBorder="1" applyAlignment="1">
      <alignment horizontal="center" vertical="center"/>
    </xf>
    <xf numFmtId="165" fontId="0" fillId="20" borderId="1" xfId="0" applyNumberFormat="1" applyFill="1" applyBorder="1"/>
    <xf numFmtId="41" fontId="0" fillId="20" borderId="1" xfId="0" applyNumberFormat="1" applyFill="1" applyBorder="1"/>
    <xf numFmtId="165" fontId="0" fillId="20" borderId="1" xfId="1" applyNumberFormat="1" applyFont="1" applyFill="1" applyBorder="1"/>
    <xf numFmtId="0" fontId="0" fillId="21" borderId="1" xfId="0" applyFill="1" applyBorder="1"/>
    <xf numFmtId="0" fontId="0" fillId="21" borderId="1" xfId="0" applyFill="1" applyBorder="1" applyAlignment="1">
      <alignment horizontal="center" vertical="center"/>
    </xf>
    <xf numFmtId="165" fontId="0" fillId="21" borderId="1" xfId="0" applyNumberFormat="1" applyFill="1" applyBorder="1"/>
    <xf numFmtId="41" fontId="0" fillId="21" borderId="1" xfId="0" applyNumberFormat="1" applyFill="1" applyBorder="1"/>
    <xf numFmtId="165" fontId="0" fillId="21" borderId="1" xfId="1" applyNumberFormat="1" applyFont="1" applyFill="1" applyBorder="1"/>
    <xf numFmtId="0" fontId="0" fillId="14" borderId="1" xfId="0" applyFill="1" applyBorder="1" applyAlignment="1">
      <alignment horizontal="center" vertical="center"/>
    </xf>
    <xf numFmtId="165" fontId="0" fillId="14" borderId="1" xfId="0" applyNumberFormat="1" applyFill="1" applyBorder="1"/>
    <xf numFmtId="41" fontId="0" fillId="14" borderId="1" xfId="0" applyNumberFormat="1" applyFill="1" applyBorder="1"/>
    <xf numFmtId="165" fontId="0" fillId="14" borderId="1" xfId="1" applyNumberFormat="1" applyFont="1" applyFill="1" applyBorder="1"/>
    <xf numFmtId="0" fontId="0" fillId="22" borderId="1" xfId="0" applyFill="1" applyBorder="1"/>
    <xf numFmtId="0" fontId="0" fillId="22" borderId="1" xfId="0" applyFill="1" applyBorder="1" applyAlignment="1">
      <alignment horizontal="right" wrapText="1"/>
    </xf>
    <xf numFmtId="0" fontId="0" fillId="22" borderId="1" xfId="0" applyFill="1" applyBorder="1" applyAlignment="1">
      <alignment wrapText="1"/>
    </xf>
    <xf numFmtId="0" fontId="0" fillId="22" borderId="1" xfId="0" applyFill="1" applyBorder="1" applyAlignment="1">
      <alignment horizontal="center" vertical="center"/>
    </xf>
    <xf numFmtId="165" fontId="0" fillId="22" borderId="1" xfId="0" applyNumberFormat="1" applyFill="1" applyBorder="1"/>
    <xf numFmtId="41" fontId="0" fillId="22" borderId="1" xfId="0" applyNumberFormat="1" applyFill="1" applyBorder="1"/>
    <xf numFmtId="0" fontId="0" fillId="22" borderId="1" xfId="0" applyFill="1" applyBorder="1" applyAlignment="1">
      <alignment horizontal="right"/>
    </xf>
    <xf numFmtId="0" fontId="14" fillId="10" borderId="1" xfId="2" applyFill="1" applyBorder="1" applyAlignment="1">
      <alignment horizontal="center" vertical="center"/>
    </xf>
    <xf numFmtId="0" fontId="27" fillId="10" borderId="1" xfId="0" applyFont="1" applyFill="1" applyBorder="1" applyAlignment="1">
      <alignment vertical="center"/>
    </xf>
    <xf numFmtId="0" fontId="0" fillId="10" borderId="1" xfId="0" applyFill="1" applyBorder="1" applyAlignment="1">
      <alignment horizontal="center" vertical="center"/>
    </xf>
    <xf numFmtId="165" fontId="0" fillId="10" borderId="1" xfId="0" applyNumberFormat="1" applyFill="1" applyBorder="1"/>
    <xf numFmtId="41" fontId="0" fillId="10" borderId="1" xfId="0" applyNumberFormat="1" applyFill="1" applyBorder="1"/>
    <xf numFmtId="43" fontId="0" fillId="10" borderId="1" xfId="0" applyNumberFormat="1" applyFill="1" applyBorder="1"/>
    <xf numFmtId="164" fontId="14" fillId="10" borderId="1" xfId="2" applyNumberFormat="1" applyFill="1" applyBorder="1" applyAlignment="1">
      <alignment horizontal="center" vertical="center"/>
    </xf>
    <xf numFmtId="0" fontId="14" fillId="10" borderId="1" xfId="0" applyFont="1" applyFill="1" applyBorder="1" applyAlignment="1">
      <alignment vertical="center"/>
    </xf>
    <xf numFmtId="0" fontId="22" fillId="10" borderId="1" xfId="0" applyFont="1" applyFill="1" applyBorder="1" applyAlignment="1">
      <alignment vertical="top" wrapText="1"/>
    </xf>
    <xf numFmtId="0" fontId="0" fillId="23" borderId="1" xfId="0" applyFill="1" applyBorder="1"/>
    <xf numFmtId="0" fontId="0" fillId="23" borderId="1" xfId="0" applyFill="1" applyBorder="1" applyAlignment="1">
      <alignment horizontal="center" vertical="center"/>
    </xf>
    <xf numFmtId="165" fontId="0" fillId="23" borderId="1" xfId="0" applyNumberFormat="1" applyFill="1" applyBorder="1"/>
    <xf numFmtId="41" fontId="0" fillId="23" borderId="1" xfId="0" applyNumberFormat="1" applyFill="1" applyBorder="1"/>
    <xf numFmtId="0" fontId="0" fillId="15" borderId="1" xfId="0" applyFill="1" applyBorder="1"/>
    <xf numFmtId="0" fontId="0" fillId="15" borderId="1" xfId="0" applyFill="1" applyBorder="1" applyAlignment="1">
      <alignment horizontal="center" vertical="center"/>
    </xf>
    <xf numFmtId="165" fontId="0" fillId="15" borderId="1" xfId="0" applyNumberFormat="1" applyFill="1" applyBorder="1"/>
    <xf numFmtId="41" fontId="0" fillId="15" borderId="1" xfId="0" applyNumberFormat="1" applyFill="1" applyBorder="1"/>
    <xf numFmtId="0" fontId="0" fillId="24" borderId="1" xfId="0" applyFill="1" applyBorder="1"/>
    <xf numFmtId="0" fontId="0" fillId="24" borderId="1" xfId="0" applyFill="1" applyBorder="1" applyAlignment="1">
      <alignment horizontal="center" vertical="center"/>
    </xf>
    <xf numFmtId="165" fontId="0" fillId="24" borderId="1" xfId="0" applyNumberFormat="1" applyFill="1" applyBorder="1"/>
    <xf numFmtId="41" fontId="0" fillId="24" borderId="1" xfId="0" applyNumberFormat="1" applyFill="1" applyBorder="1"/>
    <xf numFmtId="0" fontId="0" fillId="25" borderId="1" xfId="0" applyFill="1" applyBorder="1"/>
    <xf numFmtId="0" fontId="0" fillId="25" borderId="1" xfId="0" applyFill="1" applyBorder="1" applyAlignment="1">
      <alignment horizontal="center" vertical="center"/>
    </xf>
    <xf numFmtId="165" fontId="0" fillId="25" borderId="1" xfId="0" applyNumberFormat="1" applyFill="1" applyBorder="1"/>
    <xf numFmtId="41" fontId="0" fillId="25" borderId="1" xfId="0" applyNumberFormat="1" applyFill="1" applyBorder="1"/>
    <xf numFmtId="0" fontId="0" fillId="11" borderId="1" xfId="0" applyFill="1" applyBorder="1" applyAlignment="1">
      <alignment horizontal="center" vertical="center"/>
    </xf>
    <xf numFmtId="165" fontId="0" fillId="11" borderId="1" xfId="0" applyNumberFormat="1" applyFill="1" applyBorder="1"/>
    <xf numFmtId="41" fontId="0" fillId="11" borderId="1" xfId="0" applyNumberFormat="1" applyFill="1" applyBorder="1"/>
    <xf numFmtId="0" fontId="0" fillId="26" borderId="1" xfId="0" applyFill="1" applyBorder="1"/>
    <xf numFmtId="0" fontId="0" fillId="26" borderId="1" xfId="0" applyFill="1" applyBorder="1" applyAlignment="1">
      <alignment horizontal="center" vertical="center"/>
    </xf>
    <xf numFmtId="165" fontId="0" fillId="26" borderId="1" xfId="0" applyNumberFormat="1" applyFill="1" applyBorder="1"/>
    <xf numFmtId="41" fontId="0" fillId="26" borderId="1" xfId="0" applyNumberFormat="1" applyFill="1" applyBorder="1"/>
    <xf numFmtId="0" fontId="0" fillId="27" borderId="1" xfId="0" applyFill="1" applyBorder="1"/>
    <xf numFmtId="0" fontId="0" fillId="27" borderId="1" xfId="0" applyFill="1" applyBorder="1" applyAlignment="1">
      <alignment horizontal="center" vertical="center"/>
    </xf>
    <xf numFmtId="165" fontId="0" fillId="27" borderId="1" xfId="0" applyNumberFormat="1" applyFill="1" applyBorder="1"/>
    <xf numFmtId="41" fontId="0" fillId="27" borderId="1" xfId="0" applyNumberFormat="1" applyFill="1" applyBorder="1"/>
    <xf numFmtId="0" fontId="0" fillId="28" borderId="1" xfId="0" applyFill="1" applyBorder="1"/>
    <xf numFmtId="0" fontId="0" fillId="28" borderId="1" xfId="0" applyFill="1" applyBorder="1" applyAlignment="1">
      <alignment horizontal="center" vertical="center"/>
    </xf>
    <xf numFmtId="165" fontId="0" fillId="28" borderId="1" xfId="0" applyNumberFormat="1" applyFill="1" applyBorder="1"/>
    <xf numFmtId="41" fontId="0" fillId="28" borderId="1" xfId="0" applyNumberFormat="1" applyFill="1" applyBorder="1"/>
    <xf numFmtId="0" fontId="23" fillId="29" borderId="1" xfId="0" applyFont="1" applyFill="1" applyBorder="1"/>
    <xf numFmtId="0" fontId="24" fillId="29" borderId="1" xfId="3" applyFont="1" applyFill="1" applyBorder="1" applyAlignment="1">
      <alignment horizontal="left"/>
    </xf>
    <xf numFmtId="0" fontId="24" fillId="29" borderId="1" xfId="3" applyFont="1" applyFill="1" applyBorder="1" applyAlignment="1"/>
    <xf numFmtId="0" fontId="0" fillId="29" borderId="1" xfId="0" applyFill="1" applyBorder="1"/>
    <xf numFmtId="0" fontId="0" fillId="29" borderId="1" xfId="0" applyFill="1" applyBorder="1" applyAlignment="1">
      <alignment horizontal="center" vertical="center"/>
    </xf>
    <xf numFmtId="165" fontId="0" fillId="29" borderId="1" xfId="0" applyNumberFormat="1" applyFill="1" applyBorder="1"/>
    <xf numFmtId="41" fontId="0" fillId="29" borderId="1" xfId="0" applyNumberFormat="1" applyFill="1" applyBorder="1"/>
    <xf numFmtId="0" fontId="22" fillId="29" borderId="1" xfId="3" applyFont="1" applyFill="1" applyBorder="1" applyAlignment="1"/>
    <xf numFmtId="0" fontId="0" fillId="30" borderId="1" xfId="0" applyFill="1" applyBorder="1"/>
    <xf numFmtId="0" fontId="22" fillId="30" borderId="1" xfId="0" applyFont="1" applyFill="1" applyBorder="1" applyAlignment="1">
      <alignment vertical="top" wrapText="1"/>
    </xf>
    <xf numFmtId="0" fontId="0" fillId="30" borderId="1" xfId="0" applyFill="1" applyBorder="1" applyAlignment="1">
      <alignment horizontal="center" vertical="center"/>
    </xf>
    <xf numFmtId="165" fontId="0" fillId="30" borderId="1" xfId="0" applyNumberFormat="1" applyFill="1" applyBorder="1"/>
    <xf numFmtId="41" fontId="0" fillId="30" borderId="1" xfId="0" applyNumberFormat="1" applyFill="1" applyBorder="1"/>
    <xf numFmtId="0" fontId="0" fillId="31" borderId="1" xfId="0" applyFill="1" applyBorder="1"/>
    <xf numFmtId="0" fontId="22" fillId="31" borderId="1" xfId="0" applyFont="1" applyFill="1" applyBorder="1" applyAlignment="1">
      <alignment vertical="top" wrapText="1"/>
    </xf>
    <xf numFmtId="0" fontId="0" fillId="31" borderId="1" xfId="0" applyFill="1" applyBorder="1" applyAlignment="1">
      <alignment horizontal="center" vertical="center"/>
    </xf>
    <xf numFmtId="165" fontId="0" fillId="31" borderId="1" xfId="0" applyNumberFormat="1" applyFill="1" applyBorder="1"/>
    <xf numFmtId="41" fontId="0" fillId="31" borderId="1" xfId="0" applyNumberFormat="1" applyFill="1" applyBorder="1"/>
    <xf numFmtId="0" fontId="0" fillId="32" borderId="1" xfId="0" applyFill="1" applyBorder="1"/>
    <xf numFmtId="0" fontId="22" fillId="32" borderId="1" xfId="0" applyFont="1" applyFill="1" applyBorder="1" applyAlignment="1">
      <alignment vertical="top" wrapText="1"/>
    </xf>
    <xf numFmtId="0" fontId="0" fillId="32" borderId="1" xfId="0" applyFill="1" applyBorder="1" applyAlignment="1">
      <alignment horizontal="center" vertical="center"/>
    </xf>
    <xf numFmtId="165" fontId="0" fillId="32" borderId="1" xfId="0" applyNumberFormat="1" applyFill="1" applyBorder="1"/>
    <xf numFmtId="41" fontId="0" fillId="32" borderId="1" xfId="0" applyNumberFormat="1" applyFill="1" applyBorder="1"/>
    <xf numFmtId="0" fontId="25" fillId="0" borderId="1" xfId="0" applyFont="1" applyBorder="1"/>
    <xf numFmtId="0" fontId="25" fillId="32" borderId="1" xfId="0" applyFont="1" applyFill="1" applyBorder="1"/>
    <xf numFmtId="0" fontId="26" fillId="32" borderId="1" xfId="0" applyFont="1" applyFill="1" applyBorder="1" applyAlignment="1">
      <alignment vertical="top" wrapText="1"/>
    </xf>
    <xf numFmtId="0" fontId="25" fillId="32" borderId="1" xfId="0" applyFont="1" applyFill="1" applyBorder="1" applyAlignment="1">
      <alignment horizontal="center" vertical="center"/>
    </xf>
    <xf numFmtId="165" fontId="25" fillId="32" borderId="1" xfId="0" applyNumberFormat="1" applyFont="1" applyFill="1" applyBorder="1"/>
    <xf numFmtId="41" fontId="25" fillId="32" borderId="1" xfId="0" applyNumberFormat="1" applyFont="1" applyFill="1" applyBorder="1"/>
    <xf numFmtId="0" fontId="0" fillId="33" borderId="1" xfId="0" applyFill="1" applyBorder="1"/>
    <xf numFmtId="0" fontId="22" fillId="33" borderId="1" xfId="0" applyFont="1" applyFill="1" applyBorder="1" applyAlignment="1">
      <alignment horizontal="left" vertical="top" wrapText="1"/>
    </xf>
    <xf numFmtId="0" fontId="22" fillId="33" borderId="1" xfId="0" applyFont="1" applyFill="1" applyBorder="1" applyAlignment="1">
      <alignment vertical="top" wrapText="1"/>
    </xf>
    <xf numFmtId="0" fontId="0" fillId="33" borderId="1" xfId="0" applyFill="1" applyBorder="1" applyAlignment="1">
      <alignment horizontal="center" vertical="center"/>
    </xf>
    <xf numFmtId="165" fontId="0" fillId="33" borderId="1" xfId="0" applyNumberFormat="1" applyFill="1" applyBorder="1"/>
    <xf numFmtId="41" fontId="0" fillId="33" borderId="1" xfId="0" applyNumberFormat="1" applyFill="1" applyBorder="1"/>
    <xf numFmtId="0" fontId="0" fillId="34" borderId="1" xfId="0" applyFill="1" applyBorder="1"/>
    <xf numFmtId="0" fontId="22" fillId="34" borderId="1" xfId="0" applyFont="1" applyFill="1" applyBorder="1" applyAlignment="1">
      <alignment vertical="top" wrapText="1"/>
    </xf>
    <xf numFmtId="0" fontId="0" fillId="34" borderId="1" xfId="0" applyFill="1" applyBorder="1" applyAlignment="1">
      <alignment horizontal="center" vertical="center"/>
    </xf>
    <xf numFmtId="165" fontId="0" fillId="34" borderId="1" xfId="0" applyNumberFormat="1" applyFill="1" applyBorder="1"/>
    <xf numFmtId="41" fontId="0" fillId="34" borderId="1" xfId="0" applyNumberFormat="1" applyFill="1" applyBorder="1"/>
    <xf numFmtId="0" fontId="22" fillId="27" borderId="1" xfId="0" applyFont="1" applyFill="1" applyBorder="1" applyAlignment="1">
      <alignment vertical="top" wrapText="1"/>
    </xf>
    <xf numFmtId="43" fontId="0" fillId="27" borderId="1" xfId="0" applyNumberFormat="1" applyFill="1" applyBorder="1"/>
    <xf numFmtId="0" fontId="22" fillId="22" borderId="1" xfId="0" applyFont="1" applyFill="1" applyBorder="1" applyAlignment="1">
      <alignment vertical="top" wrapText="1"/>
    </xf>
    <xf numFmtId="0" fontId="28" fillId="0" borderId="1" xfId="2" applyFont="1" applyBorder="1" applyAlignment="1">
      <alignment horizontal="center" vertical="center"/>
    </xf>
    <xf numFmtId="165" fontId="0" fillId="0" borderId="0" xfId="1" applyNumberFormat="1" applyFont="1"/>
    <xf numFmtId="165" fontId="4" fillId="0" borderId="0" xfId="1" applyNumberFormat="1" applyFont="1"/>
    <xf numFmtId="165" fontId="3" fillId="0" borderId="0" xfId="1" applyNumberFormat="1" applyFont="1" applyAlignment="1">
      <alignment vertical="center"/>
    </xf>
    <xf numFmtId="165" fontId="3" fillId="3" borderId="1" xfId="1" applyNumberFormat="1" applyFont="1" applyFill="1" applyBorder="1" applyAlignment="1">
      <alignment vertical="center" wrapText="1"/>
    </xf>
    <xf numFmtId="165" fontId="0" fillId="22" borderId="1" xfId="1" applyNumberFormat="1" applyFont="1" applyFill="1" applyBorder="1"/>
    <xf numFmtId="165" fontId="0" fillId="10" borderId="1" xfId="1" applyNumberFormat="1" applyFont="1" applyFill="1" applyBorder="1"/>
    <xf numFmtId="165" fontId="0" fillId="23" borderId="1" xfId="1" applyNumberFormat="1" applyFont="1" applyFill="1" applyBorder="1"/>
    <xf numFmtId="165" fontId="0" fillId="15" borderId="1" xfId="1" applyNumberFormat="1" applyFont="1" applyFill="1" applyBorder="1"/>
    <xf numFmtId="165" fontId="0" fillId="24" borderId="1" xfId="1" applyNumberFormat="1" applyFont="1" applyFill="1" applyBorder="1"/>
    <xf numFmtId="165" fontId="0" fillId="25" borderId="1" xfId="1" applyNumberFormat="1" applyFont="1" applyFill="1" applyBorder="1"/>
    <xf numFmtId="165" fontId="0" fillId="11" borderId="1" xfId="1" applyNumberFormat="1" applyFont="1" applyFill="1" applyBorder="1"/>
    <xf numFmtId="165" fontId="0" fillId="26" borderId="1" xfId="1" applyNumberFormat="1" applyFont="1" applyFill="1" applyBorder="1"/>
    <xf numFmtId="165" fontId="0" fillId="27" borderId="1" xfId="1" applyNumberFormat="1" applyFont="1" applyFill="1" applyBorder="1"/>
    <xf numFmtId="165" fontId="0" fillId="28" borderId="1" xfId="1" applyNumberFormat="1" applyFont="1" applyFill="1" applyBorder="1"/>
    <xf numFmtId="165" fontId="0" fillId="29" borderId="1" xfId="1" applyNumberFormat="1" applyFont="1" applyFill="1" applyBorder="1"/>
    <xf numFmtId="165" fontId="0" fillId="30" borderId="1" xfId="1" applyNumberFormat="1" applyFont="1" applyFill="1" applyBorder="1"/>
    <xf numFmtId="165" fontId="0" fillId="31" borderId="1" xfId="1" applyNumberFormat="1" applyFont="1" applyFill="1" applyBorder="1"/>
    <xf numFmtId="165" fontId="0" fillId="32" borderId="1" xfId="1" applyNumberFormat="1" applyFont="1" applyFill="1" applyBorder="1"/>
    <xf numFmtId="165" fontId="25" fillId="32" borderId="1" xfId="1" applyNumberFormat="1" applyFont="1" applyFill="1" applyBorder="1"/>
    <xf numFmtId="165" fontId="0" fillId="33" borderId="1" xfId="1" applyNumberFormat="1" applyFont="1" applyFill="1" applyBorder="1"/>
    <xf numFmtId="165" fontId="0" fillId="34" borderId="1" xfId="1" applyNumberFormat="1" applyFont="1" applyFill="1" applyBorder="1"/>
  </cellXfs>
  <cellStyles count="4">
    <cellStyle name="Comma" xfId="1" builtinId="3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FF9999"/>
      <color rgb="FF99CCFF"/>
      <color rgb="FF808000"/>
      <color rgb="FFFFCC99"/>
      <color rgb="FFCCFF99"/>
      <color rgb="FFFFFFCC"/>
      <color rgb="FFCCCC00"/>
      <color rgb="FFCC9900"/>
      <color rgb="FF33C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46"/>
  <sheetViews>
    <sheetView tabSelected="1" topLeftCell="K1" zoomScale="80" zoomScaleNormal="80" workbookViewId="0">
      <pane ySplit="1" topLeftCell="A2" activePane="bottomLeft" state="frozen"/>
      <selection pane="bottomLeft" activeCell="K406" sqref="A406:XFD457"/>
    </sheetView>
  </sheetViews>
  <sheetFormatPr defaultRowHeight="15"/>
  <cols>
    <col min="1" max="1" width="5.28515625" customWidth="1"/>
    <col min="2" max="3" width="11" customWidth="1"/>
    <col min="4" max="4" width="17.140625" customWidth="1"/>
    <col min="5" max="5" width="64.42578125" bestFit="1" customWidth="1"/>
    <col min="6" max="6" width="21.7109375" bestFit="1" customWidth="1"/>
    <col min="7" max="7" width="24.85546875" bestFit="1" customWidth="1"/>
    <col min="8" max="8" width="40.5703125" bestFit="1" customWidth="1"/>
    <col min="9" max="9" width="41.140625" bestFit="1" customWidth="1"/>
    <col min="10" max="10" width="23.7109375" style="69" customWidth="1"/>
    <col min="11" max="11" width="19.5703125" bestFit="1" customWidth="1"/>
    <col min="12" max="12" width="35" bestFit="1" customWidth="1"/>
    <col min="13" max="13" width="13.85546875" style="69" bestFit="1" customWidth="1"/>
    <col min="14" max="15" width="19.85546875" bestFit="1" customWidth="1"/>
    <col min="16" max="16" width="22.28515625" style="69" bestFit="1" customWidth="1"/>
    <col min="17" max="17" width="19.28515625" bestFit="1" customWidth="1"/>
    <col min="18" max="18" width="14.5703125" bestFit="1" customWidth="1"/>
    <col min="19" max="19" width="23.5703125" style="88" bestFit="1" customWidth="1"/>
    <col min="20" max="20" width="30.140625" style="84" bestFit="1" customWidth="1"/>
    <col min="21" max="22" width="29.42578125" style="215" customWidth="1"/>
    <col min="23" max="24" width="29.42578125" customWidth="1"/>
    <col min="25" max="25" width="27.85546875" bestFit="1" customWidth="1"/>
    <col min="26" max="27" width="29.42578125" customWidth="1"/>
    <col min="28" max="28" width="27.85546875" bestFit="1" customWidth="1"/>
    <col min="29" max="33" width="20.28515625" customWidth="1"/>
    <col min="34" max="35" width="24.140625" bestFit="1" customWidth="1"/>
    <col min="36" max="36" width="24.140625" customWidth="1"/>
    <col min="37" max="37" width="20.28515625" customWidth="1"/>
    <col min="38" max="38" width="17.140625" customWidth="1"/>
    <col min="39" max="39" width="14.42578125" customWidth="1"/>
    <col min="40" max="40" width="26.5703125" customWidth="1"/>
    <col min="41" max="41" width="20.42578125" customWidth="1"/>
    <col min="42" max="42" width="17.140625" customWidth="1"/>
    <col min="43" max="43" width="14.42578125" customWidth="1"/>
    <col min="44" max="44" width="26.5703125" customWidth="1"/>
    <col min="45" max="45" width="20.42578125" customWidth="1"/>
    <col min="46" max="46" width="17.140625" customWidth="1"/>
    <col min="47" max="47" width="24.140625" bestFit="1" customWidth="1"/>
    <col min="48" max="48" width="26.5703125" customWidth="1"/>
    <col min="49" max="49" width="20.42578125" customWidth="1"/>
    <col min="50" max="50" width="17.140625" customWidth="1"/>
    <col min="51" max="51" width="14.42578125" customWidth="1"/>
    <col min="52" max="52" width="26.5703125" customWidth="1"/>
    <col min="53" max="53" width="20.42578125" customWidth="1"/>
    <col min="54" max="54" width="9.85546875" bestFit="1" customWidth="1"/>
  </cols>
  <sheetData>
    <row r="1" spans="8:28">
      <c r="M1" s="67">
        <v>1</v>
      </c>
      <c r="N1" s="67">
        <v>2</v>
      </c>
      <c r="O1" s="67">
        <v>3</v>
      </c>
      <c r="P1" s="67">
        <v>4</v>
      </c>
      <c r="Q1" s="67">
        <v>5</v>
      </c>
      <c r="R1" s="67"/>
    </row>
    <row r="2" spans="8:28" ht="15.75">
      <c r="M2" s="68" t="s">
        <v>1398</v>
      </c>
      <c r="N2" s="67"/>
      <c r="O2" s="75" t="s">
        <v>1404</v>
      </c>
      <c r="P2" s="67"/>
      <c r="Q2" s="67"/>
      <c r="R2" s="67"/>
    </row>
    <row r="3" spans="8:28">
      <c r="M3" s="72" t="s">
        <v>1367</v>
      </c>
      <c r="N3" s="50" t="s">
        <v>1391</v>
      </c>
      <c r="O3" s="50" t="s">
        <v>1392</v>
      </c>
      <c r="P3" s="50" t="s">
        <v>1394</v>
      </c>
      <c r="Q3" s="50" t="s">
        <v>1393</v>
      </c>
      <c r="R3" s="53"/>
      <c r="S3" s="89"/>
      <c r="T3" s="85"/>
      <c r="U3" s="216"/>
      <c r="V3" s="216"/>
      <c r="W3" s="4"/>
      <c r="X3" s="4"/>
      <c r="Y3" s="4"/>
      <c r="Z3" s="4"/>
      <c r="AA3" s="4"/>
    </row>
    <row r="4" spans="8:28" ht="15.75">
      <c r="M4" s="76">
        <v>1</v>
      </c>
      <c r="N4" s="49" t="s">
        <v>1390</v>
      </c>
      <c r="O4" s="77" t="s">
        <v>1369</v>
      </c>
      <c r="P4" s="52">
        <v>1</v>
      </c>
      <c r="Q4" s="51" t="s">
        <v>1395</v>
      </c>
      <c r="S4" s="89"/>
      <c r="T4" s="85"/>
      <c r="U4" s="216"/>
      <c r="V4" s="216"/>
      <c r="W4" s="4"/>
      <c r="X4" s="4"/>
      <c r="Y4" s="4"/>
      <c r="Z4" s="4"/>
      <c r="AA4" s="4"/>
    </row>
    <row r="5" spans="8:28" ht="15.75">
      <c r="M5" s="78">
        <v>2</v>
      </c>
      <c r="N5" s="79" t="s">
        <v>1390</v>
      </c>
      <c r="O5" s="79" t="s">
        <v>1368</v>
      </c>
      <c r="P5" s="80">
        <v>1</v>
      </c>
      <c r="Q5" s="81" t="s">
        <v>1395</v>
      </c>
      <c r="S5" s="89"/>
      <c r="T5" s="85"/>
      <c r="U5" s="216"/>
      <c r="V5" s="216"/>
      <c r="W5" s="4"/>
      <c r="X5" s="4"/>
      <c r="Y5" s="4"/>
      <c r="Z5" s="4"/>
      <c r="AA5" s="4"/>
    </row>
    <row r="6" spans="8:28" ht="15.75">
      <c r="M6" s="76">
        <v>3</v>
      </c>
      <c r="N6" s="49" t="s">
        <v>1375</v>
      </c>
      <c r="O6" s="77" t="s">
        <v>1370</v>
      </c>
      <c r="P6" s="52">
        <v>2</v>
      </c>
      <c r="Q6" s="51"/>
      <c r="S6" s="89"/>
      <c r="T6" s="85"/>
      <c r="U6" s="216"/>
      <c r="V6" s="216"/>
      <c r="W6" s="4"/>
      <c r="X6" s="4"/>
      <c r="Y6" s="4"/>
      <c r="Z6" s="4"/>
      <c r="AA6" s="4"/>
    </row>
    <row r="7" spans="8:28" ht="15.75">
      <c r="H7" s="4"/>
      <c r="M7" s="78">
        <v>4</v>
      </c>
      <c r="N7" s="79" t="s">
        <v>1375</v>
      </c>
      <c r="O7" s="79" t="s">
        <v>1371</v>
      </c>
      <c r="P7" s="80">
        <v>2</v>
      </c>
      <c r="Q7" s="81"/>
      <c r="S7" s="89"/>
      <c r="T7" s="85"/>
      <c r="U7" s="216"/>
      <c r="V7" s="216"/>
      <c r="W7" s="4"/>
      <c r="X7" s="4"/>
      <c r="Y7" s="4"/>
      <c r="Z7" s="4"/>
      <c r="AA7" s="4"/>
    </row>
    <row r="8" spans="8:28" ht="15.75">
      <c r="H8" s="4"/>
      <c r="M8" s="76">
        <v>5</v>
      </c>
      <c r="N8" s="49" t="s">
        <v>1375</v>
      </c>
      <c r="O8" s="77" t="s">
        <v>1372</v>
      </c>
      <c r="P8" s="52">
        <v>2</v>
      </c>
      <c r="Q8" s="51"/>
      <c r="S8" s="89"/>
      <c r="T8" s="85"/>
      <c r="U8" s="216"/>
      <c r="V8" s="216"/>
      <c r="W8" s="4"/>
      <c r="X8" s="4"/>
      <c r="Y8" s="4"/>
      <c r="Z8" s="4"/>
      <c r="AA8" s="4"/>
      <c r="AB8" s="58" t="s">
        <v>9</v>
      </c>
    </row>
    <row r="9" spans="8:28" ht="15.75">
      <c r="H9" s="4"/>
      <c r="I9" s="4"/>
      <c r="M9" s="78">
        <v>6</v>
      </c>
      <c r="N9" s="79" t="s">
        <v>1375</v>
      </c>
      <c r="O9" s="79" t="s">
        <v>1384</v>
      </c>
      <c r="P9" s="80">
        <v>2</v>
      </c>
      <c r="Q9" s="81"/>
      <c r="S9" s="89"/>
      <c r="T9" s="85"/>
      <c r="U9" s="216"/>
      <c r="V9" s="216"/>
      <c r="W9" s="4"/>
      <c r="X9" s="4"/>
      <c r="Y9" s="4"/>
      <c r="Z9" s="4"/>
      <c r="AA9" s="4"/>
      <c r="AB9" s="57"/>
    </row>
    <row r="10" spans="8:28" ht="15.75">
      <c r="H10" s="4"/>
      <c r="I10" s="4"/>
      <c r="J10" s="82" t="s">
        <v>1365</v>
      </c>
      <c r="K10" s="83" t="s">
        <v>1409</v>
      </c>
      <c r="L10" s="4" t="s">
        <v>35</v>
      </c>
      <c r="M10" s="76">
        <v>7</v>
      </c>
      <c r="N10" s="49" t="s">
        <v>1375</v>
      </c>
      <c r="O10" s="77" t="s">
        <v>1373</v>
      </c>
      <c r="P10" s="52">
        <v>2</v>
      </c>
      <c r="Q10" s="51"/>
      <c r="S10" s="89"/>
      <c r="T10" s="85"/>
      <c r="U10" s="216"/>
      <c r="V10" s="216"/>
      <c r="W10" s="4"/>
      <c r="X10" s="4"/>
      <c r="Y10" s="4"/>
      <c r="Z10" s="4"/>
      <c r="AA10" s="4"/>
      <c r="AB10" s="57"/>
    </row>
    <row r="11" spans="8:28" ht="15.75">
      <c r="H11" s="4"/>
      <c r="I11" s="4"/>
      <c r="J11" s="82">
        <v>1</v>
      </c>
      <c r="K11" s="83" t="s">
        <v>19</v>
      </c>
      <c r="L11" s="4" t="s">
        <v>36</v>
      </c>
      <c r="M11" s="78">
        <v>8</v>
      </c>
      <c r="N11" s="79" t="s">
        <v>1378</v>
      </c>
      <c r="O11" s="79" t="s">
        <v>2</v>
      </c>
      <c r="P11" s="80">
        <v>3</v>
      </c>
      <c r="Q11" s="81"/>
      <c r="S11" s="89"/>
      <c r="T11" s="85"/>
      <c r="U11" s="216"/>
      <c r="V11" s="216"/>
      <c r="W11" s="4"/>
      <c r="X11" s="4"/>
      <c r="Y11" s="4"/>
      <c r="Z11" s="4"/>
      <c r="AA11" s="4"/>
      <c r="AB11" s="57"/>
    </row>
    <row r="12" spans="8:28" ht="15.75">
      <c r="H12" s="4"/>
      <c r="I12" s="4"/>
      <c r="J12" s="82">
        <v>2</v>
      </c>
      <c r="K12" s="83" t="s">
        <v>25</v>
      </c>
      <c r="L12" s="4" t="s">
        <v>37</v>
      </c>
      <c r="M12" s="76">
        <v>9</v>
      </c>
      <c r="N12" s="49" t="s">
        <v>1377</v>
      </c>
      <c r="O12" s="77" t="s">
        <v>1376</v>
      </c>
      <c r="P12" s="52">
        <v>4</v>
      </c>
      <c r="Q12" s="51" t="s">
        <v>1396</v>
      </c>
      <c r="S12" s="89"/>
      <c r="T12" s="85"/>
      <c r="U12" s="216"/>
      <c r="V12" s="216"/>
      <c r="W12" s="4"/>
      <c r="X12" s="4"/>
      <c r="Y12" s="4"/>
      <c r="Z12" s="4"/>
      <c r="AA12" s="4"/>
      <c r="AB12" s="57"/>
    </row>
    <row r="13" spans="8:28" ht="15.75">
      <c r="H13" s="4"/>
      <c r="I13" s="4"/>
      <c r="J13" s="82">
        <v>3</v>
      </c>
      <c r="K13" s="83" t="s">
        <v>20</v>
      </c>
      <c r="L13" s="4" t="s">
        <v>38</v>
      </c>
      <c r="M13" s="78">
        <v>10</v>
      </c>
      <c r="N13" s="79" t="s">
        <v>1377</v>
      </c>
      <c r="O13" s="79" t="s">
        <v>1400</v>
      </c>
      <c r="P13" s="80">
        <v>4</v>
      </c>
      <c r="Q13" s="81" t="s">
        <v>1396</v>
      </c>
      <c r="S13" s="89"/>
      <c r="T13" s="85"/>
      <c r="U13" s="216"/>
      <c r="V13" s="216"/>
      <c r="W13" s="4"/>
      <c r="X13" s="4"/>
      <c r="Y13" s="4"/>
      <c r="Z13" s="4"/>
      <c r="AA13" s="4"/>
      <c r="AB13" s="57"/>
    </row>
    <row r="14" spans="8:28" ht="15.75">
      <c r="H14" s="4"/>
      <c r="I14" s="4"/>
      <c r="L14" s="4" t="s">
        <v>39</v>
      </c>
      <c r="M14" s="76">
        <v>11</v>
      </c>
      <c r="N14" s="49" t="s">
        <v>1377</v>
      </c>
      <c r="O14" s="77" t="s">
        <v>1399</v>
      </c>
      <c r="P14" s="52">
        <v>4</v>
      </c>
      <c r="Q14" s="51" t="s">
        <v>1396</v>
      </c>
      <c r="S14" s="89"/>
      <c r="T14" s="85"/>
      <c r="U14" s="216"/>
      <c r="V14" s="216"/>
      <c r="W14" s="4"/>
      <c r="X14" s="4"/>
      <c r="Y14" s="4"/>
      <c r="Z14" s="4"/>
      <c r="AA14" s="4"/>
      <c r="AB14" s="57"/>
    </row>
    <row r="15" spans="8:28" ht="15.75">
      <c r="H15" s="4"/>
      <c r="I15" s="4"/>
      <c r="L15" s="4" t="s">
        <v>40</v>
      </c>
      <c r="M15" s="73"/>
      <c r="N15" s="4"/>
      <c r="O15" s="4"/>
      <c r="P15" s="4"/>
      <c r="Q15" s="4"/>
      <c r="R15" s="4"/>
      <c r="S15" s="89"/>
      <c r="T15" s="85"/>
      <c r="U15" s="216"/>
      <c r="V15" s="216"/>
      <c r="W15" s="4"/>
      <c r="X15" s="4"/>
      <c r="Y15" s="4"/>
      <c r="Z15" s="4"/>
      <c r="AA15" s="4"/>
      <c r="AB15" s="57"/>
    </row>
    <row r="16" spans="8:28" ht="15.75">
      <c r="H16" s="4"/>
      <c r="I16" s="4"/>
      <c r="M16" s="73"/>
      <c r="N16" s="4"/>
      <c r="O16" s="4"/>
      <c r="P16" s="4"/>
      <c r="Q16" s="4"/>
      <c r="R16" s="4"/>
      <c r="S16" s="89"/>
      <c r="T16" s="85"/>
      <c r="U16" s="216"/>
      <c r="V16" s="216"/>
      <c r="W16" s="4"/>
      <c r="X16" s="4"/>
      <c r="Y16" s="4"/>
      <c r="Z16" s="4"/>
      <c r="AA16" s="4"/>
      <c r="AB16" s="57"/>
    </row>
    <row r="17" spans="1:54" ht="15.75">
      <c r="A17" s="64"/>
      <c r="B17" s="55"/>
      <c r="C17" s="65"/>
      <c r="D17" s="55"/>
      <c r="E17" s="55"/>
      <c r="F17" s="55"/>
      <c r="G17" s="55"/>
      <c r="H17" s="55"/>
      <c r="I17" s="55"/>
      <c r="J17" s="65"/>
      <c r="K17" s="55"/>
      <c r="L17" s="55"/>
      <c r="M17" s="65"/>
      <c r="N17" s="55"/>
      <c r="O17" s="55"/>
      <c r="P17" s="55"/>
      <c r="Q17" s="55"/>
      <c r="R17" s="55"/>
      <c r="S17" s="90"/>
      <c r="T17" s="86"/>
      <c r="U17" s="217"/>
      <c r="V17" s="217"/>
      <c r="W17" s="55"/>
      <c r="X17" s="55"/>
      <c r="Y17" s="55"/>
      <c r="Z17" s="55"/>
      <c r="AA17" s="55"/>
      <c r="AB17" s="96" t="s">
        <v>1374</v>
      </c>
      <c r="AC17" s="96"/>
      <c r="AD17" s="96" t="s">
        <v>1375</v>
      </c>
      <c r="AE17" s="96"/>
      <c r="AF17" s="96"/>
      <c r="AG17" s="96"/>
      <c r="AH17" s="96"/>
      <c r="AI17" s="55" t="s">
        <v>1378</v>
      </c>
      <c r="AJ17" s="96" t="s">
        <v>1377</v>
      </c>
      <c r="AK17" s="96"/>
      <c r="AL17" s="55" t="s">
        <v>15</v>
      </c>
      <c r="AM17" s="55"/>
      <c r="AN17" s="55"/>
      <c r="AO17" s="55"/>
      <c r="AP17" s="55" t="s">
        <v>14</v>
      </c>
      <c r="AQ17" s="55"/>
      <c r="AR17" s="55"/>
      <c r="AS17" s="55"/>
      <c r="AT17" s="55" t="s">
        <v>13</v>
      </c>
      <c r="AU17" s="55"/>
      <c r="AV17" s="55"/>
      <c r="AW17" s="55"/>
      <c r="AX17" s="55" t="s">
        <v>12</v>
      </c>
      <c r="AY17" s="55"/>
      <c r="AZ17" s="55"/>
      <c r="BA17" s="55"/>
      <c r="BB17" s="66"/>
    </row>
    <row r="18" spans="1:54" s="48" customFormat="1" ht="63">
      <c r="A18" s="41" t="s">
        <v>6</v>
      </c>
      <c r="B18" s="42" t="s">
        <v>7</v>
      </c>
      <c r="C18" s="43" t="s">
        <v>1363</v>
      </c>
      <c r="D18" s="45" t="s">
        <v>8</v>
      </c>
      <c r="E18" s="45" t="s">
        <v>0</v>
      </c>
      <c r="F18" s="45" t="s">
        <v>44</v>
      </c>
      <c r="G18" s="45" t="s">
        <v>1364</v>
      </c>
      <c r="H18" s="45" t="s">
        <v>1</v>
      </c>
      <c r="I18" s="45" t="s">
        <v>16</v>
      </c>
      <c r="J18" s="74" t="s">
        <v>1366</v>
      </c>
      <c r="K18" s="71" t="s">
        <v>17</v>
      </c>
      <c r="L18" s="45" t="s">
        <v>1402</v>
      </c>
      <c r="M18" s="74" t="s">
        <v>1367</v>
      </c>
      <c r="N18" s="70" t="s">
        <v>1391</v>
      </c>
      <c r="O18" s="70" t="s">
        <v>1392</v>
      </c>
      <c r="P18" s="70" t="s">
        <v>1397</v>
      </c>
      <c r="Q18" s="70" t="s">
        <v>1393</v>
      </c>
      <c r="R18" s="45" t="s">
        <v>1401</v>
      </c>
      <c r="S18" s="91" t="s">
        <v>1405</v>
      </c>
      <c r="T18" s="87" t="s">
        <v>1408</v>
      </c>
      <c r="U18" s="218" t="s">
        <v>1407</v>
      </c>
      <c r="V18" s="218" t="s">
        <v>1406</v>
      </c>
      <c r="W18" s="56"/>
      <c r="X18" s="56"/>
      <c r="Y18" s="56"/>
      <c r="Z18" s="56"/>
      <c r="AA18" s="56"/>
      <c r="AB18" s="60" t="s">
        <v>1380</v>
      </c>
      <c r="AC18" s="59" t="s">
        <v>1381</v>
      </c>
      <c r="AD18" s="59" t="s">
        <v>1379</v>
      </c>
      <c r="AE18" s="59" t="s">
        <v>1382</v>
      </c>
      <c r="AF18" s="59" t="s">
        <v>1383</v>
      </c>
      <c r="AG18" s="59" t="s">
        <v>1385</v>
      </c>
      <c r="AH18" s="59" t="s">
        <v>1386</v>
      </c>
      <c r="AI18" s="59" t="s">
        <v>1387</v>
      </c>
      <c r="AJ18" s="59" t="s">
        <v>1388</v>
      </c>
      <c r="AK18" s="59" t="s">
        <v>1389</v>
      </c>
      <c r="AL18" s="61" t="s">
        <v>4</v>
      </c>
      <c r="AM18" s="61" t="s">
        <v>5</v>
      </c>
      <c r="AN18" s="61" t="s">
        <v>2</v>
      </c>
      <c r="AO18" s="61" t="s">
        <v>3</v>
      </c>
      <c r="AP18" s="61" t="s">
        <v>4</v>
      </c>
      <c r="AQ18" s="61" t="s">
        <v>5</v>
      </c>
      <c r="AR18" s="61" t="s">
        <v>2</v>
      </c>
      <c r="AS18" s="61" t="s">
        <v>3</v>
      </c>
      <c r="AT18" s="62" t="s">
        <v>4</v>
      </c>
      <c r="AU18" s="62" t="s">
        <v>5</v>
      </c>
      <c r="AV18" s="62" t="s">
        <v>2</v>
      </c>
      <c r="AW18" s="62" t="s">
        <v>3</v>
      </c>
      <c r="AX18" s="62" t="s">
        <v>4</v>
      </c>
      <c r="AY18" s="62" t="s">
        <v>5</v>
      </c>
      <c r="AZ18" s="62" t="s">
        <v>2</v>
      </c>
      <c r="BA18" s="62" t="s">
        <v>3</v>
      </c>
      <c r="BB18" s="63"/>
    </row>
    <row r="19" spans="1:54" s="11" customFormat="1" ht="22.5" customHeight="1">
      <c r="A19" s="109">
        <v>1</v>
      </c>
      <c r="B19" s="109"/>
      <c r="C19" s="110">
        <v>1</v>
      </c>
      <c r="D19" s="110">
        <v>859288</v>
      </c>
      <c r="E19" s="110" t="s">
        <v>47</v>
      </c>
      <c r="F19" s="110" t="s">
        <v>1403</v>
      </c>
      <c r="G19" s="110" t="s">
        <v>28</v>
      </c>
      <c r="H19" s="110" t="s">
        <v>34</v>
      </c>
      <c r="I19" s="110" t="s">
        <v>33</v>
      </c>
      <c r="J19" s="111">
        <v>3</v>
      </c>
      <c r="K19" s="110" t="str">
        <f>IFERROR(VLOOKUP($J19,$J$10:$K$13,2,0),"")</f>
        <v>NON DISTRIBUTOR</v>
      </c>
      <c r="L19" s="110" t="s">
        <v>37</v>
      </c>
      <c r="M19" s="111">
        <v>1</v>
      </c>
      <c r="N19" s="110" t="str">
        <f>IFERROR(VLOOKUP($M19,$M$3:$Q$14,2,0),"")</f>
        <v>In Carton</v>
      </c>
      <c r="O19" s="110" t="str">
        <f>IFERROR(VLOOKUP($M19,$M$3:$Q$14,3,0),"")</f>
        <v>Carton</v>
      </c>
      <c r="P19" s="111">
        <f>IFERROR(VLOOKUP($M19,$M$3:$Q$14,4,0),"")</f>
        <v>1</v>
      </c>
      <c r="Q19" s="110" t="str">
        <f>IFERROR(VLOOKUP($M19,$M$3:$Q$14,5,0),"")</f>
        <v>large</v>
      </c>
      <c r="R19" s="110">
        <v>1</v>
      </c>
      <c r="S19" s="112">
        <v>163200</v>
      </c>
      <c r="T19" s="113">
        <f>S19/1.11</f>
        <v>147027.02702702701</v>
      </c>
      <c r="U19" s="114">
        <v>151848</v>
      </c>
      <c r="V19" s="25">
        <f>U19-(U19*11%)</f>
        <v>135144.72</v>
      </c>
      <c r="W19"/>
      <c r="X19"/>
      <c r="Y19"/>
      <c r="Z19"/>
      <c r="AA19"/>
      <c r="AB19" s="54">
        <v>1</v>
      </c>
      <c r="AC19" s="10"/>
      <c r="AD19" s="10"/>
      <c r="AE19" s="10"/>
      <c r="AF19" s="10"/>
      <c r="AG19" s="10">
        <v>6</v>
      </c>
      <c r="AH19" s="10"/>
      <c r="AI19" s="10"/>
      <c r="AJ19" s="10"/>
      <c r="AK19" s="10">
        <v>48</v>
      </c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 spans="1:54" ht="22.5" customHeight="1">
      <c r="A20" s="109"/>
      <c r="B20" s="109"/>
      <c r="C20" s="110">
        <v>1</v>
      </c>
      <c r="D20" s="110">
        <v>859288</v>
      </c>
      <c r="E20" s="110" t="s">
        <v>47</v>
      </c>
      <c r="F20" s="110" t="s">
        <v>1403</v>
      </c>
      <c r="G20" s="110" t="s">
        <v>28</v>
      </c>
      <c r="H20" s="110" t="s">
        <v>34</v>
      </c>
      <c r="I20" s="110" t="s">
        <v>33</v>
      </c>
      <c r="J20" s="111">
        <v>3</v>
      </c>
      <c r="K20" s="110" t="str">
        <f t="shared" ref="K20:K157" si="0">IFERROR(VLOOKUP($J20,$J$10:$K$13,2,0),"")</f>
        <v>NON DISTRIBUTOR</v>
      </c>
      <c r="L20" s="110" t="s">
        <v>37</v>
      </c>
      <c r="M20" s="111">
        <v>6</v>
      </c>
      <c r="N20" s="110" t="str">
        <f t="shared" ref="N20:N140" si="1">IFERROR(VLOOKUP($M20,$M$3:$Q$14,2,0),"")</f>
        <v>In Pack</v>
      </c>
      <c r="O20" s="110" t="str">
        <f t="shared" ref="O20:O153" si="2">IFERROR(VLOOKUP($M20,$M$3:$Q$14,3,0),"")</f>
        <v>Hanger</v>
      </c>
      <c r="P20" s="111">
        <f t="shared" ref="P20:P98" si="3">IFERROR(VLOOKUP($M20,$M$3:$Q$14,4,0),"")</f>
        <v>2</v>
      </c>
      <c r="Q20" s="110">
        <f t="shared" ref="Q20:Q98" si="4">IFERROR(VLOOKUP($M20,$M$3:$Q$14,5,0),"")</f>
        <v>0</v>
      </c>
      <c r="R20" s="110">
        <v>6</v>
      </c>
      <c r="S20" s="112">
        <v>20400</v>
      </c>
      <c r="T20" s="113">
        <f t="shared" ref="T20:T136" si="5">S20/1.11</f>
        <v>18378.378378378377</v>
      </c>
      <c r="U20" s="114">
        <v>25308</v>
      </c>
      <c r="V20" s="114">
        <v>22524</v>
      </c>
    </row>
    <row r="21" spans="1:54" ht="22.5" customHeight="1">
      <c r="A21" s="109"/>
      <c r="B21" s="109"/>
      <c r="C21" s="110">
        <v>1</v>
      </c>
      <c r="D21" s="110">
        <v>859288</v>
      </c>
      <c r="E21" s="110" t="s">
        <v>47</v>
      </c>
      <c r="F21" s="110" t="s">
        <v>1403</v>
      </c>
      <c r="G21" s="110" t="s">
        <v>28</v>
      </c>
      <c r="H21" s="110" t="s">
        <v>34</v>
      </c>
      <c r="I21" s="110" t="s">
        <v>33</v>
      </c>
      <c r="J21" s="111">
        <v>3</v>
      </c>
      <c r="K21" s="110" t="str">
        <f t="shared" si="0"/>
        <v>NON DISTRIBUTOR</v>
      </c>
      <c r="L21" s="110" t="s">
        <v>37</v>
      </c>
      <c r="M21" s="111">
        <v>11</v>
      </c>
      <c r="N21" s="110" t="str">
        <f t="shared" si="1"/>
        <v>In Pcs</v>
      </c>
      <c r="O21" s="110" t="str">
        <f t="shared" si="2"/>
        <v>Botol</v>
      </c>
      <c r="P21" s="111">
        <f t="shared" si="3"/>
        <v>4</v>
      </c>
      <c r="Q21" s="110" t="str">
        <f t="shared" si="4"/>
        <v>small</v>
      </c>
      <c r="R21" s="110">
        <v>48</v>
      </c>
      <c r="S21" s="112">
        <v>3400</v>
      </c>
      <c r="T21" s="113">
        <f t="shared" si="5"/>
        <v>3063.0630630630626</v>
      </c>
      <c r="U21" s="114">
        <v>3163</v>
      </c>
      <c r="V21" s="114">
        <v>2815</v>
      </c>
    </row>
    <row r="22" spans="1:54" ht="22.5" customHeight="1">
      <c r="A22" s="109"/>
      <c r="B22" s="109"/>
      <c r="C22" s="110">
        <v>3</v>
      </c>
      <c r="D22" s="110">
        <v>859290</v>
      </c>
      <c r="E22" s="110" t="s">
        <v>49</v>
      </c>
      <c r="F22" s="110" t="s">
        <v>1403</v>
      </c>
      <c r="G22" s="110" t="s">
        <v>28</v>
      </c>
      <c r="H22" s="110" t="s">
        <v>34</v>
      </c>
      <c r="I22" s="110" t="s">
        <v>33</v>
      </c>
      <c r="J22" s="111">
        <v>3</v>
      </c>
      <c r="K22" s="110" t="str">
        <f t="shared" si="0"/>
        <v>NON DISTRIBUTOR</v>
      </c>
      <c r="L22" s="110" t="s">
        <v>37</v>
      </c>
      <c r="M22" s="111">
        <v>1</v>
      </c>
      <c r="N22" s="110" t="str">
        <f t="shared" si="1"/>
        <v>In Carton</v>
      </c>
      <c r="O22" s="110" t="str">
        <f t="shared" si="2"/>
        <v>Carton</v>
      </c>
      <c r="P22" s="111">
        <f t="shared" si="3"/>
        <v>1</v>
      </c>
      <c r="Q22" s="110" t="str">
        <f t="shared" si="4"/>
        <v>large</v>
      </c>
      <c r="R22" s="110">
        <v>1</v>
      </c>
      <c r="S22" s="112">
        <f>6900*24</f>
        <v>165600</v>
      </c>
      <c r="T22" s="113">
        <f t="shared" si="5"/>
        <v>149189.18918918917</v>
      </c>
      <c r="U22" s="114">
        <v>156910</v>
      </c>
      <c r="V22" s="25">
        <f>U22-(U22*11%)</f>
        <v>139649.9</v>
      </c>
    </row>
    <row r="23" spans="1:54" ht="22.5" customHeight="1">
      <c r="A23" s="109"/>
      <c r="B23" s="109"/>
      <c r="C23" s="110">
        <v>3</v>
      </c>
      <c r="D23" s="110">
        <v>859290</v>
      </c>
      <c r="E23" s="110" t="s">
        <v>49</v>
      </c>
      <c r="F23" s="110" t="s">
        <v>1403</v>
      </c>
      <c r="G23" s="110" t="s">
        <v>28</v>
      </c>
      <c r="H23" s="110" t="s">
        <v>34</v>
      </c>
      <c r="I23" s="110" t="s">
        <v>33</v>
      </c>
      <c r="J23" s="111">
        <v>3</v>
      </c>
      <c r="K23" s="110" t="str">
        <f t="shared" si="0"/>
        <v>NON DISTRIBUTOR</v>
      </c>
      <c r="L23" s="110" t="s">
        <v>37</v>
      </c>
      <c r="M23" s="111">
        <v>6</v>
      </c>
      <c r="N23" s="110" t="str">
        <f t="shared" si="1"/>
        <v>In Pack</v>
      </c>
      <c r="O23" s="110" t="str">
        <f t="shared" si="2"/>
        <v>Hanger</v>
      </c>
      <c r="P23" s="111">
        <f t="shared" si="3"/>
        <v>2</v>
      </c>
      <c r="Q23" s="110">
        <f t="shared" si="4"/>
        <v>0</v>
      </c>
      <c r="R23" s="110">
        <v>4</v>
      </c>
      <c r="S23" s="112">
        <f>6900*4</f>
        <v>27600</v>
      </c>
      <c r="T23" s="113">
        <f t="shared" si="5"/>
        <v>24864.864864864863</v>
      </c>
      <c r="U23" s="114">
        <v>5612</v>
      </c>
      <c r="V23" s="25">
        <v>34912</v>
      </c>
    </row>
    <row r="24" spans="1:54" ht="22.5" customHeight="1">
      <c r="A24" s="109"/>
      <c r="B24" s="109"/>
      <c r="C24" s="110">
        <v>3</v>
      </c>
      <c r="D24" s="110">
        <v>859290</v>
      </c>
      <c r="E24" s="110" t="s">
        <v>49</v>
      </c>
      <c r="F24" s="110" t="s">
        <v>1403</v>
      </c>
      <c r="G24" s="110" t="s">
        <v>28</v>
      </c>
      <c r="H24" s="110" t="s">
        <v>34</v>
      </c>
      <c r="I24" s="110" t="s">
        <v>33</v>
      </c>
      <c r="J24" s="111">
        <v>3</v>
      </c>
      <c r="K24" s="110" t="str">
        <f t="shared" si="0"/>
        <v>NON DISTRIBUTOR</v>
      </c>
      <c r="L24" s="110" t="s">
        <v>37</v>
      </c>
      <c r="M24" s="111">
        <v>11</v>
      </c>
      <c r="N24" s="110" t="str">
        <f t="shared" si="1"/>
        <v>In Pcs</v>
      </c>
      <c r="O24" s="110" t="str">
        <f t="shared" si="2"/>
        <v>Botol</v>
      </c>
      <c r="P24" s="111">
        <f t="shared" si="3"/>
        <v>4</v>
      </c>
      <c r="Q24" s="110" t="str">
        <f t="shared" si="4"/>
        <v>small</v>
      </c>
      <c r="R24" s="110">
        <v>24</v>
      </c>
      <c r="S24" s="112">
        <v>6900</v>
      </c>
      <c r="T24" s="113">
        <f t="shared" si="5"/>
        <v>6216.2162162162158</v>
      </c>
      <c r="U24" s="114">
        <v>6537</v>
      </c>
      <c r="V24" s="25">
        <v>5818</v>
      </c>
    </row>
    <row r="25" spans="1:54" ht="22.5" customHeight="1">
      <c r="A25" s="109"/>
      <c r="B25" s="109"/>
      <c r="C25" s="110">
        <v>4</v>
      </c>
      <c r="D25" s="110">
        <v>859293</v>
      </c>
      <c r="E25" s="110" t="s">
        <v>50</v>
      </c>
      <c r="F25" s="110" t="s">
        <v>1410</v>
      </c>
      <c r="G25" s="110" t="s">
        <v>28</v>
      </c>
      <c r="H25" s="110" t="s">
        <v>34</v>
      </c>
      <c r="I25" s="110" t="s">
        <v>33</v>
      </c>
      <c r="J25" s="111">
        <v>3</v>
      </c>
      <c r="K25" s="110" t="str">
        <f t="shared" si="0"/>
        <v>NON DISTRIBUTOR</v>
      </c>
      <c r="L25" s="110" t="s">
        <v>37</v>
      </c>
      <c r="M25" s="111">
        <v>1</v>
      </c>
      <c r="N25" s="110" t="str">
        <f t="shared" si="1"/>
        <v>In Carton</v>
      </c>
      <c r="O25" s="110" t="str">
        <f t="shared" si="2"/>
        <v>Carton</v>
      </c>
      <c r="P25" s="111">
        <f t="shared" si="3"/>
        <v>1</v>
      </c>
      <c r="Q25" s="110" t="str">
        <f t="shared" si="4"/>
        <v>large</v>
      </c>
      <c r="R25" s="110">
        <v>1</v>
      </c>
      <c r="S25" s="112">
        <f>6000*24</f>
        <v>144000</v>
      </c>
      <c r="T25" s="113">
        <f t="shared" si="5"/>
        <v>129729.72972972972</v>
      </c>
      <c r="U25" s="114">
        <v>136663</v>
      </c>
      <c r="V25" s="25">
        <f>U25-(U25*11%)</f>
        <v>121630.07</v>
      </c>
    </row>
    <row r="26" spans="1:54" ht="22.5" customHeight="1">
      <c r="A26" s="109"/>
      <c r="B26" s="109"/>
      <c r="C26" s="110">
        <v>4</v>
      </c>
      <c r="D26" s="110">
        <v>859293</v>
      </c>
      <c r="E26" s="110" t="s">
        <v>50</v>
      </c>
      <c r="F26" s="110" t="s">
        <v>1410</v>
      </c>
      <c r="G26" s="110" t="s">
        <v>28</v>
      </c>
      <c r="H26" s="110" t="s">
        <v>34</v>
      </c>
      <c r="I26" s="110" t="s">
        <v>33</v>
      </c>
      <c r="J26" s="111">
        <v>3</v>
      </c>
      <c r="K26" s="110" t="str">
        <f t="shared" si="0"/>
        <v>NON DISTRIBUTOR</v>
      </c>
      <c r="L26" s="110" t="s">
        <v>37</v>
      </c>
      <c r="M26" s="111">
        <v>9</v>
      </c>
      <c r="N26" s="110" t="str">
        <f t="shared" si="1"/>
        <v>In Pcs</v>
      </c>
      <c r="O26" s="110" t="str">
        <f t="shared" si="2"/>
        <v>Pcs</v>
      </c>
      <c r="P26" s="111">
        <f t="shared" si="3"/>
        <v>4</v>
      </c>
      <c r="Q26" s="110" t="str">
        <f t="shared" si="4"/>
        <v>small</v>
      </c>
      <c r="R26" s="110">
        <v>24</v>
      </c>
      <c r="S26" s="112">
        <v>6000</v>
      </c>
      <c r="T26" s="113">
        <f t="shared" si="5"/>
        <v>5405.405405405405</v>
      </c>
      <c r="U26" s="114">
        <v>5694</v>
      </c>
      <c r="V26" s="25">
        <v>5067</v>
      </c>
    </row>
    <row r="27" spans="1:54" ht="22.5" customHeight="1">
      <c r="A27" s="109"/>
      <c r="B27" s="109"/>
      <c r="C27" s="110">
        <v>5</v>
      </c>
      <c r="D27" s="110">
        <v>859292</v>
      </c>
      <c r="E27" s="110" t="s">
        <v>52</v>
      </c>
      <c r="F27" s="110" t="s">
        <v>1410</v>
      </c>
      <c r="G27" s="110" t="s">
        <v>28</v>
      </c>
      <c r="H27" s="110" t="s">
        <v>34</v>
      </c>
      <c r="I27" s="110" t="s">
        <v>33</v>
      </c>
      <c r="J27" s="111">
        <v>3</v>
      </c>
      <c r="K27" s="110" t="str">
        <f t="shared" si="0"/>
        <v>NON DISTRIBUTOR</v>
      </c>
      <c r="L27" s="110" t="s">
        <v>37</v>
      </c>
      <c r="M27" s="111">
        <v>1</v>
      </c>
      <c r="N27" s="110" t="str">
        <f t="shared" si="1"/>
        <v>In Carton</v>
      </c>
      <c r="O27" s="110" t="str">
        <f t="shared" si="2"/>
        <v>Carton</v>
      </c>
      <c r="P27" s="111">
        <f t="shared" si="3"/>
        <v>1</v>
      </c>
      <c r="Q27" s="110" t="str">
        <f t="shared" si="4"/>
        <v>large</v>
      </c>
      <c r="R27" s="110">
        <v>1</v>
      </c>
      <c r="S27" s="112">
        <f>6000*24</f>
        <v>144000</v>
      </c>
      <c r="T27" s="113">
        <f t="shared" si="5"/>
        <v>129729.72972972972</v>
      </c>
      <c r="U27" s="114">
        <v>136663</v>
      </c>
      <c r="V27" s="25">
        <v>121630</v>
      </c>
    </row>
    <row r="28" spans="1:54" ht="22.5" customHeight="1">
      <c r="A28" s="109"/>
      <c r="B28" s="109"/>
      <c r="C28" s="110">
        <v>5</v>
      </c>
      <c r="D28" s="110">
        <v>859292</v>
      </c>
      <c r="E28" s="110" t="s">
        <v>52</v>
      </c>
      <c r="F28" s="110" t="s">
        <v>1410</v>
      </c>
      <c r="G28" s="110" t="s">
        <v>28</v>
      </c>
      <c r="H28" s="110" t="s">
        <v>34</v>
      </c>
      <c r="I28" s="110" t="s">
        <v>33</v>
      </c>
      <c r="J28" s="111">
        <v>3</v>
      </c>
      <c r="K28" s="110" t="str">
        <f t="shared" si="0"/>
        <v>NON DISTRIBUTOR</v>
      </c>
      <c r="L28" s="110" t="s">
        <v>37</v>
      </c>
      <c r="M28" s="111">
        <v>9</v>
      </c>
      <c r="N28" s="110" t="str">
        <f t="shared" si="1"/>
        <v>In Pcs</v>
      </c>
      <c r="O28" s="110" t="str">
        <f t="shared" si="2"/>
        <v>Pcs</v>
      </c>
      <c r="P28" s="111">
        <f t="shared" si="3"/>
        <v>4</v>
      </c>
      <c r="Q28" s="110" t="str">
        <f t="shared" si="4"/>
        <v>small</v>
      </c>
      <c r="R28" s="110">
        <v>24</v>
      </c>
      <c r="S28" s="112">
        <v>6000</v>
      </c>
      <c r="T28" s="113">
        <f t="shared" si="5"/>
        <v>5405.405405405405</v>
      </c>
      <c r="U28" s="114">
        <v>5694</v>
      </c>
      <c r="V28" s="25">
        <v>5067</v>
      </c>
    </row>
    <row r="29" spans="1:54" ht="22.5" customHeight="1">
      <c r="A29" s="109"/>
      <c r="B29" s="109"/>
      <c r="C29" s="110">
        <v>6</v>
      </c>
      <c r="D29" s="110">
        <v>859291</v>
      </c>
      <c r="E29" s="110" t="s">
        <v>51</v>
      </c>
      <c r="F29" s="110" t="s">
        <v>1410</v>
      </c>
      <c r="G29" s="110" t="s">
        <v>28</v>
      </c>
      <c r="H29" s="110" t="s">
        <v>34</v>
      </c>
      <c r="I29" s="110" t="s">
        <v>33</v>
      </c>
      <c r="J29" s="111">
        <v>3</v>
      </c>
      <c r="K29" s="110" t="str">
        <f t="shared" si="0"/>
        <v>NON DISTRIBUTOR</v>
      </c>
      <c r="L29" s="110" t="s">
        <v>37</v>
      </c>
      <c r="M29" s="111">
        <v>1</v>
      </c>
      <c r="N29" s="110" t="str">
        <f t="shared" si="1"/>
        <v>In Carton</v>
      </c>
      <c r="O29" s="110" t="str">
        <f t="shared" si="2"/>
        <v>Carton</v>
      </c>
      <c r="P29" s="111">
        <f t="shared" si="3"/>
        <v>1</v>
      </c>
      <c r="Q29" s="110" t="str">
        <f t="shared" si="4"/>
        <v>large</v>
      </c>
      <c r="R29" s="110">
        <v>1</v>
      </c>
      <c r="S29" s="112">
        <f>6000*24</f>
        <v>144000</v>
      </c>
      <c r="T29" s="113">
        <f t="shared" si="5"/>
        <v>129729.72972972972</v>
      </c>
      <c r="U29" s="114">
        <v>136663</v>
      </c>
      <c r="V29" s="25">
        <v>121630</v>
      </c>
    </row>
    <row r="30" spans="1:54" ht="22.5" customHeight="1">
      <c r="A30" s="109"/>
      <c r="B30" s="109"/>
      <c r="C30" s="110">
        <v>6</v>
      </c>
      <c r="D30" s="110">
        <v>859291</v>
      </c>
      <c r="E30" s="110" t="s">
        <v>51</v>
      </c>
      <c r="F30" s="110" t="s">
        <v>1410</v>
      </c>
      <c r="G30" s="110" t="s">
        <v>28</v>
      </c>
      <c r="H30" s="110" t="s">
        <v>34</v>
      </c>
      <c r="I30" s="110" t="s">
        <v>33</v>
      </c>
      <c r="J30" s="111">
        <v>3</v>
      </c>
      <c r="K30" s="110" t="str">
        <f t="shared" si="0"/>
        <v>NON DISTRIBUTOR</v>
      </c>
      <c r="L30" s="110" t="s">
        <v>37</v>
      </c>
      <c r="M30" s="111">
        <v>9</v>
      </c>
      <c r="N30" s="110" t="str">
        <f t="shared" si="1"/>
        <v>In Pcs</v>
      </c>
      <c r="O30" s="110" t="str">
        <f t="shared" si="2"/>
        <v>Pcs</v>
      </c>
      <c r="P30" s="111">
        <f t="shared" si="3"/>
        <v>4</v>
      </c>
      <c r="Q30" s="110" t="str">
        <f t="shared" si="4"/>
        <v>small</v>
      </c>
      <c r="R30" s="110">
        <v>24</v>
      </c>
      <c r="S30" s="112">
        <v>6000</v>
      </c>
      <c r="T30" s="113">
        <f t="shared" si="5"/>
        <v>5405.405405405405</v>
      </c>
      <c r="U30" s="114">
        <v>5694</v>
      </c>
      <c r="V30" s="114">
        <v>5067</v>
      </c>
    </row>
    <row r="31" spans="1:54" ht="22.5" customHeight="1">
      <c r="A31" s="109"/>
      <c r="B31" s="109"/>
      <c r="C31" s="110">
        <v>7</v>
      </c>
      <c r="D31" s="110">
        <v>859301</v>
      </c>
      <c r="E31" s="110" t="s">
        <v>53</v>
      </c>
      <c r="F31" s="110" t="s">
        <v>1410</v>
      </c>
      <c r="G31" s="110" t="s">
        <v>28</v>
      </c>
      <c r="H31" s="110" t="s">
        <v>34</v>
      </c>
      <c r="I31" s="110" t="s">
        <v>33</v>
      </c>
      <c r="J31" s="111">
        <v>3</v>
      </c>
      <c r="K31" s="110" t="str">
        <f t="shared" si="0"/>
        <v>NON DISTRIBUTOR</v>
      </c>
      <c r="L31" s="110" t="s">
        <v>37</v>
      </c>
      <c r="M31" s="111">
        <v>1</v>
      </c>
      <c r="N31" s="110" t="str">
        <f t="shared" si="1"/>
        <v>In Carton</v>
      </c>
      <c r="O31" s="110" t="str">
        <f t="shared" si="2"/>
        <v>Carton</v>
      </c>
      <c r="P31" s="111">
        <f t="shared" si="3"/>
        <v>1</v>
      </c>
      <c r="Q31" s="110" t="str">
        <f t="shared" si="4"/>
        <v>large</v>
      </c>
      <c r="R31" s="110">
        <v>1</v>
      </c>
      <c r="S31" s="112">
        <v>144000</v>
      </c>
      <c r="T31" s="113">
        <f t="shared" si="5"/>
        <v>129729.72972972972</v>
      </c>
      <c r="U31" s="114">
        <v>136663</v>
      </c>
      <c r="V31" s="114">
        <v>121360</v>
      </c>
    </row>
    <row r="32" spans="1:54" ht="22.5" customHeight="1">
      <c r="A32" s="109"/>
      <c r="B32" s="109"/>
      <c r="C32" s="110">
        <v>7</v>
      </c>
      <c r="D32" s="110">
        <v>859301</v>
      </c>
      <c r="E32" s="110" t="s">
        <v>53</v>
      </c>
      <c r="F32" s="110" t="s">
        <v>1410</v>
      </c>
      <c r="G32" s="110" t="s">
        <v>28</v>
      </c>
      <c r="H32" s="110" t="s">
        <v>34</v>
      </c>
      <c r="I32" s="110" t="s">
        <v>33</v>
      </c>
      <c r="J32" s="111">
        <v>3</v>
      </c>
      <c r="K32" s="110" t="str">
        <f t="shared" si="0"/>
        <v>NON DISTRIBUTOR</v>
      </c>
      <c r="L32" s="110" t="s">
        <v>37</v>
      </c>
      <c r="M32" s="111">
        <v>9</v>
      </c>
      <c r="N32" s="110" t="str">
        <f t="shared" si="1"/>
        <v>In Pcs</v>
      </c>
      <c r="O32" s="110" t="str">
        <f t="shared" si="2"/>
        <v>Pcs</v>
      </c>
      <c r="P32" s="111">
        <f t="shared" si="3"/>
        <v>4</v>
      </c>
      <c r="Q32" s="110" t="str">
        <f t="shared" si="4"/>
        <v>small</v>
      </c>
      <c r="R32" s="110">
        <v>24</v>
      </c>
      <c r="S32" s="112">
        <v>6000</v>
      </c>
      <c r="T32" s="113">
        <f t="shared" si="5"/>
        <v>5405.405405405405</v>
      </c>
      <c r="U32" s="114">
        <v>5694</v>
      </c>
      <c r="V32" s="114">
        <v>5067</v>
      </c>
    </row>
    <row r="33" spans="1:22" ht="22.5" customHeight="1">
      <c r="A33" s="109"/>
      <c r="B33" s="109"/>
      <c r="C33" s="110">
        <v>8</v>
      </c>
      <c r="D33" s="110">
        <v>859299</v>
      </c>
      <c r="E33" s="110" t="s">
        <v>54</v>
      </c>
      <c r="F33" s="110" t="s">
        <v>1410</v>
      </c>
      <c r="G33" s="110" t="s">
        <v>28</v>
      </c>
      <c r="H33" s="110" t="s">
        <v>34</v>
      </c>
      <c r="I33" s="110" t="s">
        <v>33</v>
      </c>
      <c r="J33" s="111">
        <v>3</v>
      </c>
      <c r="K33" s="110" t="str">
        <f t="shared" si="0"/>
        <v>NON DISTRIBUTOR</v>
      </c>
      <c r="L33" s="110" t="s">
        <v>37</v>
      </c>
      <c r="M33" s="111">
        <v>1</v>
      </c>
      <c r="N33" s="110" t="str">
        <f t="shared" si="1"/>
        <v>In Carton</v>
      </c>
      <c r="O33" s="110" t="str">
        <f t="shared" si="2"/>
        <v>Carton</v>
      </c>
      <c r="P33" s="111">
        <f t="shared" si="3"/>
        <v>1</v>
      </c>
      <c r="Q33" s="110" t="str">
        <f t="shared" si="4"/>
        <v>large</v>
      </c>
      <c r="R33" s="110">
        <v>1</v>
      </c>
      <c r="S33" s="112">
        <v>144000</v>
      </c>
      <c r="T33" s="113">
        <f t="shared" si="5"/>
        <v>129729.72972972972</v>
      </c>
      <c r="U33" s="114">
        <v>136663</v>
      </c>
      <c r="V33" s="114">
        <v>121630</v>
      </c>
    </row>
    <row r="34" spans="1:22" ht="22.5" customHeight="1">
      <c r="A34" s="109"/>
      <c r="B34" s="109"/>
      <c r="C34" s="110">
        <v>8</v>
      </c>
      <c r="D34" s="110">
        <v>859299</v>
      </c>
      <c r="E34" s="110" t="s">
        <v>54</v>
      </c>
      <c r="F34" s="110" t="s">
        <v>1410</v>
      </c>
      <c r="G34" s="110" t="s">
        <v>28</v>
      </c>
      <c r="H34" s="110" t="s">
        <v>34</v>
      </c>
      <c r="I34" s="110" t="s">
        <v>33</v>
      </c>
      <c r="J34" s="111">
        <v>3</v>
      </c>
      <c r="K34" s="110" t="str">
        <f t="shared" si="0"/>
        <v>NON DISTRIBUTOR</v>
      </c>
      <c r="L34" s="110" t="s">
        <v>37</v>
      </c>
      <c r="M34" s="111">
        <v>9</v>
      </c>
      <c r="N34" s="110" t="str">
        <f t="shared" si="1"/>
        <v>In Pcs</v>
      </c>
      <c r="O34" s="110" t="str">
        <f t="shared" si="2"/>
        <v>Pcs</v>
      </c>
      <c r="P34" s="111">
        <f t="shared" si="3"/>
        <v>4</v>
      </c>
      <c r="Q34" s="110" t="str">
        <f t="shared" si="4"/>
        <v>small</v>
      </c>
      <c r="R34" s="110">
        <v>24</v>
      </c>
      <c r="S34" s="112">
        <v>6000</v>
      </c>
      <c r="T34" s="113">
        <f t="shared" si="5"/>
        <v>5405.405405405405</v>
      </c>
      <c r="U34" s="114">
        <v>5694</v>
      </c>
      <c r="V34" s="114">
        <v>5067</v>
      </c>
    </row>
    <row r="35" spans="1:22" ht="22.5" customHeight="1">
      <c r="A35" s="109"/>
      <c r="B35" s="109"/>
      <c r="C35" s="110">
        <v>9</v>
      </c>
      <c r="D35" s="110">
        <v>859298</v>
      </c>
      <c r="E35" s="110" t="s">
        <v>55</v>
      </c>
      <c r="F35" s="110" t="s">
        <v>1410</v>
      </c>
      <c r="G35" s="110" t="s">
        <v>28</v>
      </c>
      <c r="H35" s="110" t="s">
        <v>34</v>
      </c>
      <c r="I35" s="110" t="s">
        <v>33</v>
      </c>
      <c r="J35" s="111">
        <v>3</v>
      </c>
      <c r="K35" s="110" t="str">
        <f t="shared" si="0"/>
        <v>NON DISTRIBUTOR</v>
      </c>
      <c r="L35" s="110" t="s">
        <v>37</v>
      </c>
      <c r="M35" s="111">
        <v>1</v>
      </c>
      <c r="N35" s="110" t="str">
        <f t="shared" si="1"/>
        <v>In Carton</v>
      </c>
      <c r="O35" s="110" t="str">
        <f t="shared" si="2"/>
        <v>Carton</v>
      </c>
      <c r="P35" s="111">
        <f t="shared" si="3"/>
        <v>1</v>
      </c>
      <c r="Q35" s="110" t="str">
        <f t="shared" si="4"/>
        <v>large</v>
      </c>
      <c r="R35" s="110">
        <v>1</v>
      </c>
      <c r="S35" s="112">
        <v>144000</v>
      </c>
      <c r="T35" s="113">
        <f t="shared" si="5"/>
        <v>129729.72972972972</v>
      </c>
      <c r="U35" s="114">
        <v>136663</v>
      </c>
      <c r="V35" s="114">
        <v>121630</v>
      </c>
    </row>
    <row r="36" spans="1:22" ht="22.5" customHeight="1">
      <c r="A36" s="109"/>
      <c r="B36" s="109"/>
      <c r="C36" s="110">
        <v>9</v>
      </c>
      <c r="D36" s="110">
        <v>859298</v>
      </c>
      <c r="E36" s="110" t="s">
        <v>55</v>
      </c>
      <c r="F36" s="110" t="s">
        <v>1410</v>
      </c>
      <c r="G36" s="110" t="s">
        <v>28</v>
      </c>
      <c r="H36" s="110" t="s">
        <v>34</v>
      </c>
      <c r="I36" s="110" t="s">
        <v>33</v>
      </c>
      <c r="J36" s="111">
        <v>3</v>
      </c>
      <c r="K36" s="110" t="str">
        <f t="shared" si="0"/>
        <v>NON DISTRIBUTOR</v>
      </c>
      <c r="L36" s="110" t="s">
        <v>37</v>
      </c>
      <c r="M36" s="111">
        <v>9</v>
      </c>
      <c r="N36" s="110" t="str">
        <f t="shared" si="1"/>
        <v>In Pcs</v>
      </c>
      <c r="O36" s="110" t="str">
        <f t="shared" si="2"/>
        <v>Pcs</v>
      </c>
      <c r="P36" s="111">
        <f t="shared" si="3"/>
        <v>4</v>
      </c>
      <c r="Q36" s="110" t="str">
        <f t="shared" si="4"/>
        <v>small</v>
      </c>
      <c r="R36" s="110">
        <v>24</v>
      </c>
      <c r="S36" s="112">
        <v>6000</v>
      </c>
      <c r="T36" s="113">
        <f t="shared" si="5"/>
        <v>5405.405405405405</v>
      </c>
      <c r="U36" s="114">
        <v>5694</v>
      </c>
      <c r="V36" s="114">
        <v>5067</v>
      </c>
    </row>
    <row r="37" spans="1:22" ht="22.5" customHeight="1">
      <c r="A37" s="109"/>
      <c r="B37" s="109"/>
      <c r="C37" s="110">
        <v>10</v>
      </c>
      <c r="D37" s="110">
        <v>859300</v>
      </c>
      <c r="E37" s="110" t="s">
        <v>56</v>
      </c>
      <c r="F37" s="110" t="s">
        <v>1410</v>
      </c>
      <c r="G37" s="110" t="s">
        <v>28</v>
      </c>
      <c r="H37" s="110" t="s">
        <v>34</v>
      </c>
      <c r="I37" s="110" t="s">
        <v>33</v>
      </c>
      <c r="J37" s="111">
        <v>3</v>
      </c>
      <c r="K37" s="110" t="str">
        <f t="shared" si="0"/>
        <v>NON DISTRIBUTOR</v>
      </c>
      <c r="L37" s="110" t="s">
        <v>37</v>
      </c>
      <c r="M37" s="111">
        <v>1</v>
      </c>
      <c r="N37" s="110" t="str">
        <f t="shared" si="1"/>
        <v>In Carton</v>
      </c>
      <c r="O37" s="110" t="str">
        <f t="shared" si="2"/>
        <v>Carton</v>
      </c>
      <c r="P37" s="111">
        <f t="shared" si="3"/>
        <v>1</v>
      </c>
      <c r="Q37" s="110" t="str">
        <f t="shared" si="4"/>
        <v>large</v>
      </c>
      <c r="R37" s="110">
        <v>1</v>
      </c>
      <c r="S37" s="112">
        <v>144000</v>
      </c>
      <c r="T37" s="113">
        <f t="shared" si="5"/>
        <v>129729.72972972972</v>
      </c>
      <c r="U37" s="114">
        <v>136663</v>
      </c>
      <c r="V37" s="114">
        <v>121630</v>
      </c>
    </row>
    <row r="38" spans="1:22" ht="22.5" customHeight="1">
      <c r="A38" s="109"/>
      <c r="B38" s="109"/>
      <c r="C38" s="110">
        <v>10</v>
      </c>
      <c r="D38" s="110">
        <v>859300</v>
      </c>
      <c r="E38" s="110" t="s">
        <v>56</v>
      </c>
      <c r="F38" s="110" t="s">
        <v>1410</v>
      </c>
      <c r="G38" s="110" t="s">
        <v>28</v>
      </c>
      <c r="H38" s="110" t="s">
        <v>34</v>
      </c>
      <c r="I38" s="110" t="s">
        <v>33</v>
      </c>
      <c r="J38" s="111">
        <v>3</v>
      </c>
      <c r="K38" s="110" t="str">
        <f t="shared" si="0"/>
        <v>NON DISTRIBUTOR</v>
      </c>
      <c r="L38" s="110" t="s">
        <v>37</v>
      </c>
      <c r="M38" s="111">
        <v>9</v>
      </c>
      <c r="N38" s="110" t="str">
        <f t="shared" si="1"/>
        <v>In Pcs</v>
      </c>
      <c r="O38" s="110" t="str">
        <f t="shared" si="2"/>
        <v>Pcs</v>
      </c>
      <c r="P38" s="111">
        <f t="shared" si="3"/>
        <v>4</v>
      </c>
      <c r="Q38" s="110" t="str">
        <f t="shared" si="4"/>
        <v>small</v>
      </c>
      <c r="R38" s="110">
        <v>24</v>
      </c>
      <c r="S38" s="112">
        <v>6000</v>
      </c>
      <c r="T38" s="113">
        <f t="shared" si="5"/>
        <v>5405.405405405405</v>
      </c>
      <c r="U38" s="114">
        <v>5694</v>
      </c>
      <c r="V38" s="114">
        <v>5067</v>
      </c>
    </row>
    <row r="39" spans="1:22" ht="22.5" customHeight="1">
      <c r="A39" s="109"/>
      <c r="B39" s="109"/>
      <c r="C39" s="110">
        <v>11</v>
      </c>
      <c r="D39" s="110">
        <v>859302</v>
      </c>
      <c r="E39" s="110" t="s">
        <v>57</v>
      </c>
      <c r="F39" s="110" t="s">
        <v>1410</v>
      </c>
      <c r="G39" s="110" t="s">
        <v>28</v>
      </c>
      <c r="H39" s="110" t="s">
        <v>34</v>
      </c>
      <c r="I39" s="110" t="s">
        <v>33</v>
      </c>
      <c r="J39" s="111">
        <v>3</v>
      </c>
      <c r="K39" s="110" t="str">
        <f t="shared" si="0"/>
        <v>NON DISTRIBUTOR</v>
      </c>
      <c r="L39" s="110" t="s">
        <v>37</v>
      </c>
      <c r="M39" s="111">
        <v>1</v>
      </c>
      <c r="N39" s="110" t="str">
        <f t="shared" si="1"/>
        <v>In Carton</v>
      </c>
      <c r="O39" s="110" t="str">
        <f t="shared" si="2"/>
        <v>Carton</v>
      </c>
      <c r="P39" s="111">
        <f t="shared" si="3"/>
        <v>1</v>
      </c>
      <c r="Q39" s="110" t="str">
        <f t="shared" si="4"/>
        <v>large</v>
      </c>
      <c r="R39" s="110">
        <v>1</v>
      </c>
      <c r="S39" s="112">
        <v>144000</v>
      </c>
      <c r="T39" s="113">
        <f t="shared" si="5"/>
        <v>129729.72972972972</v>
      </c>
      <c r="U39" s="114">
        <v>136663</v>
      </c>
      <c r="V39" s="114">
        <v>121630</v>
      </c>
    </row>
    <row r="40" spans="1:22" ht="22.5" customHeight="1">
      <c r="A40" s="109"/>
      <c r="B40" s="109"/>
      <c r="C40" s="110">
        <v>11</v>
      </c>
      <c r="D40" s="110">
        <v>859303</v>
      </c>
      <c r="E40" s="110" t="s">
        <v>57</v>
      </c>
      <c r="F40" s="110" t="s">
        <v>1410</v>
      </c>
      <c r="G40" s="110" t="s">
        <v>28</v>
      </c>
      <c r="H40" s="110" t="s">
        <v>34</v>
      </c>
      <c r="I40" s="110" t="s">
        <v>33</v>
      </c>
      <c r="J40" s="111">
        <v>3</v>
      </c>
      <c r="K40" s="110" t="str">
        <f t="shared" si="0"/>
        <v>NON DISTRIBUTOR</v>
      </c>
      <c r="L40" s="110" t="s">
        <v>37</v>
      </c>
      <c r="M40" s="111">
        <v>9</v>
      </c>
      <c r="N40" s="110" t="str">
        <f t="shared" si="1"/>
        <v>In Pcs</v>
      </c>
      <c r="O40" s="110" t="str">
        <f t="shared" si="2"/>
        <v>Pcs</v>
      </c>
      <c r="P40" s="111">
        <f t="shared" si="3"/>
        <v>4</v>
      </c>
      <c r="Q40" s="110" t="str">
        <f t="shared" si="4"/>
        <v>small</v>
      </c>
      <c r="R40" s="110">
        <v>24</v>
      </c>
      <c r="S40" s="112">
        <v>6000</v>
      </c>
      <c r="T40" s="113">
        <f t="shared" si="5"/>
        <v>5405.405405405405</v>
      </c>
      <c r="U40" s="114">
        <v>5694</v>
      </c>
      <c r="V40" s="114">
        <v>5067</v>
      </c>
    </row>
    <row r="41" spans="1:22" ht="22.5" customHeight="1">
      <c r="A41" s="109"/>
      <c r="B41" s="109"/>
      <c r="C41" s="115">
        <v>13</v>
      </c>
      <c r="D41" s="115">
        <v>10000844</v>
      </c>
      <c r="E41" s="115" t="s">
        <v>59</v>
      </c>
      <c r="F41" s="115" t="s">
        <v>60</v>
      </c>
      <c r="G41" s="115" t="s">
        <v>60</v>
      </c>
      <c r="H41" s="115" t="s">
        <v>24</v>
      </c>
      <c r="I41" s="115" t="s">
        <v>60</v>
      </c>
      <c r="J41" s="116">
        <v>2</v>
      </c>
      <c r="K41" s="115" t="str">
        <f t="shared" si="0"/>
        <v>SUB DISTRIBUTOR</v>
      </c>
      <c r="L41" s="115" t="s">
        <v>37</v>
      </c>
      <c r="M41" s="116">
        <v>1</v>
      </c>
      <c r="N41" s="115" t="str">
        <f t="shared" si="1"/>
        <v>In Carton</v>
      </c>
      <c r="O41" s="115" t="str">
        <f t="shared" si="2"/>
        <v>Carton</v>
      </c>
      <c r="P41" s="116">
        <f t="shared" si="3"/>
        <v>1</v>
      </c>
      <c r="Q41" s="115" t="str">
        <f t="shared" si="4"/>
        <v>large</v>
      </c>
      <c r="R41" s="115">
        <v>1</v>
      </c>
      <c r="S41" s="117"/>
      <c r="T41" s="118">
        <f t="shared" si="5"/>
        <v>0</v>
      </c>
      <c r="U41" s="119">
        <v>94794</v>
      </c>
      <c r="V41" s="119">
        <v>85400</v>
      </c>
    </row>
    <row r="42" spans="1:22" ht="22.5" customHeight="1">
      <c r="A42" s="109"/>
      <c r="B42" s="109"/>
      <c r="C42" s="115">
        <v>13</v>
      </c>
      <c r="D42" s="115">
        <v>10000844</v>
      </c>
      <c r="E42" s="115" t="s">
        <v>59</v>
      </c>
      <c r="F42" s="115" t="s">
        <v>60</v>
      </c>
      <c r="G42" s="115" t="s">
        <v>60</v>
      </c>
      <c r="H42" s="115" t="s">
        <v>24</v>
      </c>
      <c r="I42" s="115" t="s">
        <v>60</v>
      </c>
      <c r="J42" s="116">
        <v>2</v>
      </c>
      <c r="K42" s="115" t="str">
        <f t="shared" si="0"/>
        <v>SUB DISTRIBUTOR</v>
      </c>
      <c r="L42" s="115" t="s">
        <v>37</v>
      </c>
      <c r="M42" s="116">
        <v>9</v>
      </c>
      <c r="N42" s="115" t="str">
        <f t="shared" si="1"/>
        <v>In Pcs</v>
      </c>
      <c r="O42" s="115" t="str">
        <f t="shared" si="2"/>
        <v>Pcs</v>
      </c>
      <c r="P42" s="116">
        <f t="shared" si="3"/>
        <v>4</v>
      </c>
      <c r="Q42" s="115" t="str">
        <f t="shared" si="4"/>
        <v>small</v>
      </c>
      <c r="R42" s="115">
        <v>40</v>
      </c>
      <c r="S42" s="117"/>
      <c r="T42" s="118"/>
      <c r="U42" s="119"/>
      <c r="V42" s="119"/>
    </row>
    <row r="43" spans="1:22" ht="22.5" customHeight="1">
      <c r="A43" s="109"/>
      <c r="B43" s="109"/>
      <c r="C43" s="115">
        <v>14</v>
      </c>
      <c r="D43" s="115">
        <v>10000147</v>
      </c>
      <c r="E43" s="115" t="s">
        <v>61</v>
      </c>
      <c r="F43" s="115" t="s">
        <v>62</v>
      </c>
      <c r="G43" s="115" t="s">
        <v>60</v>
      </c>
      <c r="H43" s="115" t="s">
        <v>63</v>
      </c>
      <c r="I43" s="115" t="s">
        <v>60</v>
      </c>
      <c r="J43" s="116">
        <v>2</v>
      </c>
      <c r="K43" s="115" t="str">
        <f t="shared" si="0"/>
        <v>SUB DISTRIBUTOR</v>
      </c>
      <c r="L43" s="115" t="s">
        <v>37</v>
      </c>
      <c r="M43" s="116">
        <v>1</v>
      </c>
      <c r="N43" s="115" t="str">
        <f t="shared" si="1"/>
        <v>In Carton</v>
      </c>
      <c r="O43" s="115" t="str">
        <f t="shared" si="2"/>
        <v>Carton</v>
      </c>
      <c r="P43" s="116">
        <f t="shared" si="3"/>
        <v>1</v>
      </c>
      <c r="Q43" s="115" t="str">
        <f t="shared" si="4"/>
        <v>large</v>
      </c>
      <c r="R43" s="115">
        <v>1</v>
      </c>
      <c r="S43" s="117">
        <v>107226</v>
      </c>
      <c r="T43" s="118">
        <f t="shared" si="5"/>
        <v>96599.999999999985</v>
      </c>
      <c r="U43" s="119">
        <v>104010</v>
      </c>
      <c r="V43" s="119">
        <v>93702</v>
      </c>
    </row>
    <row r="44" spans="1:22" ht="22.5" customHeight="1">
      <c r="A44" s="109"/>
      <c r="B44" s="109"/>
      <c r="C44" s="115">
        <v>14</v>
      </c>
      <c r="D44" s="115">
        <v>10000147</v>
      </c>
      <c r="E44" s="115" t="s">
        <v>61</v>
      </c>
      <c r="F44" s="115" t="s">
        <v>62</v>
      </c>
      <c r="G44" s="115" t="s">
        <v>60</v>
      </c>
      <c r="H44" s="115" t="s">
        <v>63</v>
      </c>
      <c r="I44" s="115" t="s">
        <v>60</v>
      </c>
      <c r="J44" s="116">
        <v>2</v>
      </c>
      <c r="K44" s="115" t="str">
        <f t="shared" si="0"/>
        <v>SUB DISTRIBUTOR</v>
      </c>
      <c r="L44" s="115" t="s">
        <v>37</v>
      </c>
      <c r="M44" s="116">
        <v>9</v>
      </c>
      <c r="N44" s="115" t="str">
        <f t="shared" si="1"/>
        <v>In Pcs</v>
      </c>
      <c r="O44" s="115" t="str">
        <f t="shared" si="2"/>
        <v>Pcs</v>
      </c>
      <c r="P44" s="116">
        <f t="shared" si="3"/>
        <v>4</v>
      </c>
      <c r="Q44" s="115" t="str">
        <f t="shared" si="4"/>
        <v>small</v>
      </c>
      <c r="R44" s="115">
        <v>24</v>
      </c>
      <c r="S44" s="117">
        <f>S43/R44</f>
        <v>4467.75</v>
      </c>
      <c r="T44" s="118">
        <f t="shared" si="5"/>
        <v>4024.9999999999995</v>
      </c>
      <c r="U44" s="119"/>
      <c r="V44" s="119"/>
    </row>
    <row r="45" spans="1:22" ht="22.5" customHeight="1">
      <c r="A45" s="109"/>
      <c r="B45" s="109"/>
      <c r="C45" s="30">
        <v>15</v>
      </c>
      <c r="D45" s="30">
        <v>20002989</v>
      </c>
      <c r="E45" s="30" t="s">
        <v>1200</v>
      </c>
      <c r="F45" s="30" t="s">
        <v>27</v>
      </c>
      <c r="G45" s="30" t="s">
        <v>27</v>
      </c>
      <c r="H45" s="30" t="s">
        <v>26</v>
      </c>
      <c r="I45" s="30" t="s">
        <v>63</v>
      </c>
      <c r="J45" s="120">
        <v>2</v>
      </c>
      <c r="K45" s="30" t="str">
        <f t="shared" si="0"/>
        <v>SUB DISTRIBUTOR</v>
      </c>
      <c r="L45" s="30" t="s">
        <v>37</v>
      </c>
      <c r="M45" s="120">
        <v>1</v>
      </c>
      <c r="N45" s="30" t="str">
        <f t="shared" si="1"/>
        <v>In Carton</v>
      </c>
      <c r="O45" s="30" t="str">
        <f t="shared" si="2"/>
        <v>Carton</v>
      </c>
      <c r="P45" s="120">
        <f t="shared" si="3"/>
        <v>1</v>
      </c>
      <c r="Q45" s="30" t="str">
        <f t="shared" si="4"/>
        <v>large</v>
      </c>
      <c r="R45" s="30">
        <v>1</v>
      </c>
      <c r="S45" s="121">
        <f>67346*8</f>
        <v>538768</v>
      </c>
      <c r="T45" s="122">
        <f t="shared" si="5"/>
        <v>485376.57657657651</v>
      </c>
      <c r="U45" s="123">
        <f>V45+(V45*11%)</f>
        <v>495224.28</v>
      </c>
      <c r="V45" s="123">
        <v>446148</v>
      </c>
    </row>
    <row r="46" spans="1:22" ht="22.5" customHeight="1">
      <c r="A46" s="109"/>
      <c r="B46" s="109"/>
      <c r="C46" s="30">
        <v>15</v>
      </c>
      <c r="D46" s="30">
        <v>20002989</v>
      </c>
      <c r="E46" s="30" t="s">
        <v>1200</v>
      </c>
      <c r="F46" s="30" t="s">
        <v>27</v>
      </c>
      <c r="G46" s="30" t="s">
        <v>27</v>
      </c>
      <c r="H46" s="30" t="s">
        <v>26</v>
      </c>
      <c r="I46" s="30" t="s">
        <v>63</v>
      </c>
      <c r="J46" s="120">
        <v>2</v>
      </c>
      <c r="K46" s="30" t="str">
        <f t="shared" si="0"/>
        <v>SUB DISTRIBUTOR</v>
      </c>
      <c r="L46" s="30" t="s">
        <v>37</v>
      </c>
      <c r="M46" s="120">
        <v>4</v>
      </c>
      <c r="N46" s="30" t="str">
        <f t="shared" si="1"/>
        <v>In Pack</v>
      </c>
      <c r="O46" s="30" t="str">
        <f t="shared" si="2"/>
        <v>Box</v>
      </c>
      <c r="P46" s="120">
        <f t="shared" si="3"/>
        <v>2</v>
      </c>
      <c r="Q46" s="30">
        <f t="shared" si="4"/>
        <v>0</v>
      </c>
      <c r="R46" s="30">
        <v>8</v>
      </c>
      <c r="S46" s="121">
        <v>67346</v>
      </c>
      <c r="T46" s="122">
        <f t="shared" si="5"/>
        <v>60672.072072072064</v>
      </c>
      <c r="U46" s="123">
        <v>61903</v>
      </c>
      <c r="V46" s="123">
        <v>55768</v>
      </c>
    </row>
    <row r="47" spans="1:22" ht="22.5" customHeight="1">
      <c r="A47" s="109"/>
      <c r="B47" s="109"/>
      <c r="C47" s="30">
        <v>15</v>
      </c>
      <c r="D47" s="30">
        <v>20002989</v>
      </c>
      <c r="E47" s="30" t="s">
        <v>1200</v>
      </c>
      <c r="F47" s="30" t="s">
        <v>27</v>
      </c>
      <c r="G47" s="30" t="s">
        <v>27</v>
      </c>
      <c r="H47" s="30" t="s">
        <v>26</v>
      </c>
      <c r="I47" s="30" t="s">
        <v>63</v>
      </c>
      <c r="J47" s="120">
        <v>2</v>
      </c>
      <c r="K47" s="30" t="str">
        <f t="shared" si="0"/>
        <v>SUB DISTRIBUTOR</v>
      </c>
      <c r="L47" s="30" t="s">
        <v>37</v>
      </c>
      <c r="M47" s="120">
        <v>9</v>
      </c>
      <c r="N47" s="30" t="str">
        <f t="shared" si="1"/>
        <v>In Pcs</v>
      </c>
      <c r="O47" s="30" t="str">
        <f t="shared" si="2"/>
        <v>Pcs</v>
      </c>
      <c r="P47" s="120">
        <f t="shared" si="3"/>
        <v>4</v>
      </c>
      <c r="Q47" s="30" t="str">
        <f t="shared" si="4"/>
        <v>small</v>
      </c>
      <c r="R47" s="30">
        <v>80</v>
      </c>
      <c r="S47" s="121">
        <f>S46/10</f>
        <v>6734.6</v>
      </c>
      <c r="T47" s="122">
        <f t="shared" si="5"/>
        <v>6067.2072072072069</v>
      </c>
      <c r="U47" s="123">
        <v>6190</v>
      </c>
      <c r="V47" s="123">
        <v>5576</v>
      </c>
    </row>
    <row r="48" spans="1:22" ht="22.5" customHeight="1">
      <c r="A48" s="109"/>
      <c r="B48" s="109"/>
      <c r="C48" s="30">
        <v>16</v>
      </c>
      <c r="D48" s="30">
        <v>20002990</v>
      </c>
      <c r="E48" s="30" t="s">
        <v>1201</v>
      </c>
      <c r="F48" s="30" t="s">
        <v>27</v>
      </c>
      <c r="G48" s="30" t="s">
        <v>27</v>
      </c>
      <c r="H48" s="30" t="s">
        <v>26</v>
      </c>
      <c r="I48" s="30" t="s">
        <v>63</v>
      </c>
      <c r="J48" s="120">
        <v>2</v>
      </c>
      <c r="K48" s="30" t="str">
        <f t="shared" si="0"/>
        <v>SUB DISTRIBUTOR</v>
      </c>
      <c r="L48" s="30" t="s">
        <v>37</v>
      </c>
      <c r="M48" s="120">
        <v>1</v>
      </c>
      <c r="N48" s="30" t="str">
        <f t="shared" si="1"/>
        <v>In Carton</v>
      </c>
      <c r="O48" s="30" t="str">
        <f t="shared" si="2"/>
        <v>Carton</v>
      </c>
      <c r="P48" s="120">
        <f t="shared" si="3"/>
        <v>1</v>
      </c>
      <c r="Q48" s="30" t="str">
        <f t="shared" si="4"/>
        <v>large</v>
      </c>
      <c r="R48" s="30">
        <v>1</v>
      </c>
      <c r="S48" s="121">
        <v>538768</v>
      </c>
      <c r="T48" s="122">
        <f t="shared" si="5"/>
        <v>485376.57657657651</v>
      </c>
      <c r="U48" s="123">
        <f>V48+(V48*11%)</f>
        <v>495224.28</v>
      </c>
      <c r="V48" s="123">
        <v>446148</v>
      </c>
    </row>
    <row r="49" spans="1:22" ht="22.5" customHeight="1">
      <c r="A49" s="109"/>
      <c r="B49" s="109"/>
      <c r="C49" s="30">
        <v>16</v>
      </c>
      <c r="D49" s="30">
        <v>20002990</v>
      </c>
      <c r="E49" s="30" t="s">
        <v>1201</v>
      </c>
      <c r="F49" s="30" t="s">
        <v>27</v>
      </c>
      <c r="G49" s="30" t="s">
        <v>27</v>
      </c>
      <c r="H49" s="30" t="s">
        <v>26</v>
      </c>
      <c r="I49" s="30" t="s">
        <v>63</v>
      </c>
      <c r="J49" s="120">
        <v>2</v>
      </c>
      <c r="K49" s="30" t="str">
        <f t="shared" si="0"/>
        <v>SUB DISTRIBUTOR</v>
      </c>
      <c r="L49" s="30" t="s">
        <v>37</v>
      </c>
      <c r="M49" s="120">
        <v>4</v>
      </c>
      <c r="N49" s="30" t="str">
        <f t="shared" si="1"/>
        <v>In Pack</v>
      </c>
      <c r="O49" s="30" t="str">
        <f t="shared" si="2"/>
        <v>Box</v>
      </c>
      <c r="P49" s="120">
        <f t="shared" si="3"/>
        <v>2</v>
      </c>
      <c r="Q49" s="30">
        <f t="shared" si="4"/>
        <v>0</v>
      </c>
      <c r="R49" s="30">
        <v>8</v>
      </c>
      <c r="S49" s="121">
        <v>67346</v>
      </c>
      <c r="T49" s="122">
        <f t="shared" si="5"/>
        <v>60672.072072072064</v>
      </c>
      <c r="U49" s="123">
        <v>61903</v>
      </c>
      <c r="V49" s="123">
        <v>55768</v>
      </c>
    </row>
    <row r="50" spans="1:22" ht="22.5" customHeight="1">
      <c r="A50" s="109"/>
      <c r="B50" s="109"/>
      <c r="C50" s="30">
        <v>16</v>
      </c>
      <c r="D50" s="30">
        <v>20002990</v>
      </c>
      <c r="E50" s="30" t="s">
        <v>1201</v>
      </c>
      <c r="F50" s="30" t="s">
        <v>27</v>
      </c>
      <c r="G50" s="30" t="s">
        <v>27</v>
      </c>
      <c r="H50" s="30" t="s">
        <v>26</v>
      </c>
      <c r="I50" s="30" t="s">
        <v>63</v>
      </c>
      <c r="J50" s="120">
        <v>2</v>
      </c>
      <c r="K50" s="30" t="str">
        <f t="shared" si="0"/>
        <v>SUB DISTRIBUTOR</v>
      </c>
      <c r="L50" s="30" t="s">
        <v>37</v>
      </c>
      <c r="M50" s="120">
        <v>9</v>
      </c>
      <c r="N50" s="30" t="str">
        <f t="shared" si="1"/>
        <v>In Pcs</v>
      </c>
      <c r="O50" s="30" t="str">
        <f t="shared" si="2"/>
        <v>Pcs</v>
      </c>
      <c r="P50" s="120">
        <f t="shared" si="3"/>
        <v>4</v>
      </c>
      <c r="Q50" s="30" t="str">
        <f t="shared" si="4"/>
        <v>small</v>
      </c>
      <c r="R50" s="30">
        <v>80</v>
      </c>
      <c r="S50" s="121">
        <f>S49/10</f>
        <v>6734.6</v>
      </c>
      <c r="T50" s="122">
        <f t="shared" si="5"/>
        <v>6067.2072072072069</v>
      </c>
      <c r="U50" s="123">
        <v>6190</v>
      </c>
      <c r="V50" s="123">
        <v>5576</v>
      </c>
    </row>
    <row r="51" spans="1:22" ht="22.5" customHeight="1">
      <c r="A51" s="109"/>
      <c r="B51" s="109"/>
      <c r="C51" s="30">
        <v>17</v>
      </c>
      <c r="D51" s="30">
        <v>20002991</v>
      </c>
      <c r="E51" s="30" t="s">
        <v>1202</v>
      </c>
      <c r="F51" s="30" t="s">
        <v>27</v>
      </c>
      <c r="G51" s="30" t="s">
        <v>27</v>
      </c>
      <c r="H51" s="30" t="s">
        <v>26</v>
      </c>
      <c r="I51" s="30" t="s">
        <v>63</v>
      </c>
      <c r="J51" s="120">
        <v>2</v>
      </c>
      <c r="K51" s="30" t="str">
        <f t="shared" si="0"/>
        <v>SUB DISTRIBUTOR</v>
      </c>
      <c r="L51" s="30" t="s">
        <v>37</v>
      </c>
      <c r="M51" s="120">
        <v>1</v>
      </c>
      <c r="N51" s="30" t="str">
        <f t="shared" si="1"/>
        <v>In Carton</v>
      </c>
      <c r="O51" s="30" t="str">
        <f t="shared" si="2"/>
        <v>Carton</v>
      </c>
      <c r="P51" s="120">
        <f t="shared" si="3"/>
        <v>1</v>
      </c>
      <c r="Q51" s="30" t="str">
        <f t="shared" si="4"/>
        <v>large</v>
      </c>
      <c r="R51" s="30">
        <v>1</v>
      </c>
      <c r="S51" s="121">
        <v>538768</v>
      </c>
      <c r="T51" s="122">
        <f t="shared" si="5"/>
        <v>485376.57657657651</v>
      </c>
      <c r="U51" s="123">
        <f>V51+(V51*11%)</f>
        <v>495224.28</v>
      </c>
      <c r="V51" s="123">
        <v>446148</v>
      </c>
    </row>
    <row r="52" spans="1:22" ht="22.5" customHeight="1">
      <c r="A52" s="109"/>
      <c r="B52" s="109"/>
      <c r="C52" s="30">
        <v>17</v>
      </c>
      <c r="D52" s="30">
        <v>20002991</v>
      </c>
      <c r="E52" s="30" t="s">
        <v>1202</v>
      </c>
      <c r="F52" s="30" t="s">
        <v>27</v>
      </c>
      <c r="G52" s="30" t="s">
        <v>27</v>
      </c>
      <c r="H52" s="30" t="s">
        <v>26</v>
      </c>
      <c r="I52" s="30" t="s">
        <v>63</v>
      </c>
      <c r="J52" s="120">
        <v>2</v>
      </c>
      <c r="K52" s="30" t="str">
        <f t="shared" si="0"/>
        <v>SUB DISTRIBUTOR</v>
      </c>
      <c r="L52" s="30" t="s">
        <v>37</v>
      </c>
      <c r="M52" s="120">
        <v>4</v>
      </c>
      <c r="N52" s="30" t="str">
        <f t="shared" si="1"/>
        <v>In Pack</v>
      </c>
      <c r="O52" s="30" t="str">
        <f t="shared" si="2"/>
        <v>Box</v>
      </c>
      <c r="P52" s="120">
        <f t="shared" si="3"/>
        <v>2</v>
      </c>
      <c r="Q52" s="30">
        <f t="shared" si="4"/>
        <v>0</v>
      </c>
      <c r="R52" s="30">
        <v>8</v>
      </c>
      <c r="S52" s="121">
        <v>67346</v>
      </c>
      <c r="T52" s="122">
        <f t="shared" si="5"/>
        <v>60672.072072072064</v>
      </c>
      <c r="U52" s="123">
        <v>61903</v>
      </c>
      <c r="V52" s="123">
        <v>55768</v>
      </c>
    </row>
    <row r="53" spans="1:22" ht="22.5" customHeight="1">
      <c r="A53" s="109"/>
      <c r="B53" s="109"/>
      <c r="C53" s="30">
        <v>17</v>
      </c>
      <c r="D53" s="30">
        <v>20002991</v>
      </c>
      <c r="E53" s="30" t="s">
        <v>1202</v>
      </c>
      <c r="F53" s="30" t="s">
        <v>27</v>
      </c>
      <c r="G53" s="30" t="s">
        <v>27</v>
      </c>
      <c r="H53" s="30" t="s">
        <v>26</v>
      </c>
      <c r="I53" s="30" t="s">
        <v>63</v>
      </c>
      <c r="J53" s="120">
        <v>2</v>
      </c>
      <c r="K53" s="30" t="str">
        <f t="shared" si="0"/>
        <v>SUB DISTRIBUTOR</v>
      </c>
      <c r="L53" s="30" t="s">
        <v>37</v>
      </c>
      <c r="M53" s="120">
        <v>9</v>
      </c>
      <c r="N53" s="30" t="str">
        <f t="shared" si="1"/>
        <v>In Pcs</v>
      </c>
      <c r="O53" s="30" t="str">
        <f t="shared" si="2"/>
        <v>Pcs</v>
      </c>
      <c r="P53" s="120">
        <f t="shared" si="3"/>
        <v>4</v>
      </c>
      <c r="Q53" s="30" t="str">
        <f t="shared" si="4"/>
        <v>small</v>
      </c>
      <c r="R53" s="30">
        <v>80</v>
      </c>
      <c r="S53" s="121">
        <f>S52/10</f>
        <v>6734.6</v>
      </c>
      <c r="T53" s="122">
        <f t="shared" si="5"/>
        <v>6067.2072072072069</v>
      </c>
      <c r="U53" s="123">
        <v>6190</v>
      </c>
      <c r="V53" s="123">
        <v>5576</v>
      </c>
    </row>
    <row r="54" spans="1:22" ht="22.5" customHeight="1">
      <c r="A54" s="109"/>
      <c r="B54" s="109"/>
      <c r="C54" s="30">
        <v>18</v>
      </c>
      <c r="D54" s="30">
        <v>20002992</v>
      </c>
      <c r="E54" s="30" t="s">
        <v>23</v>
      </c>
      <c r="F54" s="30" t="s">
        <v>27</v>
      </c>
      <c r="G54" s="30" t="s">
        <v>27</v>
      </c>
      <c r="H54" s="30" t="s">
        <v>26</v>
      </c>
      <c r="I54" s="30" t="s">
        <v>63</v>
      </c>
      <c r="J54" s="120">
        <v>2</v>
      </c>
      <c r="K54" s="30" t="str">
        <f t="shared" si="0"/>
        <v>SUB DISTRIBUTOR</v>
      </c>
      <c r="L54" s="30" t="s">
        <v>37</v>
      </c>
      <c r="M54" s="120">
        <v>1</v>
      </c>
      <c r="N54" s="30" t="str">
        <f t="shared" si="1"/>
        <v>In Carton</v>
      </c>
      <c r="O54" s="30" t="str">
        <f t="shared" si="2"/>
        <v>Carton</v>
      </c>
      <c r="P54" s="120">
        <f t="shared" si="3"/>
        <v>1</v>
      </c>
      <c r="Q54" s="30" t="str">
        <f t="shared" si="4"/>
        <v>large</v>
      </c>
      <c r="R54" s="30">
        <v>1</v>
      </c>
      <c r="S54" s="121">
        <v>538768</v>
      </c>
      <c r="T54" s="122">
        <f t="shared" si="5"/>
        <v>485376.57657657651</v>
      </c>
      <c r="U54" s="123">
        <f>V54+(V54*11%)</f>
        <v>495224.28</v>
      </c>
      <c r="V54" s="123">
        <v>446148</v>
      </c>
    </row>
    <row r="55" spans="1:22" ht="22.5" customHeight="1">
      <c r="A55" s="109"/>
      <c r="B55" s="109"/>
      <c r="C55" s="30">
        <v>18</v>
      </c>
      <c r="D55" s="30">
        <v>20002992</v>
      </c>
      <c r="E55" s="30" t="s">
        <v>23</v>
      </c>
      <c r="F55" s="30" t="s">
        <v>27</v>
      </c>
      <c r="G55" s="30" t="s">
        <v>27</v>
      </c>
      <c r="H55" s="30" t="s">
        <v>26</v>
      </c>
      <c r="I55" s="30" t="s">
        <v>63</v>
      </c>
      <c r="J55" s="120">
        <v>2</v>
      </c>
      <c r="K55" s="30" t="str">
        <f t="shared" si="0"/>
        <v>SUB DISTRIBUTOR</v>
      </c>
      <c r="L55" s="30" t="s">
        <v>37</v>
      </c>
      <c r="M55" s="120">
        <v>4</v>
      </c>
      <c r="N55" s="30" t="str">
        <f t="shared" si="1"/>
        <v>In Pack</v>
      </c>
      <c r="O55" s="30" t="str">
        <f t="shared" si="2"/>
        <v>Box</v>
      </c>
      <c r="P55" s="120">
        <f t="shared" si="3"/>
        <v>2</v>
      </c>
      <c r="Q55" s="30">
        <f t="shared" si="4"/>
        <v>0</v>
      </c>
      <c r="R55" s="30">
        <v>8</v>
      </c>
      <c r="S55" s="121">
        <v>67346</v>
      </c>
      <c r="T55" s="122">
        <f t="shared" si="5"/>
        <v>60672.072072072064</v>
      </c>
      <c r="U55" s="123">
        <v>61903</v>
      </c>
      <c r="V55" s="123">
        <v>55768</v>
      </c>
    </row>
    <row r="56" spans="1:22" ht="22.5" customHeight="1">
      <c r="A56" s="109"/>
      <c r="B56" s="109"/>
      <c r="C56" s="30">
        <v>18</v>
      </c>
      <c r="D56" s="30">
        <v>20002992</v>
      </c>
      <c r="E56" s="30" t="s">
        <v>23</v>
      </c>
      <c r="F56" s="30" t="s">
        <v>27</v>
      </c>
      <c r="G56" s="30" t="s">
        <v>27</v>
      </c>
      <c r="H56" s="30" t="s">
        <v>26</v>
      </c>
      <c r="I56" s="30" t="s">
        <v>63</v>
      </c>
      <c r="J56" s="120">
        <v>2</v>
      </c>
      <c r="K56" s="30" t="str">
        <f t="shared" si="0"/>
        <v>SUB DISTRIBUTOR</v>
      </c>
      <c r="L56" s="30" t="s">
        <v>37</v>
      </c>
      <c r="M56" s="120">
        <v>9</v>
      </c>
      <c r="N56" s="30" t="str">
        <f t="shared" si="1"/>
        <v>In Pcs</v>
      </c>
      <c r="O56" s="30" t="str">
        <f t="shared" si="2"/>
        <v>Pcs</v>
      </c>
      <c r="P56" s="120">
        <f t="shared" si="3"/>
        <v>4</v>
      </c>
      <c r="Q56" s="30" t="str">
        <f t="shared" si="4"/>
        <v>small</v>
      </c>
      <c r="R56" s="30">
        <v>80</v>
      </c>
      <c r="S56" s="121">
        <f>S55/10</f>
        <v>6734.6</v>
      </c>
      <c r="T56" s="122">
        <f t="shared" si="5"/>
        <v>6067.2072072072069</v>
      </c>
      <c r="U56" s="123">
        <v>6190</v>
      </c>
      <c r="V56" s="123">
        <v>5576</v>
      </c>
    </row>
    <row r="57" spans="1:22" ht="22.5" customHeight="1">
      <c r="A57" s="109"/>
      <c r="B57" s="109"/>
      <c r="C57" s="30">
        <v>19</v>
      </c>
      <c r="D57" s="30">
        <v>20003708</v>
      </c>
      <c r="E57" s="30" t="s">
        <v>1203</v>
      </c>
      <c r="F57" s="30" t="s">
        <v>27</v>
      </c>
      <c r="G57" s="30" t="s">
        <v>27</v>
      </c>
      <c r="H57" s="30" t="s">
        <v>26</v>
      </c>
      <c r="I57" s="30" t="s">
        <v>63</v>
      </c>
      <c r="J57" s="120">
        <v>2</v>
      </c>
      <c r="K57" s="30" t="str">
        <f t="shared" si="0"/>
        <v>SUB DISTRIBUTOR</v>
      </c>
      <c r="L57" s="30" t="s">
        <v>37</v>
      </c>
      <c r="M57" s="120">
        <v>1</v>
      </c>
      <c r="N57" s="30" t="str">
        <f t="shared" si="1"/>
        <v>In Carton</v>
      </c>
      <c r="O57" s="30" t="str">
        <f t="shared" si="2"/>
        <v>Carton</v>
      </c>
      <c r="P57" s="120">
        <f t="shared" si="3"/>
        <v>1</v>
      </c>
      <c r="Q57" s="30" t="str">
        <f t="shared" si="4"/>
        <v>large</v>
      </c>
      <c r="R57" s="30">
        <v>1</v>
      </c>
      <c r="S57" s="121">
        <v>538768</v>
      </c>
      <c r="T57" s="122">
        <f t="shared" si="5"/>
        <v>485376.57657657651</v>
      </c>
      <c r="U57" s="123">
        <f>V57+(V57*11%)</f>
        <v>495224.28</v>
      </c>
      <c r="V57" s="123">
        <v>446148</v>
      </c>
    </row>
    <row r="58" spans="1:22" ht="22.5" customHeight="1">
      <c r="A58" s="109"/>
      <c r="B58" s="109"/>
      <c r="C58" s="30">
        <v>19</v>
      </c>
      <c r="D58" s="30">
        <v>20003708</v>
      </c>
      <c r="E58" s="30" t="s">
        <v>1203</v>
      </c>
      <c r="F58" s="30" t="s">
        <v>27</v>
      </c>
      <c r="G58" s="30" t="s">
        <v>27</v>
      </c>
      <c r="H58" s="30" t="s">
        <v>26</v>
      </c>
      <c r="I58" s="30" t="s">
        <v>63</v>
      </c>
      <c r="J58" s="120">
        <v>2</v>
      </c>
      <c r="K58" s="30" t="str">
        <f t="shared" si="0"/>
        <v>SUB DISTRIBUTOR</v>
      </c>
      <c r="L58" s="30" t="s">
        <v>37</v>
      </c>
      <c r="M58" s="120">
        <v>4</v>
      </c>
      <c r="N58" s="30" t="str">
        <f t="shared" si="1"/>
        <v>In Pack</v>
      </c>
      <c r="O58" s="30" t="str">
        <f t="shared" si="2"/>
        <v>Box</v>
      </c>
      <c r="P58" s="120">
        <f t="shared" si="3"/>
        <v>2</v>
      </c>
      <c r="Q58" s="30">
        <f t="shared" si="4"/>
        <v>0</v>
      </c>
      <c r="R58" s="30">
        <v>8</v>
      </c>
      <c r="S58" s="121">
        <v>67346</v>
      </c>
      <c r="T58" s="122">
        <f t="shared" si="5"/>
        <v>60672.072072072064</v>
      </c>
      <c r="U58" s="123">
        <v>61903</v>
      </c>
      <c r="V58" s="123">
        <v>55768</v>
      </c>
    </row>
    <row r="59" spans="1:22" ht="22.5" customHeight="1">
      <c r="A59" s="109"/>
      <c r="B59" s="109"/>
      <c r="C59" s="30">
        <v>19</v>
      </c>
      <c r="D59" s="30">
        <v>20003708</v>
      </c>
      <c r="E59" s="30" t="s">
        <v>1203</v>
      </c>
      <c r="F59" s="30" t="s">
        <v>27</v>
      </c>
      <c r="G59" s="30" t="s">
        <v>27</v>
      </c>
      <c r="H59" s="30" t="s">
        <v>26</v>
      </c>
      <c r="I59" s="30" t="s">
        <v>63</v>
      </c>
      <c r="J59" s="120">
        <v>2</v>
      </c>
      <c r="K59" s="30" t="str">
        <f t="shared" si="0"/>
        <v>SUB DISTRIBUTOR</v>
      </c>
      <c r="L59" s="30" t="s">
        <v>37</v>
      </c>
      <c r="M59" s="120">
        <v>9</v>
      </c>
      <c r="N59" s="30" t="str">
        <f t="shared" si="1"/>
        <v>In Pcs</v>
      </c>
      <c r="O59" s="30" t="str">
        <f t="shared" si="2"/>
        <v>Pcs</v>
      </c>
      <c r="P59" s="120">
        <f t="shared" si="3"/>
        <v>4</v>
      </c>
      <c r="Q59" s="30" t="str">
        <f t="shared" si="4"/>
        <v>small</v>
      </c>
      <c r="R59" s="30">
        <v>80</v>
      </c>
      <c r="S59" s="121">
        <f>S58/10</f>
        <v>6734.6</v>
      </c>
      <c r="T59" s="122">
        <f t="shared" si="5"/>
        <v>6067.2072072072069</v>
      </c>
      <c r="U59" s="123">
        <v>6190</v>
      </c>
      <c r="V59" s="123">
        <v>5576</v>
      </c>
    </row>
    <row r="60" spans="1:22" ht="22.5" customHeight="1">
      <c r="A60" s="109"/>
      <c r="B60" s="109"/>
      <c r="C60" s="30">
        <v>20</v>
      </c>
      <c r="D60" s="30">
        <v>20003294</v>
      </c>
      <c r="E60" s="30" t="s">
        <v>1204</v>
      </c>
      <c r="F60" s="30" t="s">
        <v>27</v>
      </c>
      <c r="G60" s="30" t="s">
        <v>27</v>
      </c>
      <c r="H60" s="30" t="s">
        <v>26</v>
      </c>
      <c r="I60" s="30" t="s">
        <v>63</v>
      </c>
      <c r="J60" s="120">
        <v>2</v>
      </c>
      <c r="K60" s="30" t="str">
        <f t="shared" si="0"/>
        <v>SUB DISTRIBUTOR</v>
      </c>
      <c r="L60" s="30" t="s">
        <v>37</v>
      </c>
      <c r="M60" s="120">
        <v>1</v>
      </c>
      <c r="N60" s="30" t="str">
        <f t="shared" si="1"/>
        <v>In Carton</v>
      </c>
      <c r="O60" s="30" t="str">
        <f t="shared" si="2"/>
        <v>Carton</v>
      </c>
      <c r="P60" s="120">
        <f t="shared" si="3"/>
        <v>1</v>
      </c>
      <c r="Q60" s="30" t="str">
        <f t="shared" si="4"/>
        <v>large</v>
      </c>
      <c r="R60" s="30">
        <v>1</v>
      </c>
      <c r="S60" s="121">
        <v>538768</v>
      </c>
      <c r="T60" s="122">
        <f t="shared" si="5"/>
        <v>485376.57657657651</v>
      </c>
      <c r="U60" s="123">
        <f>V60+(V60*11%)</f>
        <v>495224.28</v>
      </c>
      <c r="V60" s="123">
        <v>446148</v>
      </c>
    </row>
    <row r="61" spans="1:22" ht="22.5" customHeight="1">
      <c r="A61" s="109"/>
      <c r="B61" s="109"/>
      <c r="C61" s="30">
        <v>20</v>
      </c>
      <c r="D61" s="30">
        <v>20003294</v>
      </c>
      <c r="E61" s="30" t="s">
        <v>1204</v>
      </c>
      <c r="F61" s="30" t="s">
        <v>27</v>
      </c>
      <c r="G61" s="30" t="s">
        <v>27</v>
      </c>
      <c r="H61" s="30" t="s">
        <v>26</v>
      </c>
      <c r="I61" s="30" t="s">
        <v>63</v>
      </c>
      <c r="J61" s="120">
        <v>2</v>
      </c>
      <c r="K61" s="30" t="str">
        <f t="shared" si="0"/>
        <v>SUB DISTRIBUTOR</v>
      </c>
      <c r="L61" s="30" t="s">
        <v>37</v>
      </c>
      <c r="M61" s="120">
        <v>4</v>
      </c>
      <c r="N61" s="30" t="str">
        <f t="shared" si="1"/>
        <v>In Pack</v>
      </c>
      <c r="O61" s="30" t="str">
        <f t="shared" si="2"/>
        <v>Box</v>
      </c>
      <c r="P61" s="120">
        <f t="shared" si="3"/>
        <v>2</v>
      </c>
      <c r="Q61" s="30">
        <f t="shared" si="4"/>
        <v>0</v>
      </c>
      <c r="R61" s="30">
        <v>8</v>
      </c>
      <c r="S61" s="121">
        <v>67346</v>
      </c>
      <c r="T61" s="122">
        <f t="shared" si="5"/>
        <v>60672.072072072064</v>
      </c>
      <c r="U61" s="123">
        <v>61903</v>
      </c>
      <c r="V61" s="123">
        <v>55768</v>
      </c>
    </row>
    <row r="62" spans="1:22" ht="22.5" customHeight="1">
      <c r="A62" s="109"/>
      <c r="B62" s="109"/>
      <c r="C62" s="30">
        <v>20</v>
      </c>
      <c r="D62" s="30">
        <v>20003294</v>
      </c>
      <c r="E62" s="30" t="s">
        <v>1204</v>
      </c>
      <c r="F62" s="30" t="s">
        <v>27</v>
      </c>
      <c r="G62" s="30" t="s">
        <v>27</v>
      </c>
      <c r="H62" s="30" t="s">
        <v>26</v>
      </c>
      <c r="I62" s="30" t="s">
        <v>63</v>
      </c>
      <c r="J62" s="120">
        <v>2</v>
      </c>
      <c r="K62" s="30" t="str">
        <f t="shared" si="0"/>
        <v>SUB DISTRIBUTOR</v>
      </c>
      <c r="L62" s="30" t="s">
        <v>37</v>
      </c>
      <c r="M62" s="120">
        <v>9</v>
      </c>
      <c r="N62" s="30" t="str">
        <f t="shared" si="1"/>
        <v>In Pcs</v>
      </c>
      <c r="O62" s="30" t="str">
        <f t="shared" si="2"/>
        <v>Pcs</v>
      </c>
      <c r="P62" s="120">
        <f t="shared" si="3"/>
        <v>4</v>
      </c>
      <c r="Q62" s="30" t="str">
        <f t="shared" si="4"/>
        <v>small</v>
      </c>
      <c r="R62" s="30">
        <v>80</v>
      </c>
      <c r="S62" s="121">
        <f>S61/10</f>
        <v>6734.6</v>
      </c>
      <c r="T62" s="122">
        <f t="shared" si="5"/>
        <v>6067.2072072072069</v>
      </c>
      <c r="U62" s="123">
        <v>6190</v>
      </c>
      <c r="V62" s="123">
        <v>5576</v>
      </c>
    </row>
    <row r="63" spans="1:22" ht="22.5" customHeight="1">
      <c r="A63" s="109"/>
      <c r="B63" s="109"/>
      <c r="C63" s="30">
        <v>21</v>
      </c>
      <c r="D63" s="30">
        <v>20002630</v>
      </c>
      <c r="E63" s="30" t="s">
        <v>1205</v>
      </c>
      <c r="F63" s="30" t="s">
        <v>27</v>
      </c>
      <c r="G63" s="30" t="s">
        <v>27</v>
      </c>
      <c r="H63" s="30" t="s">
        <v>26</v>
      </c>
      <c r="I63" s="30" t="s">
        <v>63</v>
      </c>
      <c r="J63" s="120">
        <v>2</v>
      </c>
      <c r="K63" s="30" t="str">
        <f t="shared" si="0"/>
        <v>SUB DISTRIBUTOR</v>
      </c>
      <c r="L63" s="30" t="s">
        <v>37</v>
      </c>
      <c r="M63" s="120">
        <v>1</v>
      </c>
      <c r="N63" s="30" t="str">
        <f t="shared" si="1"/>
        <v>In Carton</v>
      </c>
      <c r="O63" s="30" t="str">
        <f t="shared" si="2"/>
        <v>Carton</v>
      </c>
      <c r="P63" s="120">
        <f t="shared" si="3"/>
        <v>1</v>
      </c>
      <c r="Q63" s="30" t="str">
        <f t="shared" si="4"/>
        <v>large</v>
      </c>
      <c r="R63" s="30">
        <v>1</v>
      </c>
      <c r="S63" s="121">
        <f>S64*12</f>
        <v>380028</v>
      </c>
      <c r="T63" s="122">
        <f t="shared" si="5"/>
        <v>342367.56756756752</v>
      </c>
      <c r="U63" s="123">
        <f>V63+(V63*11%)</f>
        <v>366438.75</v>
      </c>
      <c r="V63" s="123">
        <v>330125</v>
      </c>
    </row>
    <row r="64" spans="1:22" ht="22.5" customHeight="1">
      <c r="A64" s="109"/>
      <c r="B64" s="109"/>
      <c r="C64" s="30">
        <v>21</v>
      </c>
      <c r="D64" s="30">
        <v>20002630</v>
      </c>
      <c r="E64" s="30" t="s">
        <v>1205</v>
      </c>
      <c r="F64" s="30" t="s">
        <v>27</v>
      </c>
      <c r="G64" s="30" t="s">
        <v>27</v>
      </c>
      <c r="H64" s="30" t="s">
        <v>26</v>
      </c>
      <c r="I64" s="30" t="s">
        <v>63</v>
      </c>
      <c r="J64" s="120">
        <v>2</v>
      </c>
      <c r="K64" s="30" t="str">
        <f t="shared" si="0"/>
        <v>SUB DISTRIBUTOR</v>
      </c>
      <c r="L64" s="30" t="s">
        <v>37</v>
      </c>
      <c r="M64" s="120">
        <v>4</v>
      </c>
      <c r="N64" s="30" t="str">
        <f t="shared" si="1"/>
        <v>In Pack</v>
      </c>
      <c r="O64" s="30" t="str">
        <f t="shared" si="2"/>
        <v>Box</v>
      </c>
      <c r="P64" s="120">
        <f t="shared" si="3"/>
        <v>2</v>
      </c>
      <c r="Q64" s="30">
        <f t="shared" si="4"/>
        <v>0</v>
      </c>
      <c r="R64" s="30">
        <v>12</v>
      </c>
      <c r="S64" s="121">
        <v>31669</v>
      </c>
      <c r="T64" s="122">
        <f t="shared" si="5"/>
        <v>28530.630630630629</v>
      </c>
      <c r="U64" s="123">
        <v>30536</v>
      </c>
      <c r="V64" s="123">
        <v>27510</v>
      </c>
    </row>
    <row r="65" spans="1:22" ht="22.5" customHeight="1">
      <c r="A65" s="109"/>
      <c r="B65" s="109"/>
      <c r="C65" s="30">
        <v>21</v>
      </c>
      <c r="D65" s="30">
        <v>20002630</v>
      </c>
      <c r="E65" s="30" t="s">
        <v>1205</v>
      </c>
      <c r="F65" s="30" t="s">
        <v>27</v>
      </c>
      <c r="G65" s="30" t="s">
        <v>27</v>
      </c>
      <c r="H65" s="30" t="s">
        <v>26</v>
      </c>
      <c r="I65" s="30" t="s">
        <v>63</v>
      </c>
      <c r="J65" s="120">
        <v>2</v>
      </c>
      <c r="K65" s="30" t="str">
        <f t="shared" si="0"/>
        <v>SUB DISTRIBUTOR</v>
      </c>
      <c r="L65" s="30" t="s">
        <v>37</v>
      </c>
      <c r="M65" s="120">
        <v>9</v>
      </c>
      <c r="N65" s="30" t="str">
        <f t="shared" si="1"/>
        <v>In Pcs</v>
      </c>
      <c r="O65" s="30" t="str">
        <f t="shared" si="2"/>
        <v>Pcs</v>
      </c>
      <c r="P65" s="120">
        <f t="shared" si="3"/>
        <v>4</v>
      </c>
      <c r="Q65" s="30" t="str">
        <f t="shared" si="4"/>
        <v>small</v>
      </c>
      <c r="R65" s="30">
        <v>144</v>
      </c>
      <c r="S65" s="121">
        <f>S64/12</f>
        <v>2639.0833333333335</v>
      </c>
      <c r="T65" s="122">
        <f t="shared" si="5"/>
        <v>2377.5525525525527</v>
      </c>
      <c r="U65" s="123">
        <v>2547</v>
      </c>
      <c r="V65" s="123">
        <v>2292</v>
      </c>
    </row>
    <row r="66" spans="1:22" ht="22.5" customHeight="1">
      <c r="A66" s="109"/>
      <c r="B66" s="109"/>
      <c r="C66" s="30">
        <v>22</v>
      </c>
      <c r="D66" s="30">
        <v>20002631</v>
      </c>
      <c r="E66" s="30" t="s">
        <v>1206</v>
      </c>
      <c r="F66" s="30" t="s">
        <v>27</v>
      </c>
      <c r="G66" s="30" t="s">
        <v>27</v>
      </c>
      <c r="H66" s="30" t="s">
        <v>26</v>
      </c>
      <c r="I66" s="30" t="s">
        <v>63</v>
      </c>
      <c r="J66" s="120">
        <v>2</v>
      </c>
      <c r="K66" s="30" t="str">
        <f t="shared" si="0"/>
        <v>SUB DISTRIBUTOR</v>
      </c>
      <c r="L66" s="30" t="s">
        <v>37</v>
      </c>
      <c r="M66" s="120">
        <v>1</v>
      </c>
      <c r="N66" s="30" t="str">
        <f t="shared" si="1"/>
        <v>In Carton</v>
      </c>
      <c r="O66" s="30" t="str">
        <f t="shared" si="2"/>
        <v>Carton</v>
      </c>
      <c r="P66" s="120">
        <f t="shared" si="3"/>
        <v>1</v>
      </c>
      <c r="Q66" s="30" t="str">
        <f t="shared" si="4"/>
        <v>large</v>
      </c>
      <c r="R66" s="30">
        <v>1</v>
      </c>
      <c r="S66" s="121">
        <f>S67*12</f>
        <v>380028</v>
      </c>
      <c r="T66" s="122">
        <f t="shared" si="5"/>
        <v>342367.56756756752</v>
      </c>
      <c r="U66" s="123">
        <f>V66+(V66*11%)</f>
        <v>366438.75</v>
      </c>
      <c r="V66" s="123">
        <v>330125</v>
      </c>
    </row>
    <row r="67" spans="1:22" ht="22.5" customHeight="1">
      <c r="A67" s="109"/>
      <c r="B67" s="109"/>
      <c r="C67" s="30">
        <v>22</v>
      </c>
      <c r="D67" s="30">
        <v>20002631</v>
      </c>
      <c r="E67" s="30" t="s">
        <v>1206</v>
      </c>
      <c r="F67" s="30" t="s">
        <v>27</v>
      </c>
      <c r="G67" s="30" t="s">
        <v>27</v>
      </c>
      <c r="H67" s="30" t="s">
        <v>26</v>
      </c>
      <c r="I67" s="30" t="s">
        <v>63</v>
      </c>
      <c r="J67" s="120">
        <v>2</v>
      </c>
      <c r="K67" s="30" t="str">
        <f t="shared" si="0"/>
        <v>SUB DISTRIBUTOR</v>
      </c>
      <c r="L67" s="30" t="s">
        <v>37</v>
      </c>
      <c r="M67" s="120">
        <v>4</v>
      </c>
      <c r="N67" s="30" t="str">
        <f t="shared" si="1"/>
        <v>In Pack</v>
      </c>
      <c r="O67" s="30" t="str">
        <f t="shared" si="2"/>
        <v>Box</v>
      </c>
      <c r="P67" s="120">
        <f t="shared" si="3"/>
        <v>2</v>
      </c>
      <c r="Q67" s="30">
        <f t="shared" si="4"/>
        <v>0</v>
      </c>
      <c r="R67" s="30">
        <v>12</v>
      </c>
      <c r="S67" s="121">
        <v>31669</v>
      </c>
      <c r="T67" s="122">
        <f t="shared" si="5"/>
        <v>28530.630630630629</v>
      </c>
      <c r="U67" s="123">
        <v>30536</v>
      </c>
      <c r="V67" s="123">
        <v>27510</v>
      </c>
    </row>
    <row r="68" spans="1:22" ht="22.5" customHeight="1">
      <c r="A68" s="109"/>
      <c r="B68" s="109"/>
      <c r="C68" s="30">
        <v>22</v>
      </c>
      <c r="D68" s="30">
        <v>20002631</v>
      </c>
      <c r="E68" s="30" t="s">
        <v>1206</v>
      </c>
      <c r="F68" s="30" t="s">
        <v>27</v>
      </c>
      <c r="G68" s="30" t="s">
        <v>27</v>
      </c>
      <c r="H68" s="30" t="s">
        <v>26</v>
      </c>
      <c r="I68" s="30" t="s">
        <v>63</v>
      </c>
      <c r="J68" s="120">
        <v>2</v>
      </c>
      <c r="K68" s="30" t="str">
        <f t="shared" si="0"/>
        <v>SUB DISTRIBUTOR</v>
      </c>
      <c r="L68" s="30" t="s">
        <v>37</v>
      </c>
      <c r="M68" s="120">
        <v>9</v>
      </c>
      <c r="N68" s="30" t="str">
        <f t="shared" si="1"/>
        <v>In Pcs</v>
      </c>
      <c r="O68" s="30" t="str">
        <f t="shared" si="2"/>
        <v>Pcs</v>
      </c>
      <c r="P68" s="120">
        <f t="shared" si="3"/>
        <v>4</v>
      </c>
      <c r="Q68" s="30" t="str">
        <f t="shared" si="4"/>
        <v>small</v>
      </c>
      <c r="R68" s="30">
        <v>144</v>
      </c>
      <c r="S68" s="121">
        <f>S67/12</f>
        <v>2639.0833333333335</v>
      </c>
      <c r="T68" s="122">
        <f t="shared" si="5"/>
        <v>2377.5525525525527</v>
      </c>
      <c r="U68" s="123">
        <v>2547</v>
      </c>
      <c r="V68" s="123">
        <v>2292</v>
      </c>
    </row>
    <row r="69" spans="1:22" ht="22.5" customHeight="1">
      <c r="A69" s="109"/>
      <c r="B69" s="109"/>
      <c r="C69" s="30">
        <v>23</v>
      </c>
      <c r="D69" s="30">
        <v>20003549</v>
      </c>
      <c r="E69" s="30" t="s">
        <v>1207</v>
      </c>
      <c r="F69" s="30" t="s">
        <v>27</v>
      </c>
      <c r="G69" s="30" t="s">
        <v>27</v>
      </c>
      <c r="H69" s="30" t="s">
        <v>26</v>
      </c>
      <c r="I69" s="30" t="s">
        <v>63</v>
      </c>
      <c r="J69" s="120">
        <v>2</v>
      </c>
      <c r="K69" s="30" t="str">
        <f t="shared" si="0"/>
        <v>SUB DISTRIBUTOR</v>
      </c>
      <c r="L69" s="30" t="s">
        <v>37</v>
      </c>
      <c r="M69" s="120">
        <v>1</v>
      </c>
      <c r="N69" s="30" t="str">
        <f t="shared" si="1"/>
        <v>In Carton</v>
      </c>
      <c r="O69" s="30" t="str">
        <f t="shared" si="2"/>
        <v>Carton</v>
      </c>
      <c r="P69" s="120">
        <f t="shared" si="3"/>
        <v>1</v>
      </c>
      <c r="Q69" s="30" t="str">
        <f t="shared" si="4"/>
        <v>large</v>
      </c>
      <c r="R69" s="30">
        <v>1</v>
      </c>
      <c r="S69" s="121">
        <f>31700*12</f>
        <v>380400</v>
      </c>
      <c r="T69" s="122">
        <f t="shared" si="5"/>
        <v>342702.70270270266</v>
      </c>
      <c r="U69" s="123">
        <f>V69+(V69*11%)</f>
        <v>366438.75</v>
      </c>
      <c r="V69" s="123">
        <v>330125</v>
      </c>
    </row>
    <row r="70" spans="1:22" ht="22.5" customHeight="1">
      <c r="A70" s="109"/>
      <c r="B70" s="109"/>
      <c r="C70" s="30">
        <v>23</v>
      </c>
      <c r="D70" s="30">
        <v>20003549</v>
      </c>
      <c r="E70" s="30" t="s">
        <v>1207</v>
      </c>
      <c r="F70" s="30" t="s">
        <v>27</v>
      </c>
      <c r="G70" s="30" t="s">
        <v>27</v>
      </c>
      <c r="H70" s="30" t="s">
        <v>26</v>
      </c>
      <c r="I70" s="30" t="s">
        <v>63</v>
      </c>
      <c r="J70" s="120">
        <v>2</v>
      </c>
      <c r="K70" s="30" t="str">
        <f t="shared" si="0"/>
        <v>SUB DISTRIBUTOR</v>
      </c>
      <c r="L70" s="30" t="s">
        <v>37</v>
      </c>
      <c r="M70" s="120">
        <v>4</v>
      </c>
      <c r="N70" s="30" t="str">
        <f t="shared" si="1"/>
        <v>In Pack</v>
      </c>
      <c r="O70" s="30" t="str">
        <f t="shared" si="2"/>
        <v>Box</v>
      </c>
      <c r="P70" s="120">
        <f t="shared" si="3"/>
        <v>2</v>
      </c>
      <c r="Q70" s="30">
        <f t="shared" si="4"/>
        <v>0</v>
      </c>
      <c r="R70" s="30">
        <v>12</v>
      </c>
      <c r="S70" s="121">
        <f>S69/12</f>
        <v>31700</v>
      </c>
      <c r="T70" s="122">
        <f t="shared" si="5"/>
        <v>28558.558558558558</v>
      </c>
      <c r="U70" s="123">
        <v>30536</v>
      </c>
      <c r="V70" s="123">
        <v>27510</v>
      </c>
    </row>
    <row r="71" spans="1:22" ht="22.5" customHeight="1">
      <c r="A71" s="109"/>
      <c r="B71" s="109"/>
      <c r="C71" s="30">
        <v>23</v>
      </c>
      <c r="D71" s="30">
        <v>20003549</v>
      </c>
      <c r="E71" s="30" t="s">
        <v>1207</v>
      </c>
      <c r="F71" s="30" t="s">
        <v>27</v>
      </c>
      <c r="G71" s="30" t="s">
        <v>27</v>
      </c>
      <c r="H71" s="30" t="s">
        <v>26</v>
      </c>
      <c r="I71" s="30" t="s">
        <v>63</v>
      </c>
      <c r="J71" s="120">
        <v>2</v>
      </c>
      <c r="K71" s="30" t="str">
        <f t="shared" si="0"/>
        <v>SUB DISTRIBUTOR</v>
      </c>
      <c r="L71" s="30" t="s">
        <v>37</v>
      </c>
      <c r="M71" s="120">
        <v>9</v>
      </c>
      <c r="N71" s="30" t="str">
        <f t="shared" si="1"/>
        <v>In Pcs</v>
      </c>
      <c r="O71" s="30" t="str">
        <f t="shared" si="2"/>
        <v>Pcs</v>
      </c>
      <c r="P71" s="120">
        <f t="shared" si="3"/>
        <v>4</v>
      </c>
      <c r="Q71" s="30" t="str">
        <f t="shared" si="4"/>
        <v>small</v>
      </c>
      <c r="R71" s="30">
        <v>144</v>
      </c>
      <c r="S71" s="121">
        <f>S70/12</f>
        <v>2641.6666666666665</v>
      </c>
      <c r="T71" s="122">
        <f t="shared" si="5"/>
        <v>2379.8798798798794</v>
      </c>
      <c r="U71" s="123">
        <v>2547</v>
      </c>
      <c r="V71" s="123">
        <v>2292</v>
      </c>
    </row>
    <row r="72" spans="1:22" ht="22.5" customHeight="1">
      <c r="A72" s="109"/>
      <c r="B72" s="109"/>
      <c r="C72" s="30">
        <v>24</v>
      </c>
      <c r="D72" s="30">
        <v>20003550</v>
      </c>
      <c r="E72" s="30" t="s">
        <v>1208</v>
      </c>
      <c r="F72" s="30" t="s">
        <v>27</v>
      </c>
      <c r="G72" s="30" t="s">
        <v>27</v>
      </c>
      <c r="H72" s="30" t="s">
        <v>26</v>
      </c>
      <c r="I72" s="30" t="s">
        <v>63</v>
      </c>
      <c r="J72" s="120">
        <v>2</v>
      </c>
      <c r="K72" s="30" t="str">
        <f t="shared" si="0"/>
        <v>SUB DISTRIBUTOR</v>
      </c>
      <c r="L72" s="30" t="s">
        <v>37</v>
      </c>
      <c r="M72" s="120">
        <v>1</v>
      </c>
      <c r="N72" s="30" t="str">
        <f t="shared" si="1"/>
        <v>In Carton</v>
      </c>
      <c r="O72" s="30" t="str">
        <f t="shared" si="2"/>
        <v>Carton</v>
      </c>
      <c r="P72" s="120">
        <f t="shared" si="3"/>
        <v>1</v>
      </c>
      <c r="Q72" s="30" t="str">
        <f t="shared" si="4"/>
        <v>large</v>
      </c>
      <c r="R72" s="30">
        <v>1</v>
      </c>
      <c r="S72" s="121">
        <f>12*31700</f>
        <v>380400</v>
      </c>
      <c r="T72" s="122">
        <f t="shared" si="5"/>
        <v>342702.70270270266</v>
      </c>
      <c r="U72" s="123">
        <f>V72+(V72*11%)</f>
        <v>366438.75</v>
      </c>
      <c r="V72" s="123">
        <v>330125</v>
      </c>
    </row>
    <row r="73" spans="1:22" ht="22.5" customHeight="1">
      <c r="A73" s="109"/>
      <c r="B73" s="109"/>
      <c r="C73" s="30">
        <v>24</v>
      </c>
      <c r="D73" s="30">
        <v>20003550</v>
      </c>
      <c r="E73" s="30" t="s">
        <v>1208</v>
      </c>
      <c r="F73" s="30" t="s">
        <v>27</v>
      </c>
      <c r="G73" s="30" t="s">
        <v>27</v>
      </c>
      <c r="H73" s="30" t="s">
        <v>26</v>
      </c>
      <c r="I73" s="30" t="s">
        <v>63</v>
      </c>
      <c r="J73" s="120">
        <v>2</v>
      </c>
      <c r="K73" s="30" t="str">
        <f t="shared" si="0"/>
        <v>SUB DISTRIBUTOR</v>
      </c>
      <c r="L73" s="30" t="s">
        <v>37</v>
      </c>
      <c r="M73" s="120">
        <v>4</v>
      </c>
      <c r="N73" s="30" t="str">
        <f t="shared" si="1"/>
        <v>In Pack</v>
      </c>
      <c r="O73" s="30" t="str">
        <f t="shared" si="2"/>
        <v>Box</v>
      </c>
      <c r="P73" s="120">
        <f t="shared" si="3"/>
        <v>2</v>
      </c>
      <c r="Q73" s="30">
        <f t="shared" si="4"/>
        <v>0</v>
      </c>
      <c r="R73" s="30">
        <v>12</v>
      </c>
      <c r="S73" s="121">
        <f>S72/12</f>
        <v>31700</v>
      </c>
      <c r="T73" s="122">
        <f t="shared" si="5"/>
        <v>28558.558558558558</v>
      </c>
      <c r="U73" s="123">
        <v>30536</v>
      </c>
      <c r="V73" s="123">
        <v>27510</v>
      </c>
    </row>
    <row r="74" spans="1:22" ht="22.5" customHeight="1">
      <c r="A74" s="109"/>
      <c r="B74" s="109"/>
      <c r="C74" s="30">
        <v>24</v>
      </c>
      <c r="D74" s="30">
        <v>20003550</v>
      </c>
      <c r="E74" s="30" t="s">
        <v>1208</v>
      </c>
      <c r="F74" s="30" t="s">
        <v>27</v>
      </c>
      <c r="G74" s="30" t="s">
        <v>27</v>
      </c>
      <c r="H74" s="30" t="s">
        <v>26</v>
      </c>
      <c r="I74" s="30" t="s">
        <v>63</v>
      </c>
      <c r="J74" s="120">
        <v>2</v>
      </c>
      <c r="K74" s="30" t="str">
        <f t="shared" si="0"/>
        <v>SUB DISTRIBUTOR</v>
      </c>
      <c r="L74" s="30" t="s">
        <v>37</v>
      </c>
      <c r="M74" s="120">
        <v>9</v>
      </c>
      <c r="N74" s="30" t="str">
        <f t="shared" si="1"/>
        <v>In Pcs</v>
      </c>
      <c r="O74" s="30" t="str">
        <f t="shared" si="2"/>
        <v>Pcs</v>
      </c>
      <c r="P74" s="120">
        <f t="shared" si="3"/>
        <v>4</v>
      </c>
      <c r="Q74" s="30" t="str">
        <f t="shared" si="4"/>
        <v>small</v>
      </c>
      <c r="R74" s="30">
        <v>144</v>
      </c>
      <c r="S74" s="121">
        <f>S73/12</f>
        <v>2641.6666666666665</v>
      </c>
      <c r="T74" s="122">
        <f t="shared" si="5"/>
        <v>2379.8798798798794</v>
      </c>
      <c r="U74" s="123">
        <v>2547</v>
      </c>
      <c r="V74" s="123">
        <v>2292</v>
      </c>
    </row>
    <row r="75" spans="1:22" ht="22.5" customHeight="1">
      <c r="A75" s="109"/>
      <c r="B75" s="109"/>
      <c r="C75" s="30">
        <v>25</v>
      </c>
      <c r="D75" s="30">
        <v>20003707</v>
      </c>
      <c r="E75" s="30" t="s">
        <v>1209</v>
      </c>
      <c r="F75" s="30" t="s">
        <v>27</v>
      </c>
      <c r="G75" s="30" t="s">
        <v>27</v>
      </c>
      <c r="H75" s="30" t="s">
        <v>26</v>
      </c>
      <c r="I75" s="30" t="s">
        <v>63</v>
      </c>
      <c r="J75" s="120">
        <v>2</v>
      </c>
      <c r="K75" s="30" t="str">
        <f t="shared" si="0"/>
        <v>SUB DISTRIBUTOR</v>
      </c>
      <c r="L75" s="30" t="s">
        <v>37</v>
      </c>
      <c r="M75" s="120">
        <v>1</v>
      </c>
      <c r="N75" s="30" t="str">
        <f t="shared" si="1"/>
        <v>In Carton</v>
      </c>
      <c r="O75" s="30" t="str">
        <f t="shared" si="2"/>
        <v>Carton</v>
      </c>
      <c r="P75" s="120">
        <f t="shared" si="3"/>
        <v>1</v>
      </c>
      <c r="Q75" s="30" t="str">
        <f t="shared" si="4"/>
        <v>large</v>
      </c>
      <c r="R75" s="30">
        <v>1</v>
      </c>
      <c r="S75" s="121">
        <f>31669*12</f>
        <v>380028</v>
      </c>
      <c r="T75" s="122">
        <f t="shared" si="5"/>
        <v>342367.56756756752</v>
      </c>
      <c r="U75" s="123">
        <f>V75+(V75*11%)</f>
        <v>366438.75</v>
      </c>
      <c r="V75" s="123">
        <v>330125</v>
      </c>
    </row>
    <row r="76" spans="1:22" ht="22.5" customHeight="1">
      <c r="A76" s="109"/>
      <c r="B76" s="109"/>
      <c r="C76" s="30">
        <v>25</v>
      </c>
      <c r="D76" s="30">
        <v>20003707</v>
      </c>
      <c r="E76" s="30" t="s">
        <v>1209</v>
      </c>
      <c r="F76" s="30" t="s">
        <v>27</v>
      </c>
      <c r="G76" s="30" t="s">
        <v>27</v>
      </c>
      <c r="H76" s="30" t="s">
        <v>26</v>
      </c>
      <c r="I76" s="30" t="s">
        <v>63</v>
      </c>
      <c r="J76" s="120">
        <v>2</v>
      </c>
      <c r="K76" s="30" t="str">
        <f t="shared" si="0"/>
        <v>SUB DISTRIBUTOR</v>
      </c>
      <c r="L76" s="30" t="s">
        <v>37</v>
      </c>
      <c r="M76" s="120">
        <v>4</v>
      </c>
      <c r="N76" s="30" t="str">
        <f t="shared" si="1"/>
        <v>In Pack</v>
      </c>
      <c r="O76" s="30" t="str">
        <f t="shared" si="2"/>
        <v>Box</v>
      </c>
      <c r="P76" s="120">
        <f t="shared" si="3"/>
        <v>2</v>
      </c>
      <c r="Q76" s="30">
        <f t="shared" si="4"/>
        <v>0</v>
      </c>
      <c r="R76" s="30">
        <v>12</v>
      </c>
      <c r="S76" s="121">
        <f>S75/12</f>
        <v>31669</v>
      </c>
      <c r="T76" s="122">
        <f t="shared" si="5"/>
        <v>28530.630630630629</v>
      </c>
      <c r="U76" s="123">
        <v>30536</v>
      </c>
      <c r="V76" s="123">
        <v>27510</v>
      </c>
    </row>
    <row r="77" spans="1:22" ht="22.5" customHeight="1">
      <c r="A77" s="109"/>
      <c r="B77" s="109"/>
      <c r="C77" s="30">
        <v>25</v>
      </c>
      <c r="D77" s="30">
        <v>20003707</v>
      </c>
      <c r="E77" s="30" t="s">
        <v>1209</v>
      </c>
      <c r="F77" s="30" t="s">
        <v>27</v>
      </c>
      <c r="G77" s="30" t="s">
        <v>27</v>
      </c>
      <c r="H77" s="30" t="s">
        <v>26</v>
      </c>
      <c r="I77" s="30" t="s">
        <v>63</v>
      </c>
      <c r="J77" s="120">
        <v>2</v>
      </c>
      <c r="K77" s="30" t="str">
        <f t="shared" si="0"/>
        <v>SUB DISTRIBUTOR</v>
      </c>
      <c r="L77" s="30" t="s">
        <v>37</v>
      </c>
      <c r="M77" s="120">
        <v>9</v>
      </c>
      <c r="N77" s="30" t="str">
        <f t="shared" si="1"/>
        <v>In Pcs</v>
      </c>
      <c r="O77" s="30" t="str">
        <f t="shared" si="2"/>
        <v>Pcs</v>
      </c>
      <c r="P77" s="120">
        <f t="shared" si="3"/>
        <v>4</v>
      </c>
      <c r="Q77" s="30" t="str">
        <f t="shared" si="4"/>
        <v>small</v>
      </c>
      <c r="R77" s="30">
        <v>144</v>
      </c>
      <c r="S77" s="121">
        <f>S76/12</f>
        <v>2639.0833333333335</v>
      </c>
      <c r="T77" s="122">
        <f t="shared" si="5"/>
        <v>2377.5525525525527</v>
      </c>
      <c r="U77" s="123">
        <v>2547</v>
      </c>
      <c r="V77" s="123">
        <v>2292</v>
      </c>
    </row>
    <row r="78" spans="1:22" ht="22.5" customHeight="1">
      <c r="A78" s="109"/>
      <c r="B78" s="109"/>
      <c r="C78" s="30">
        <v>26</v>
      </c>
      <c r="D78" s="30">
        <v>20002628</v>
      </c>
      <c r="E78" s="30" t="s">
        <v>1210</v>
      </c>
      <c r="F78" s="30" t="s">
        <v>27</v>
      </c>
      <c r="G78" s="30" t="s">
        <v>27</v>
      </c>
      <c r="H78" s="30" t="s">
        <v>26</v>
      </c>
      <c r="I78" s="30" t="s">
        <v>63</v>
      </c>
      <c r="J78" s="120">
        <v>2</v>
      </c>
      <c r="K78" s="30" t="str">
        <f t="shared" si="0"/>
        <v>SUB DISTRIBUTOR</v>
      </c>
      <c r="L78" s="30" t="s">
        <v>37</v>
      </c>
      <c r="M78" s="120">
        <v>1</v>
      </c>
      <c r="N78" s="30" t="str">
        <f t="shared" si="1"/>
        <v>In Carton</v>
      </c>
      <c r="O78" s="30" t="str">
        <f t="shared" si="2"/>
        <v>Carton</v>
      </c>
      <c r="P78" s="120">
        <f t="shared" si="3"/>
        <v>1</v>
      </c>
      <c r="Q78" s="30" t="str">
        <f t="shared" si="4"/>
        <v>large</v>
      </c>
      <c r="R78" s="30">
        <v>1</v>
      </c>
      <c r="S78" s="121">
        <f>38614*12</f>
        <v>463368</v>
      </c>
      <c r="T78" s="122">
        <f t="shared" si="5"/>
        <v>417448.64864864864</v>
      </c>
      <c r="U78" s="123">
        <f>V78+(V78*11%)</f>
        <v>446942.61</v>
      </c>
      <c r="V78" s="123">
        <v>402651</v>
      </c>
    </row>
    <row r="79" spans="1:22" ht="22.5" customHeight="1">
      <c r="A79" s="109"/>
      <c r="B79" s="109"/>
      <c r="C79" s="30">
        <v>26</v>
      </c>
      <c r="D79" s="30">
        <v>20002628</v>
      </c>
      <c r="E79" s="30" t="s">
        <v>1210</v>
      </c>
      <c r="F79" s="30" t="s">
        <v>27</v>
      </c>
      <c r="G79" s="30" t="s">
        <v>27</v>
      </c>
      <c r="H79" s="30" t="s">
        <v>26</v>
      </c>
      <c r="I79" s="30" t="s">
        <v>63</v>
      </c>
      <c r="J79" s="120">
        <v>2</v>
      </c>
      <c r="K79" s="30" t="str">
        <f t="shared" si="0"/>
        <v>SUB DISTRIBUTOR</v>
      </c>
      <c r="L79" s="30" t="s">
        <v>37</v>
      </c>
      <c r="M79" s="120">
        <v>4</v>
      </c>
      <c r="N79" s="30" t="str">
        <f t="shared" si="1"/>
        <v>In Pack</v>
      </c>
      <c r="O79" s="30" t="str">
        <f t="shared" si="2"/>
        <v>Box</v>
      </c>
      <c r="P79" s="120">
        <f t="shared" si="3"/>
        <v>2</v>
      </c>
      <c r="Q79" s="30">
        <f t="shared" si="4"/>
        <v>0</v>
      </c>
      <c r="R79" s="30">
        <v>12</v>
      </c>
      <c r="S79" s="121">
        <f>S78/12</f>
        <v>38614</v>
      </c>
      <c r="T79" s="122">
        <f t="shared" si="5"/>
        <v>34787.387387387382</v>
      </c>
      <c r="U79" s="123">
        <v>3724</v>
      </c>
      <c r="V79" s="123">
        <v>33554</v>
      </c>
    </row>
    <row r="80" spans="1:22" ht="22.5" customHeight="1">
      <c r="A80" s="109"/>
      <c r="B80" s="109"/>
      <c r="C80" s="30">
        <v>26</v>
      </c>
      <c r="D80" s="30">
        <v>20002628</v>
      </c>
      <c r="E80" s="30" t="s">
        <v>1210</v>
      </c>
      <c r="F80" s="30" t="s">
        <v>27</v>
      </c>
      <c r="G80" s="30" t="s">
        <v>27</v>
      </c>
      <c r="H80" s="30" t="s">
        <v>26</v>
      </c>
      <c r="I80" s="30" t="s">
        <v>63</v>
      </c>
      <c r="J80" s="120">
        <v>2</v>
      </c>
      <c r="K80" s="30" t="str">
        <f t="shared" si="0"/>
        <v>SUB DISTRIBUTOR</v>
      </c>
      <c r="L80" s="30" t="s">
        <v>37</v>
      </c>
      <c r="M80" s="120">
        <v>9</v>
      </c>
      <c r="N80" s="30" t="str">
        <f t="shared" si="1"/>
        <v>In Pcs</v>
      </c>
      <c r="O80" s="30" t="str">
        <f t="shared" si="2"/>
        <v>Pcs</v>
      </c>
      <c r="P80" s="120">
        <f t="shared" si="3"/>
        <v>4</v>
      </c>
      <c r="Q80" s="30" t="str">
        <f t="shared" si="4"/>
        <v>small</v>
      </c>
      <c r="R80" s="30">
        <v>144</v>
      </c>
      <c r="S80" s="121">
        <f>S79/12</f>
        <v>3217.8333333333335</v>
      </c>
      <c r="T80" s="122">
        <f t="shared" si="5"/>
        <v>2898.9489489489488</v>
      </c>
      <c r="U80" s="123">
        <v>3103</v>
      </c>
      <c r="V80" s="123">
        <v>2796</v>
      </c>
    </row>
    <row r="81" spans="1:22" ht="22.5" customHeight="1">
      <c r="A81" s="109"/>
      <c r="B81" s="109"/>
      <c r="C81" s="30">
        <v>27</v>
      </c>
      <c r="D81" s="30">
        <v>20002629</v>
      </c>
      <c r="E81" s="30" t="s">
        <v>1211</v>
      </c>
      <c r="F81" s="30" t="s">
        <v>27</v>
      </c>
      <c r="G81" s="30" t="s">
        <v>27</v>
      </c>
      <c r="H81" s="30" t="s">
        <v>26</v>
      </c>
      <c r="I81" s="30" t="s">
        <v>63</v>
      </c>
      <c r="J81" s="120">
        <v>2</v>
      </c>
      <c r="K81" s="30" t="str">
        <f t="shared" si="0"/>
        <v>SUB DISTRIBUTOR</v>
      </c>
      <c r="L81" s="30" t="s">
        <v>37</v>
      </c>
      <c r="M81" s="120">
        <v>1</v>
      </c>
      <c r="N81" s="30" t="str">
        <f t="shared" si="1"/>
        <v>In Carton</v>
      </c>
      <c r="O81" s="30" t="str">
        <f t="shared" si="2"/>
        <v>Carton</v>
      </c>
      <c r="P81" s="120">
        <f t="shared" si="3"/>
        <v>1</v>
      </c>
      <c r="Q81" s="30" t="str">
        <f t="shared" si="4"/>
        <v>large</v>
      </c>
      <c r="R81" s="30">
        <v>1</v>
      </c>
      <c r="S81" s="121">
        <f>38614*12</f>
        <v>463368</v>
      </c>
      <c r="T81" s="122">
        <f t="shared" si="5"/>
        <v>417448.64864864864</v>
      </c>
      <c r="U81" s="123">
        <f>V81+(V81*11%)</f>
        <v>446942.61</v>
      </c>
      <c r="V81" s="123">
        <v>402651</v>
      </c>
    </row>
    <row r="82" spans="1:22" ht="22.5" customHeight="1">
      <c r="A82" s="109"/>
      <c r="B82" s="109"/>
      <c r="C82" s="30">
        <v>27</v>
      </c>
      <c r="D82" s="30">
        <v>20002629</v>
      </c>
      <c r="E82" s="30" t="s">
        <v>1211</v>
      </c>
      <c r="F82" s="30" t="s">
        <v>27</v>
      </c>
      <c r="G82" s="30" t="s">
        <v>27</v>
      </c>
      <c r="H82" s="30" t="s">
        <v>26</v>
      </c>
      <c r="I82" s="30" t="s">
        <v>63</v>
      </c>
      <c r="J82" s="120">
        <v>2</v>
      </c>
      <c r="K82" s="30" t="str">
        <f t="shared" si="0"/>
        <v>SUB DISTRIBUTOR</v>
      </c>
      <c r="L82" s="30" t="s">
        <v>37</v>
      </c>
      <c r="M82" s="120">
        <v>4</v>
      </c>
      <c r="N82" s="30" t="str">
        <f t="shared" si="1"/>
        <v>In Pack</v>
      </c>
      <c r="O82" s="30" t="str">
        <f t="shared" si="2"/>
        <v>Box</v>
      </c>
      <c r="P82" s="120">
        <f t="shared" si="3"/>
        <v>2</v>
      </c>
      <c r="Q82" s="30">
        <f t="shared" si="4"/>
        <v>0</v>
      </c>
      <c r="R82" s="30">
        <v>12</v>
      </c>
      <c r="S82" s="121">
        <f>S81/12</f>
        <v>38614</v>
      </c>
      <c r="T82" s="122">
        <f t="shared" si="5"/>
        <v>34787.387387387382</v>
      </c>
      <c r="U82" s="123">
        <v>3724</v>
      </c>
      <c r="V82" s="123">
        <v>33554</v>
      </c>
    </row>
    <row r="83" spans="1:22" ht="22.5" customHeight="1">
      <c r="A83" s="109"/>
      <c r="B83" s="109"/>
      <c r="C83" s="30">
        <v>27</v>
      </c>
      <c r="D83" s="30">
        <v>20002629</v>
      </c>
      <c r="E83" s="30" t="s">
        <v>1211</v>
      </c>
      <c r="F83" s="30" t="s">
        <v>27</v>
      </c>
      <c r="G83" s="30" t="s">
        <v>27</v>
      </c>
      <c r="H83" s="30" t="s">
        <v>26</v>
      </c>
      <c r="I83" s="30" t="s">
        <v>63</v>
      </c>
      <c r="J83" s="120">
        <v>2</v>
      </c>
      <c r="K83" s="30" t="str">
        <f t="shared" si="0"/>
        <v>SUB DISTRIBUTOR</v>
      </c>
      <c r="L83" s="30" t="s">
        <v>37</v>
      </c>
      <c r="M83" s="120">
        <v>9</v>
      </c>
      <c r="N83" s="30" t="str">
        <f t="shared" si="1"/>
        <v>In Pcs</v>
      </c>
      <c r="O83" s="30" t="str">
        <f t="shared" si="2"/>
        <v>Pcs</v>
      </c>
      <c r="P83" s="120">
        <f t="shared" si="3"/>
        <v>4</v>
      </c>
      <c r="Q83" s="30" t="str">
        <f t="shared" si="4"/>
        <v>small</v>
      </c>
      <c r="R83" s="30">
        <v>144</v>
      </c>
      <c r="S83" s="121">
        <f>S82/12</f>
        <v>3217.8333333333335</v>
      </c>
      <c r="T83" s="122">
        <f t="shared" si="5"/>
        <v>2898.9489489489488</v>
      </c>
      <c r="U83" s="123">
        <v>3103</v>
      </c>
      <c r="V83" s="123">
        <v>2796</v>
      </c>
    </row>
    <row r="84" spans="1:22" ht="22.5" customHeight="1">
      <c r="A84" s="109"/>
      <c r="B84" s="109"/>
      <c r="C84" s="30">
        <v>28</v>
      </c>
      <c r="D84" s="30">
        <v>20002626</v>
      </c>
      <c r="E84" s="30" t="s">
        <v>1212</v>
      </c>
      <c r="F84" s="30" t="s">
        <v>27</v>
      </c>
      <c r="G84" s="30" t="s">
        <v>27</v>
      </c>
      <c r="H84" s="30" t="s">
        <v>26</v>
      </c>
      <c r="I84" s="30" t="s">
        <v>63</v>
      </c>
      <c r="J84" s="120">
        <v>2</v>
      </c>
      <c r="K84" s="30" t="str">
        <f t="shared" si="0"/>
        <v>SUB DISTRIBUTOR</v>
      </c>
      <c r="L84" s="30" t="s">
        <v>37</v>
      </c>
      <c r="M84" s="120">
        <v>1</v>
      </c>
      <c r="N84" s="30" t="str">
        <f t="shared" si="1"/>
        <v>In Carton</v>
      </c>
      <c r="O84" s="30" t="str">
        <f t="shared" si="2"/>
        <v>Carton</v>
      </c>
      <c r="P84" s="120">
        <f t="shared" si="3"/>
        <v>1</v>
      </c>
      <c r="Q84" s="30" t="str">
        <f t="shared" si="4"/>
        <v>large</v>
      </c>
      <c r="R84" s="30">
        <v>1</v>
      </c>
      <c r="S84" s="121">
        <f>38614*12</f>
        <v>463368</v>
      </c>
      <c r="T84" s="122">
        <f t="shared" si="5"/>
        <v>417448.64864864864</v>
      </c>
      <c r="U84" s="123">
        <f>V84+(V84*11%)</f>
        <v>446942.61</v>
      </c>
      <c r="V84" s="123">
        <v>402651</v>
      </c>
    </row>
    <row r="85" spans="1:22" ht="22.5" customHeight="1">
      <c r="A85" s="109"/>
      <c r="B85" s="109"/>
      <c r="C85" s="30">
        <v>28</v>
      </c>
      <c r="D85" s="30">
        <v>20002626</v>
      </c>
      <c r="E85" s="30" t="s">
        <v>1212</v>
      </c>
      <c r="F85" s="30" t="s">
        <v>27</v>
      </c>
      <c r="G85" s="30" t="s">
        <v>27</v>
      </c>
      <c r="H85" s="30" t="s">
        <v>26</v>
      </c>
      <c r="I85" s="30" t="s">
        <v>63</v>
      </c>
      <c r="J85" s="120">
        <v>2</v>
      </c>
      <c r="K85" s="30" t="str">
        <f t="shared" si="0"/>
        <v>SUB DISTRIBUTOR</v>
      </c>
      <c r="L85" s="30" t="s">
        <v>37</v>
      </c>
      <c r="M85" s="120">
        <v>4</v>
      </c>
      <c r="N85" s="30" t="str">
        <f t="shared" si="1"/>
        <v>In Pack</v>
      </c>
      <c r="O85" s="30" t="str">
        <f t="shared" si="2"/>
        <v>Box</v>
      </c>
      <c r="P85" s="120">
        <f t="shared" si="3"/>
        <v>2</v>
      </c>
      <c r="Q85" s="30">
        <f t="shared" si="4"/>
        <v>0</v>
      </c>
      <c r="R85" s="30">
        <v>12</v>
      </c>
      <c r="S85" s="121">
        <f>S84/12</f>
        <v>38614</v>
      </c>
      <c r="T85" s="122">
        <f t="shared" si="5"/>
        <v>34787.387387387382</v>
      </c>
      <c r="U85" s="123">
        <v>3724</v>
      </c>
      <c r="V85" s="123">
        <v>33554</v>
      </c>
    </row>
    <row r="86" spans="1:22" ht="22.5" customHeight="1">
      <c r="A86" s="109"/>
      <c r="B86" s="109"/>
      <c r="C86" s="30">
        <v>28</v>
      </c>
      <c r="D86" s="30">
        <v>20002626</v>
      </c>
      <c r="E86" s="30" t="s">
        <v>1212</v>
      </c>
      <c r="F86" s="30" t="s">
        <v>27</v>
      </c>
      <c r="G86" s="30" t="s">
        <v>27</v>
      </c>
      <c r="H86" s="30" t="s">
        <v>26</v>
      </c>
      <c r="I86" s="30" t="s">
        <v>63</v>
      </c>
      <c r="J86" s="120">
        <v>2</v>
      </c>
      <c r="K86" s="30" t="str">
        <f t="shared" si="0"/>
        <v>SUB DISTRIBUTOR</v>
      </c>
      <c r="L86" s="30" t="s">
        <v>37</v>
      </c>
      <c r="M86" s="120">
        <v>9</v>
      </c>
      <c r="N86" s="30" t="str">
        <f t="shared" si="1"/>
        <v>In Pcs</v>
      </c>
      <c r="O86" s="30" t="str">
        <f t="shared" si="2"/>
        <v>Pcs</v>
      </c>
      <c r="P86" s="120">
        <f t="shared" si="3"/>
        <v>4</v>
      </c>
      <c r="Q86" s="30" t="str">
        <f t="shared" si="4"/>
        <v>small</v>
      </c>
      <c r="R86" s="30">
        <v>144</v>
      </c>
      <c r="S86" s="121">
        <f>S85/12</f>
        <v>3217.8333333333335</v>
      </c>
      <c r="T86" s="122">
        <f t="shared" si="5"/>
        <v>2898.9489489489488</v>
      </c>
      <c r="U86" s="123">
        <v>3103</v>
      </c>
      <c r="V86" s="123">
        <v>2796</v>
      </c>
    </row>
    <row r="87" spans="1:22" ht="22.5" customHeight="1">
      <c r="A87" s="109"/>
      <c r="B87" s="109"/>
      <c r="C87" s="30">
        <v>29</v>
      </c>
      <c r="D87" s="30">
        <v>20002627</v>
      </c>
      <c r="E87" s="30" t="s">
        <v>1213</v>
      </c>
      <c r="F87" s="30" t="s">
        <v>27</v>
      </c>
      <c r="G87" s="30" t="s">
        <v>27</v>
      </c>
      <c r="H87" s="30" t="s">
        <v>26</v>
      </c>
      <c r="I87" s="30" t="s">
        <v>63</v>
      </c>
      <c r="J87" s="120">
        <v>2</v>
      </c>
      <c r="K87" s="30" t="str">
        <f t="shared" si="0"/>
        <v>SUB DISTRIBUTOR</v>
      </c>
      <c r="L87" s="30" t="s">
        <v>37</v>
      </c>
      <c r="M87" s="120">
        <v>1</v>
      </c>
      <c r="N87" s="30" t="str">
        <f t="shared" si="1"/>
        <v>In Carton</v>
      </c>
      <c r="O87" s="30" t="str">
        <f t="shared" si="2"/>
        <v>Carton</v>
      </c>
      <c r="P87" s="120">
        <f t="shared" si="3"/>
        <v>1</v>
      </c>
      <c r="Q87" s="30" t="str">
        <f t="shared" si="4"/>
        <v>large</v>
      </c>
      <c r="R87" s="30">
        <v>1</v>
      </c>
      <c r="S87" s="121">
        <f>38614*12</f>
        <v>463368</v>
      </c>
      <c r="T87" s="122">
        <f t="shared" si="5"/>
        <v>417448.64864864864</v>
      </c>
      <c r="U87" s="123">
        <f>V87+(V87*11%)</f>
        <v>446942.61</v>
      </c>
      <c r="V87" s="123">
        <v>402651</v>
      </c>
    </row>
    <row r="88" spans="1:22" ht="22.5" customHeight="1">
      <c r="A88" s="109"/>
      <c r="B88" s="109"/>
      <c r="C88" s="30">
        <v>29</v>
      </c>
      <c r="D88" s="30">
        <v>20002627</v>
      </c>
      <c r="E88" s="30" t="s">
        <v>1213</v>
      </c>
      <c r="F88" s="30" t="s">
        <v>27</v>
      </c>
      <c r="G88" s="30" t="s">
        <v>27</v>
      </c>
      <c r="H88" s="30" t="s">
        <v>26</v>
      </c>
      <c r="I88" s="30" t="s">
        <v>63</v>
      </c>
      <c r="J88" s="120">
        <v>2</v>
      </c>
      <c r="K88" s="30" t="str">
        <f t="shared" si="0"/>
        <v>SUB DISTRIBUTOR</v>
      </c>
      <c r="L88" s="30" t="s">
        <v>37</v>
      </c>
      <c r="M88" s="120">
        <v>4</v>
      </c>
      <c r="N88" s="30" t="str">
        <f t="shared" si="1"/>
        <v>In Pack</v>
      </c>
      <c r="O88" s="30" t="str">
        <f t="shared" si="2"/>
        <v>Box</v>
      </c>
      <c r="P88" s="120">
        <f t="shared" si="3"/>
        <v>2</v>
      </c>
      <c r="Q88" s="30">
        <f t="shared" si="4"/>
        <v>0</v>
      </c>
      <c r="R88" s="30">
        <v>12</v>
      </c>
      <c r="S88" s="121">
        <f>S87/12</f>
        <v>38614</v>
      </c>
      <c r="T88" s="122">
        <f t="shared" si="5"/>
        <v>34787.387387387382</v>
      </c>
      <c r="U88" s="123">
        <v>3724</v>
      </c>
      <c r="V88" s="123">
        <v>33554</v>
      </c>
    </row>
    <row r="89" spans="1:22" ht="22.5" customHeight="1">
      <c r="A89" s="109"/>
      <c r="B89" s="109"/>
      <c r="C89" s="30">
        <v>29</v>
      </c>
      <c r="D89" s="30">
        <v>20002627</v>
      </c>
      <c r="E89" s="30" t="s">
        <v>1213</v>
      </c>
      <c r="F89" s="30" t="s">
        <v>27</v>
      </c>
      <c r="G89" s="30" t="s">
        <v>27</v>
      </c>
      <c r="H89" s="30" t="s">
        <v>26</v>
      </c>
      <c r="I89" s="30" t="s">
        <v>63</v>
      </c>
      <c r="J89" s="120">
        <v>2</v>
      </c>
      <c r="K89" s="30" t="str">
        <f t="shared" si="0"/>
        <v>SUB DISTRIBUTOR</v>
      </c>
      <c r="L89" s="30" t="s">
        <v>37</v>
      </c>
      <c r="M89" s="120">
        <v>9</v>
      </c>
      <c r="N89" s="30" t="str">
        <f t="shared" si="1"/>
        <v>In Pcs</v>
      </c>
      <c r="O89" s="30" t="str">
        <f t="shared" si="2"/>
        <v>Pcs</v>
      </c>
      <c r="P89" s="120">
        <f t="shared" si="3"/>
        <v>4</v>
      </c>
      <c r="Q89" s="30" t="str">
        <f t="shared" si="4"/>
        <v>small</v>
      </c>
      <c r="R89" s="30">
        <v>144</v>
      </c>
      <c r="S89" s="121">
        <f>S88/12</f>
        <v>3217.8333333333335</v>
      </c>
      <c r="T89" s="122">
        <f t="shared" si="5"/>
        <v>2898.9489489489488</v>
      </c>
      <c r="U89" s="123">
        <v>3103</v>
      </c>
      <c r="V89" s="123">
        <v>2796</v>
      </c>
    </row>
    <row r="90" spans="1:22" ht="22.5" customHeight="1">
      <c r="A90" s="109"/>
      <c r="B90" s="109"/>
      <c r="C90" s="30">
        <v>30</v>
      </c>
      <c r="D90" s="30">
        <v>20002643</v>
      </c>
      <c r="E90" s="30" t="s">
        <v>32</v>
      </c>
      <c r="F90" s="30" t="s">
        <v>27</v>
      </c>
      <c r="G90" s="30" t="s">
        <v>31</v>
      </c>
      <c r="H90" s="30" t="s">
        <v>26</v>
      </c>
      <c r="I90" s="30" t="s">
        <v>63</v>
      </c>
      <c r="J90" s="120">
        <v>2</v>
      </c>
      <c r="K90" s="30" t="str">
        <f t="shared" si="0"/>
        <v>SUB DISTRIBUTOR</v>
      </c>
      <c r="L90" s="30" t="s">
        <v>37</v>
      </c>
      <c r="M90" s="120">
        <v>1</v>
      </c>
      <c r="N90" s="30" t="str">
        <f t="shared" si="1"/>
        <v>In Carton</v>
      </c>
      <c r="O90" s="30" t="str">
        <f t="shared" si="2"/>
        <v>Carton</v>
      </c>
      <c r="P90" s="120">
        <f t="shared" si="3"/>
        <v>1</v>
      </c>
      <c r="Q90" s="30" t="str">
        <f t="shared" si="4"/>
        <v>large</v>
      </c>
      <c r="R90" s="30">
        <v>1</v>
      </c>
      <c r="S90" s="121">
        <f>52045*8</f>
        <v>416360</v>
      </c>
      <c r="T90" s="122">
        <f t="shared" si="5"/>
        <v>375099.09909909905</v>
      </c>
      <c r="U90" s="123">
        <f>V90+(V90*11%)</f>
        <v>446942.61</v>
      </c>
      <c r="V90" s="123">
        <v>402651</v>
      </c>
    </row>
    <row r="91" spans="1:22" ht="22.5" customHeight="1">
      <c r="A91" s="109"/>
      <c r="B91" s="109"/>
      <c r="C91" s="30">
        <v>30</v>
      </c>
      <c r="D91" s="30">
        <v>20002643</v>
      </c>
      <c r="E91" s="30" t="s">
        <v>32</v>
      </c>
      <c r="F91" s="30" t="s">
        <v>27</v>
      </c>
      <c r="G91" s="30" t="s">
        <v>31</v>
      </c>
      <c r="H91" s="30" t="s">
        <v>26</v>
      </c>
      <c r="I91" s="30" t="s">
        <v>63</v>
      </c>
      <c r="J91" s="120">
        <v>2</v>
      </c>
      <c r="K91" s="30" t="str">
        <f t="shared" si="0"/>
        <v>SUB DISTRIBUTOR</v>
      </c>
      <c r="L91" s="30" t="s">
        <v>37</v>
      </c>
      <c r="M91" s="120">
        <v>4</v>
      </c>
      <c r="N91" s="30" t="str">
        <f t="shared" si="1"/>
        <v>In Pack</v>
      </c>
      <c r="O91" s="30" t="str">
        <f t="shared" si="2"/>
        <v>Box</v>
      </c>
      <c r="P91" s="120">
        <f t="shared" si="3"/>
        <v>2</v>
      </c>
      <c r="Q91" s="30">
        <f t="shared" si="4"/>
        <v>0</v>
      </c>
      <c r="R91" s="30">
        <v>8</v>
      </c>
      <c r="S91" s="121">
        <f>S90/8</f>
        <v>52045</v>
      </c>
      <c r="T91" s="122">
        <f t="shared" si="5"/>
        <v>46887.387387387382</v>
      </c>
      <c r="U91" s="123">
        <v>3724</v>
      </c>
      <c r="V91" s="123">
        <v>33554</v>
      </c>
    </row>
    <row r="92" spans="1:22" ht="22.5" customHeight="1">
      <c r="A92" s="109"/>
      <c r="B92" s="109"/>
      <c r="C92" s="30">
        <v>30</v>
      </c>
      <c r="D92" s="30">
        <v>20002643</v>
      </c>
      <c r="E92" s="30" t="s">
        <v>32</v>
      </c>
      <c r="F92" s="30" t="s">
        <v>27</v>
      </c>
      <c r="G92" s="30" t="s">
        <v>31</v>
      </c>
      <c r="H92" s="30" t="s">
        <v>26</v>
      </c>
      <c r="I92" s="30" t="s">
        <v>63</v>
      </c>
      <c r="J92" s="120">
        <v>2</v>
      </c>
      <c r="K92" s="30" t="str">
        <f t="shared" si="0"/>
        <v>SUB DISTRIBUTOR</v>
      </c>
      <c r="L92" s="30" t="s">
        <v>37</v>
      </c>
      <c r="M92" s="120">
        <v>9</v>
      </c>
      <c r="N92" s="30" t="str">
        <f t="shared" si="1"/>
        <v>In Pcs</v>
      </c>
      <c r="O92" s="30" t="str">
        <f t="shared" si="2"/>
        <v>Pcs</v>
      </c>
      <c r="P92" s="120">
        <f t="shared" si="3"/>
        <v>4</v>
      </c>
      <c r="Q92" s="30" t="str">
        <f t="shared" si="4"/>
        <v>small</v>
      </c>
      <c r="R92" s="30">
        <v>80</v>
      </c>
      <c r="S92" s="121">
        <f>S91/10</f>
        <v>5204.5</v>
      </c>
      <c r="T92" s="122">
        <f t="shared" si="5"/>
        <v>4688.738738738738</v>
      </c>
      <c r="U92" s="123">
        <v>3103</v>
      </c>
      <c r="V92" s="123">
        <v>2796</v>
      </c>
    </row>
    <row r="93" spans="1:22" ht="22.5" customHeight="1">
      <c r="A93" s="109"/>
      <c r="B93" s="109"/>
      <c r="C93" s="30">
        <v>31</v>
      </c>
      <c r="D93" s="30">
        <v>20002644</v>
      </c>
      <c r="E93" s="30" t="s">
        <v>1214</v>
      </c>
      <c r="F93" s="30" t="s">
        <v>27</v>
      </c>
      <c r="G93" s="30" t="s">
        <v>31</v>
      </c>
      <c r="H93" s="30" t="s">
        <v>26</v>
      </c>
      <c r="I93" s="30" t="s">
        <v>63</v>
      </c>
      <c r="J93" s="120">
        <v>2</v>
      </c>
      <c r="K93" s="30" t="str">
        <f t="shared" si="0"/>
        <v>SUB DISTRIBUTOR</v>
      </c>
      <c r="L93" s="30" t="s">
        <v>37</v>
      </c>
      <c r="M93" s="120">
        <v>1</v>
      </c>
      <c r="N93" s="30" t="str">
        <f t="shared" si="1"/>
        <v>In Carton</v>
      </c>
      <c r="O93" s="30" t="str">
        <f t="shared" si="2"/>
        <v>Carton</v>
      </c>
      <c r="P93" s="120">
        <f t="shared" si="3"/>
        <v>1</v>
      </c>
      <c r="Q93" s="30" t="str">
        <f t="shared" si="4"/>
        <v>large</v>
      </c>
      <c r="R93" s="30">
        <v>1</v>
      </c>
      <c r="S93" s="121">
        <f>52045*8</f>
        <v>416360</v>
      </c>
      <c r="T93" s="122">
        <f t="shared" si="5"/>
        <v>375099.09909909905</v>
      </c>
      <c r="U93" s="123">
        <f>V93+(V93*11%)</f>
        <v>446942.61</v>
      </c>
      <c r="V93" s="123">
        <v>402651</v>
      </c>
    </row>
    <row r="94" spans="1:22" ht="22.5" customHeight="1">
      <c r="A94" s="109"/>
      <c r="B94" s="109"/>
      <c r="C94" s="30">
        <v>31</v>
      </c>
      <c r="D94" s="30">
        <v>20002644</v>
      </c>
      <c r="E94" s="30" t="s">
        <v>1214</v>
      </c>
      <c r="F94" s="30" t="s">
        <v>27</v>
      </c>
      <c r="G94" s="30" t="s">
        <v>31</v>
      </c>
      <c r="H94" s="30" t="s">
        <v>26</v>
      </c>
      <c r="I94" s="30" t="s">
        <v>63</v>
      </c>
      <c r="J94" s="120">
        <v>2</v>
      </c>
      <c r="K94" s="30" t="str">
        <f t="shared" si="0"/>
        <v>SUB DISTRIBUTOR</v>
      </c>
      <c r="L94" s="30" t="s">
        <v>37</v>
      </c>
      <c r="M94" s="120">
        <v>4</v>
      </c>
      <c r="N94" s="30" t="str">
        <f t="shared" si="1"/>
        <v>In Pack</v>
      </c>
      <c r="O94" s="30" t="str">
        <f t="shared" si="2"/>
        <v>Box</v>
      </c>
      <c r="P94" s="120">
        <f t="shared" si="3"/>
        <v>2</v>
      </c>
      <c r="Q94" s="30">
        <f t="shared" si="4"/>
        <v>0</v>
      </c>
      <c r="R94" s="30">
        <v>8</v>
      </c>
      <c r="S94" s="121">
        <f>S93/8</f>
        <v>52045</v>
      </c>
      <c r="T94" s="122">
        <f t="shared" si="5"/>
        <v>46887.387387387382</v>
      </c>
      <c r="U94" s="123">
        <v>3724</v>
      </c>
      <c r="V94" s="123">
        <v>33554</v>
      </c>
    </row>
    <row r="95" spans="1:22" ht="22.5" customHeight="1">
      <c r="A95" s="109"/>
      <c r="B95" s="109"/>
      <c r="C95" s="30">
        <v>31</v>
      </c>
      <c r="D95" s="30">
        <v>20002644</v>
      </c>
      <c r="E95" s="30" t="s">
        <v>1214</v>
      </c>
      <c r="F95" s="30" t="s">
        <v>27</v>
      </c>
      <c r="G95" s="30" t="s">
        <v>31</v>
      </c>
      <c r="H95" s="30" t="s">
        <v>26</v>
      </c>
      <c r="I95" s="30" t="s">
        <v>63</v>
      </c>
      <c r="J95" s="120">
        <v>2</v>
      </c>
      <c r="K95" s="30" t="str">
        <f t="shared" si="0"/>
        <v>SUB DISTRIBUTOR</v>
      </c>
      <c r="L95" s="30" t="s">
        <v>37</v>
      </c>
      <c r="M95" s="120">
        <v>9</v>
      </c>
      <c r="N95" s="30" t="str">
        <f t="shared" si="1"/>
        <v>In Pcs</v>
      </c>
      <c r="O95" s="30" t="str">
        <f t="shared" si="2"/>
        <v>Pcs</v>
      </c>
      <c r="P95" s="120">
        <f t="shared" si="3"/>
        <v>4</v>
      </c>
      <c r="Q95" s="30" t="str">
        <f t="shared" si="4"/>
        <v>small</v>
      </c>
      <c r="R95" s="30">
        <v>80</v>
      </c>
      <c r="S95" s="121">
        <f>S94/10</f>
        <v>5204.5</v>
      </c>
      <c r="T95" s="122">
        <f t="shared" si="5"/>
        <v>4688.738738738738</v>
      </c>
      <c r="U95" s="123">
        <v>3103</v>
      </c>
      <c r="V95" s="123">
        <v>2796</v>
      </c>
    </row>
    <row r="96" spans="1:22" ht="22.5" customHeight="1">
      <c r="A96" s="109"/>
      <c r="B96" s="109"/>
      <c r="C96" s="124">
        <v>34</v>
      </c>
      <c r="D96" s="125" t="s">
        <v>1218</v>
      </c>
      <c r="E96" s="126" t="s">
        <v>1219</v>
      </c>
      <c r="F96" s="124" t="s">
        <v>1261</v>
      </c>
      <c r="G96" s="124" t="s">
        <v>1226</v>
      </c>
      <c r="H96" s="124" t="s">
        <v>1259</v>
      </c>
      <c r="I96" s="124" t="s">
        <v>1259</v>
      </c>
      <c r="J96" s="127">
        <v>1</v>
      </c>
      <c r="K96" s="124" t="str">
        <f t="shared" si="0"/>
        <v>DISTRIBUTOR</v>
      </c>
      <c r="L96" s="124" t="s">
        <v>37</v>
      </c>
      <c r="M96" s="127">
        <v>1</v>
      </c>
      <c r="N96" s="124" t="str">
        <f t="shared" si="1"/>
        <v>In Carton</v>
      </c>
      <c r="O96" s="124" t="str">
        <f t="shared" si="2"/>
        <v>Carton</v>
      </c>
      <c r="P96" s="127">
        <f t="shared" si="3"/>
        <v>1</v>
      </c>
      <c r="Q96" s="124" t="str">
        <f t="shared" si="4"/>
        <v>large</v>
      </c>
      <c r="R96" s="124">
        <v>1</v>
      </c>
      <c r="S96" s="128">
        <f>7980*10</f>
        <v>79800</v>
      </c>
      <c r="T96" s="129">
        <f t="shared" si="5"/>
        <v>71891.891891891879</v>
      </c>
      <c r="U96" s="219">
        <f>V96+(V96*11%)</f>
        <v>67254.899999999994</v>
      </c>
      <c r="V96" s="219">
        <v>60590</v>
      </c>
    </row>
    <row r="97" spans="1:22" ht="22.5" customHeight="1">
      <c r="A97" s="109"/>
      <c r="B97" s="109"/>
      <c r="C97" s="124">
        <v>34</v>
      </c>
      <c r="D97" s="125" t="s">
        <v>1218</v>
      </c>
      <c r="E97" s="126" t="s">
        <v>1219</v>
      </c>
      <c r="F97" s="124" t="s">
        <v>1261</v>
      </c>
      <c r="G97" s="124" t="s">
        <v>1226</v>
      </c>
      <c r="H97" s="124" t="s">
        <v>1259</v>
      </c>
      <c r="I97" s="124" t="s">
        <v>1259</v>
      </c>
      <c r="J97" s="127">
        <v>1</v>
      </c>
      <c r="K97" s="124" t="str">
        <f t="shared" si="0"/>
        <v>DISTRIBUTOR</v>
      </c>
      <c r="L97" s="124" t="s">
        <v>37</v>
      </c>
      <c r="M97" s="127">
        <v>3</v>
      </c>
      <c r="N97" s="124" t="str">
        <f t="shared" si="1"/>
        <v>In Pack</v>
      </c>
      <c r="O97" s="124" t="str">
        <f t="shared" si="2"/>
        <v>Pack</v>
      </c>
      <c r="P97" s="127">
        <f t="shared" si="3"/>
        <v>2</v>
      </c>
      <c r="Q97" s="124">
        <f t="shared" si="4"/>
        <v>0</v>
      </c>
      <c r="R97" s="124">
        <v>10</v>
      </c>
      <c r="S97" s="128">
        <f>S96/10</f>
        <v>7980</v>
      </c>
      <c r="T97" s="129">
        <f t="shared" si="5"/>
        <v>7189.1891891891883</v>
      </c>
      <c r="U97" s="219">
        <f t="shared" ref="U97:U160" si="6">V97+(V97*11%)</f>
        <v>6725.49</v>
      </c>
      <c r="V97" s="219">
        <v>6059</v>
      </c>
    </row>
    <row r="98" spans="1:22" ht="22.5" customHeight="1">
      <c r="A98" s="109"/>
      <c r="B98" s="109"/>
      <c r="C98" s="124">
        <v>34</v>
      </c>
      <c r="D98" s="125" t="s">
        <v>1218</v>
      </c>
      <c r="E98" s="126" t="s">
        <v>1219</v>
      </c>
      <c r="F98" s="124" t="s">
        <v>1261</v>
      </c>
      <c r="G98" s="124" t="s">
        <v>1226</v>
      </c>
      <c r="H98" s="124" t="s">
        <v>1259</v>
      </c>
      <c r="I98" s="124" t="s">
        <v>1259</v>
      </c>
      <c r="J98" s="127">
        <v>1</v>
      </c>
      <c r="K98" s="124" t="str">
        <f t="shared" si="0"/>
        <v>DISTRIBUTOR</v>
      </c>
      <c r="L98" s="124" t="s">
        <v>37</v>
      </c>
      <c r="M98" s="127">
        <v>9</v>
      </c>
      <c r="N98" s="124" t="str">
        <f t="shared" si="1"/>
        <v>In Pcs</v>
      </c>
      <c r="O98" s="124" t="str">
        <f t="shared" si="2"/>
        <v>Pcs</v>
      </c>
      <c r="P98" s="127">
        <f t="shared" si="3"/>
        <v>4</v>
      </c>
      <c r="Q98" s="124" t="str">
        <f t="shared" si="4"/>
        <v>small</v>
      </c>
      <c r="R98" s="124">
        <v>100</v>
      </c>
      <c r="S98" s="128">
        <f>S97/10</f>
        <v>798</v>
      </c>
      <c r="T98" s="129">
        <f t="shared" si="5"/>
        <v>718.91891891891885</v>
      </c>
      <c r="U98" s="219">
        <f t="shared" si="6"/>
        <v>671.55</v>
      </c>
      <c r="V98" s="219">
        <v>605</v>
      </c>
    </row>
    <row r="99" spans="1:22" ht="22.5" customHeight="1">
      <c r="A99" s="109"/>
      <c r="B99" s="109"/>
      <c r="C99" s="124">
        <v>35</v>
      </c>
      <c r="D99" s="125" t="s">
        <v>1220</v>
      </c>
      <c r="E99" s="126" t="s">
        <v>1221</v>
      </c>
      <c r="F99" s="124" t="s">
        <v>1261</v>
      </c>
      <c r="G99" s="124" t="s">
        <v>1226</v>
      </c>
      <c r="H99" s="124" t="s">
        <v>1259</v>
      </c>
      <c r="I99" s="124" t="s">
        <v>1259</v>
      </c>
      <c r="J99" s="127">
        <v>1</v>
      </c>
      <c r="K99" s="124" t="str">
        <f t="shared" si="0"/>
        <v>DISTRIBUTOR</v>
      </c>
      <c r="L99" s="124" t="s">
        <v>37</v>
      </c>
      <c r="M99" s="127">
        <v>1</v>
      </c>
      <c r="N99" s="124" t="str">
        <f t="shared" si="1"/>
        <v>In Carton</v>
      </c>
      <c r="O99" s="124" t="str">
        <f t="shared" si="2"/>
        <v>Carton</v>
      </c>
      <c r="P99" s="127">
        <f t="shared" ref="P99:P269" si="7">IFERROR(VLOOKUP($M99,$M$3:$Q$14,4,0),"")</f>
        <v>1</v>
      </c>
      <c r="Q99" s="124" t="str">
        <f t="shared" ref="Q99:Q269" si="8">IFERROR(VLOOKUP($M99,$M$3:$Q$14,5,0),"")</f>
        <v>large</v>
      </c>
      <c r="R99" s="124">
        <v>1</v>
      </c>
      <c r="S99" s="128">
        <f>7980*10</f>
        <v>79800</v>
      </c>
      <c r="T99" s="129">
        <f t="shared" si="5"/>
        <v>71891.891891891879</v>
      </c>
      <c r="U99" s="219">
        <f t="shared" si="6"/>
        <v>67254.899999999994</v>
      </c>
      <c r="V99" s="219">
        <v>60590</v>
      </c>
    </row>
    <row r="100" spans="1:22" ht="22.5" customHeight="1">
      <c r="A100" s="109"/>
      <c r="B100" s="109"/>
      <c r="C100" s="124">
        <v>35</v>
      </c>
      <c r="D100" s="125" t="s">
        <v>1220</v>
      </c>
      <c r="E100" s="126" t="s">
        <v>1411</v>
      </c>
      <c r="F100" s="124" t="s">
        <v>1261</v>
      </c>
      <c r="G100" s="124" t="s">
        <v>1226</v>
      </c>
      <c r="H100" s="124" t="s">
        <v>1259</v>
      </c>
      <c r="I100" s="124" t="s">
        <v>1259</v>
      </c>
      <c r="J100" s="127">
        <v>1</v>
      </c>
      <c r="K100" s="124" t="str">
        <f t="shared" si="0"/>
        <v>DISTRIBUTOR</v>
      </c>
      <c r="L100" s="124" t="s">
        <v>37</v>
      </c>
      <c r="M100" s="127">
        <v>3</v>
      </c>
      <c r="N100" s="124" t="str">
        <f t="shared" si="1"/>
        <v>In Pack</v>
      </c>
      <c r="O100" s="124" t="str">
        <f t="shared" si="2"/>
        <v>Pack</v>
      </c>
      <c r="P100" s="127">
        <f t="shared" si="7"/>
        <v>2</v>
      </c>
      <c r="Q100" s="124">
        <f t="shared" si="8"/>
        <v>0</v>
      </c>
      <c r="R100" s="124">
        <v>10</v>
      </c>
      <c r="S100" s="128">
        <f>S99/10</f>
        <v>7980</v>
      </c>
      <c r="T100" s="129">
        <f t="shared" si="5"/>
        <v>7189.1891891891883</v>
      </c>
      <c r="U100" s="219">
        <f t="shared" si="6"/>
        <v>6725.49</v>
      </c>
      <c r="V100" s="219">
        <v>6059</v>
      </c>
    </row>
    <row r="101" spans="1:22" ht="22.5" customHeight="1">
      <c r="A101" s="109"/>
      <c r="B101" s="109"/>
      <c r="C101" s="124">
        <v>35</v>
      </c>
      <c r="D101" s="125" t="s">
        <v>1220</v>
      </c>
      <c r="E101" s="126" t="s">
        <v>1412</v>
      </c>
      <c r="F101" s="124" t="s">
        <v>1261</v>
      </c>
      <c r="G101" s="124" t="s">
        <v>1226</v>
      </c>
      <c r="H101" s="124" t="s">
        <v>1259</v>
      </c>
      <c r="I101" s="124" t="s">
        <v>1259</v>
      </c>
      <c r="J101" s="127">
        <v>1</v>
      </c>
      <c r="K101" s="124" t="str">
        <f t="shared" si="0"/>
        <v>DISTRIBUTOR</v>
      </c>
      <c r="L101" s="124" t="s">
        <v>37</v>
      </c>
      <c r="M101" s="127">
        <v>9</v>
      </c>
      <c r="N101" s="124" t="str">
        <f t="shared" si="1"/>
        <v>In Pcs</v>
      </c>
      <c r="O101" s="124" t="str">
        <f t="shared" si="2"/>
        <v>Pcs</v>
      </c>
      <c r="P101" s="127">
        <f t="shared" si="7"/>
        <v>4</v>
      </c>
      <c r="Q101" s="124" t="str">
        <f t="shared" si="8"/>
        <v>small</v>
      </c>
      <c r="R101" s="124">
        <v>100</v>
      </c>
      <c r="S101" s="128">
        <f>S100/10</f>
        <v>798</v>
      </c>
      <c r="T101" s="129">
        <f t="shared" si="5"/>
        <v>718.91891891891885</v>
      </c>
      <c r="U101" s="219">
        <f t="shared" si="6"/>
        <v>671.55</v>
      </c>
      <c r="V101" s="219">
        <v>605</v>
      </c>
    </row>
    <row r="102" spans="1:22" ht="22.5" customHeight="1">
      <c r="A102" s="109"/>
      <c r="B102" s="109"/>
      <c r="C102" s="124">
        <v>36</v>
      </c>
      <c r="D102" s="125" t="s">
        <v>1222</v>
      </c>
      <c r="E102" s="126" t="s">
        <v>1223</v>
      </c>
      <c r="F102" s="124" t="s">
        <v>1261</v>
      </c>
      <c r="G102" s="124" t="s">
        <v>1226</v>
      </c>
      <c r="H102" s="124" t="s">
        <v>1259</v>
      </c>
      <c r="I102" s="124" t="s">
        <v>1259</v>
      </c>
      <c r="J102" s="127">
        <v>1</v>
      </c>
      <c r="K102" s="124" t="str">
        <f t="shared" si="0"/>
        <v>DISTRIBUTOR</v>
      </c>
      <c r="L102" s="124" t="s">
        <v>37</v>
      </c>
      <c r="M102" s="127">
        <v>1</v>
      </c>
      <c r="N102" s="124" t="str">
        <f t="shared" si="1"/>
        <v>In Carton</v>
      </c>
      <c r="O102" s="124" t="str">
        <f t="shared" si="2"/>
        <v>Carton</v>
      </c>
      <c r="P102" s="127">
        <f t="shared" si="7"/>
        <v>1</v>
      </c>
      <c r="Q102" s="124" t="str">
        <f t="shared" si="8"/>
        <v>large</v>
      </c>
      <c r="R102" s="124">
        <v>1</v>
      </c>
      <c r="S102" s="128">
        <f>7980*10</f>
        <v>79800</v>
      </c>
      <c r="T102" s="129">
        <f t="shared" si="5"/>
        <v>71891.891891891879</v>
      </c>
      <c r="U102" s="219">
        <f t="shared" si="6"/>
        <v>67254.899999999994</v>
      </c>
      <c r="V102" s="219">
        <v>60590</v>
      </c>
    </row>
    <row r="103" spans="1:22" ht="22.5" customHeight="1">
      <c r="A103" s="109"/>
      <c r="B103" s="109"/>
      <c r="C103" s="124">
        <v>36</v>
      </c>
      <c r="D103" s="125" t="s">
        <v>1222</v>
      </c>
      <c r="E103" s="126" t="s">
        <v>1413</v>
      </c>
      <c r="F103" s="124" t="s">
        <v>1261</v>
      </c>
      <c r="G103" s="124" t="s">
        <v>1226</v>
      </c>
      <c r="H103" s="124" t="s">
        <v>1259</v>
      </c>
      <c r="I103" s="124" t="s">
        <v>1259</v>
      </c>
      <c r="J103" s="127">
        <v>1</v>
      </c>
      <c r="K103" s="124" t="str">
        <f t="shared" si="0"/>
        <v>DISTRIBUTOR</v>
      </c>
      <c r="L103" s="124" t="s">
        <v>37</v>
      </c>
      <c r="M103" s="127">
        <v>3</v>
      </c>
      <c r="N103" s="124" t="str">
        <f t="shared" si="1"/>
        <v>In Pack</v>
      </c>
      <c r="O103" s="124" t="str">
        <f t="shared" si="2"/>
        <v>Pack</v>
      </c>
      <c r="P103" s="127">
        <f t="shared" si="7"/>
        <v>2</v>
      </c>
      <c r="Q103" s="124">
        <f t="shared" si="8"/>
        <v>0</v>
      </c>
      <c r="R103" s="124">
        <v>10</v>
      </c>
      <c r="S103" s="128">
        <f>S102/10</f>
        <v>7980</v>
      </c>
      <c r="T103" s="129">
        <f t="shared" si="5"/>
        <v>7189.1891891891883</v>
      </c>
      <c r="U103" s="219">
        <f t="shared" si="6"/>
        <v>6725.49</v>
      </c>
      <c r="V103" s="219">
        <v>6059</v>
      </c>
    </row>
    <row r="104" spans="1:22" ht="22.5" customHeight="1">
      <c r="A104" s="109"/>
      <c r="B104" s="109"/>
      <c r="C104" s="124">
        <v>36</v>
      </c>
      <c r="D104" s="125" t="s">
        <v>1222</v>
      </c>
      <c r="E104" s="126" t="s">
        <v>1414</v>
      </c>
      <c r="F104" s="124" t="s">
        <v>1261</v>
      </c>
      <c r="G104" s="124" t="s">
        <v>1226</v>
      </c>
      <c r="H104" s="124" t="s">
        <v>1259</v>
      </c>
      <c r="I104" s="124" t="s">
        <v>1259</v>
      </c>
      <c r="J104" s="127">
        <v>1</v>
      </c>
      <c r="K104" s="124" t="str">
        <f t="shared" si="0"/>
        <v>DISTRIBUTOR</v>
      </c>
      <c r="L104" s="124" t="s">
        <v>37</v>
      </c>
      <c r="M104" s="127">
        <v>9</v>
      </c>
      <c r="N104" s="124" t="str">
        <f t="shared" si="1"/>
        <v>In Pcs</v>
      </c>
      <c r="O104" s="124" t="str">
        <f t="shared" si="2"/>
        <v>Pcs</v>
      </c>
      <c r="P104" s="127">
        <f t="shared" si="7"/>
        <v>4</v>
      </c>
      <c r="Q104" s="124" t="str">
        <f t="shared" si="8"/>
        <v>small</v>
      </c>
      <c r="R104" s="124">
        <v>100</v>
      </c>
      <c r="S104" s="128">
        <f>S103/10</f>
        <v>798</v>
      </c>
      <c r="T104" s="129">
        <f t="shared" si="5"/>
        <v>718.91891891891885</v>
      </c>
      <c r="U104" s="219">
        <f t="shared" si="6"/>
        <v>671.55</v>
      </c>
      <c r="V104" s="219">
        <v>605</v>
      </c>
    </row>
    <row r="105" spans="1:22" ht="22.5" customHeight="1">
      <c r="A105" s="109"/>
      <c r="B105" s="109"/>
      <c r="C105" s="124">
        <v>37</v>
      </c>
      <c r="D105" s="125" t="s">
        <v>1224</v>
      </c>
      <c r="E105" s="126" t="s">
        <v>1225</v>
      </c>
      <c r="F105" s="124" t="s">
        <v>1261</v>
      </c>
      <c r="G105" s="124" t="s">
        <v>1226</v>
      </c>
      <c r="H105" s="124" t="s">
        <v>1259</v>
      </c>
      <c r="I105" s="124" t="s">
        <v>1259</v>
      </c>
      <c r="J105" s="127">
        <v>1</v>
      </c>
      <c r="K105" s="124" t="str">
        <f t="shared" si="0"/>
        <v>DISTRIBUTOR</v>
      </c>
      <c r="L105" s="124" t="s">
        <v>37</v>
      </c>
      <c r="M105" s="127">
        <v>1</v>
      </c>
      <c r="N105" s="124" t="str">
        <f t="shared" si="1"/>
        <v>In Carton</v>
      </c>
      <c r="O105" s="124" t="str">
        <f t="shared" si="2"/>
        <v>Carton</v>
      </c>
      <c r="P105" s="127">
        <f t="shared" si="7"/>
        <v>1</v>
      </c>
      <c r="Q105" s="124" t="str">
        <f t="shared" si="8"/>
        <v>large</v>
      </c>
      <c r="R105" s="124">
        <v>1</v>
      </c>
      <c r="S105" s="128">
        <f>7980*10</f>
        <v>79800</v>
      </c>
      <c r="T105" s="129">
        <f t="shared" si="5"/>
        <v>71891.891891891879</v>
      </c>
      <c r="U105" s="219">
        <f t="shared" si="6"/>
        <v>67254.899999999994</v>
      </c>
      <c r="V105" s="219">
        <v>60590</v>
      </c>
    </row>
    <row r="106" spans="1:22" ht="22.5" customHeight="1">
      <c r="A106" s="109"/>
      <c r="B106" s="109"/>
      <c r="C106" s="124">
        <v>37</v>
      </c>
      <c r="D106" s="125" t="s">
        <v>1224</v>
      </c>
      <c r="E106" s="126" t="s">
        <v>1415</v>
      </c>
      <c r="F106" s="124" t="s">
        <v>1261</v>
      </c>
      <c r="G106" s="124" t="s">
        <v>1226</v>
      </c>
      <c r="H106" s="124" t="s">
        <v>1259</v>
      </c>
      <c r="I106" s="124" t="s">
        <v>1259</v>
      </c>
      <c r="J106" s="127">
        <v>1</v>
      </c>
      <c r="K106" s="124" t="str">
        <f t="shared" si="0"/>
        <v>DISTRIBUTOR</v>
      </c>
      <c r="L106" s="124" t="s">
        <v>37</v>
      </c>
      <c r="M106" s="127">
        <v>3</v>
      </c>
      <c r="N106" s="124" t="str">
        <f t="shared" si="1"/>
        <v>In Pack</v>
      </c>
      <c r="O106" s="124" t="str">
        <f t="shared" si="2"/>
        <v>Pack</v>
      </c>
      <c r="P106" s="127">
        <f t="shared" si="7"/>
        <v>2</v>
      </c>
      <c r="Q106" s="124">
        <f t="shared" si="8"/>
        <v>0</v>
      </c>
      <c r="R106" s="124">
        <v>10</v>
      </c>
      <c r="S106" s="128">
        <f>S105/10</f>
        <v>7980</v>
      </c>
      <c r="T106" s="129">
        <f t="shared" si="5"/>
        <v>7189.1891891891883</v>
      </c>
      <c r="U106" s="219">
        <f t="shared" si="6"/>
        <v>6725.49</v>
      </c>
      <c r="V106" s="219">
        <v>6059</v>
      </c>
    </row>
    <row r="107" spans="1:22" ht="22.5" customHeight="1">
      <c r="A107" s="109"/>
      <c r="B107" s="109"/>
      <c r="C107" s="124">
        <v>37</v>
      </c>
      <c r="D107" s="125" t="s">
        <v>1224</v>
      </c>
      <c r="E107" s="126" t="s">
        <v>1416</v>
      </c>
      <c r="F107" s="124" t="s">
        <v>1261</v>
      </c>
      <c r="G107" s="124" t="s">
        <v>1226</v>
      </c>
      <c r="H107" s="124" t="s">
        <v>1259</v>
      </c>
      <c r="I107" s="124" t="s">
        <v>1259</v>
      </c>
      <c r="J107" s="127">
        <v>1</v>
      </c>
      <c r="K107" s="124" t="str">
        <f t="shared" si="0"/>
        <v>DISTRIBUTOR</v>
      </c>
      <c r="L107" s="124" t="s">
        <v>37</v>
      </c>
      <c r="M107" s="127">
        <v>9</v>
      </c>
      <c r="N107" s="124" t="str">
        <f t="shared" si="1"/>
        <v>In Pcs</v>
      </c>
      <c r="O107" s="124" t="str">
        <f t="shared" si="2"/>
        <v>Pcs</v>
      </c>
      <c r="P107" s="127">
        <f t="shared" si="7"/>
        <v>4</v>
      </c>
      <c r="Q107" s="124" t="str">
        <f t="shared" si="8"/>
        <v>small</v>
      </c>
      <c r="R107" s="124">
        <v>100</v>
      </c>
      <c r="S107" s="128">
        <f>S106/10</f>
        <v>798</v>
      </c>
      <c r="T107" s="129">
        <f t="shared" si="5"/>
        <v>718.91891891891885</v>
      </c>
      <c r="U107" s="219">
        <f t="shared" si="6"/>
        <v>671.55</v>
      </c>
      <c r="V107" s="219">
        <v>605</v>
      </c>
    </row>
    <row r="108" spans="1:22" ht="22.5" customHeight="1">
      <c r="A108" s="109"/>
      <c r="B108" s="109"/>
      <c r="C108" s="124">
        <v>38</v>
      </c>
      <c r="D108" s="125" t="s">
        <v>1227</v>
      </c>
      <c r="E108" s="126" t="s">
        <v>1228</v>
      </c>
      <c r="F108" s="124" t="s">
        <v>1261</v>
      </c>
      <c r="G108" s="124" t="s">
        <v>1226</v>
      </c>
      <c r="H108" s="124" t="s">
        <v>1259</v>
      </c>
      <c r="I108" s="124" t="s">
        <v>1259</v>
      </c>
      <c r="J108" s="127">
        <v>1</v>
      </c>
      <c r="K108" s="124" t="str">
        <f t="shared" si="0"/>
        <v>DISTRIBUTOR</v>
      </c>
      <c r="L108" s="124" t="s">
        <v>37</v>
      </c>
      <c r="M108" s="127">
        <v>1</v>
      </c>
      <c r="N108" s="124" t="str">
        <f t="shared" si="1"/>
        <v>In Carton</v>
      </c>
      <c r="O108" s="124" t="str">
        <f t="shared" si="2"/>
        <v>Carton</v>
      </c>
      <c r="P108" s="127">
        <f t="shared" si="7"/>
        <v>1</v>
      </c>
      <c r="Q108" s="124" t="str">
        <f t="shared" si="8"/>
        <v>large</v>
      </c>
      <c r="R108" s="124">
        <v>1</v>
      </c>
      <c r="S108" s="128">
        <f>7980*10</f>
        <v>79800</v>
      </c>
      <c r="T108" s="129">
        <f t="shared" si="5"/>
        <v>71891.891891891879</v>
      </c>
      <c r="U108" s="219">
        <f t="shared" si="6"/>
        <v>67254.899999999994</v>
      </c>
      <c r="V108" s="219">
        <v>60590</v>
      </c>
    </row>
    <row r="109" spans="1:22" ht="22.5" customHeight="1">
      <c r="A109" s="109"/>
      <c r="B109" s="109"/>
      <c r="C109" s="124">
        <v>38</v>
      </c>
      <c r="D109" s="125" t="s">
        <v>1227</v>
      </c>
      <c r="E109" s="126" t="s">
        <v>1228</v>
      </c>
      <c r="F109" s="124" t="s">
        <v>1261</v>
      </c>
      <c r="G109" s="124" t="s">
        <v>1226</v>
      </c>
      <c r="H109" s="124" t="s">
        <v>1259</v>
      </c>
      <c r="I109" s="124" t="s">
        <v>1259</v>
      </c>
      <c r="J109" s="127">
        <v>1</v>
      </c>
      <c r="K109" s="124" t="str">
        <f t="shared" si="0"/>
        <v>DISTRIBUTOR</v>
      </c>
      <c r="L109" s="124" t="s">
        <v>37</v>
      </c>
      <c r="M109" s="127">
        <v>8</v>
      </c>
      <c r="N109" s="124" t="str">
        <f t="shared" si="1"/>
        <v>In Renceng</v>
      </c>
      <c r="O109" s="124" t="str">
        <f t="shared" si="2"/>
        <v>Renceng</v>
      </c>
      <c r="P109" s="127">
        <f t="shared" si="7"/>
        <v>3</v>
      </c>
      <c r="Q109" s="124">
        <f t="shared" si="8"/>
        <v>0</v>
      </c>
      <c r="R109" s="124">
        <v>10</v>
      </c>
      <c r="S109" s="128">
        <f>S108/10</f>
        <v>7980</v>
      </c>
      <c r="T109" s="129">
        <f t="shared" si="5"/>
        <v>7189.1891891891883</v>
      </c>
      <c r="U109" s="219">
        <f t="shared" si="6"/>
        <v>6725.49</v>
      </c>
      <c r="V109" s="219">
        <v>6059</v>
      </c>
    </row>
    <row r="110" spans="1:22" ht="22.5" customHeight="1">
      <c r="A110" s="109"/>
      <c r="B110" s="109"/>
      <c r="C110" s="124">
        <v>38</v>
      </c>
      <c r="D110" s="125" t="s">
        <v>1227</v>
      </c>
      <c r="E110" s="126" t="s">
        <v>1228</v>
      </c>
      <c r="F110" s="124" t="s">
        <v>1261</v>
      </c>
      <c r="G110" s="124" t="s">
        <v>1226</v>
      </c>
      <c r="H110" s="124" t="s">
        <v>1259</v>
      </c>
      <c r="I110" s="124" t="s">
        <v>1259</v>
      </c>
      <c r="J110" s="127">
        <v>1</v>
      </c>
      <c r="K110" s="124" t="str">
        <f t="shared" si="0"/>
        <v>DISTRIBUTOR</v>
      </c>
      <c r="L110" s="124" t="s">
        <v>37</v>
      </c>
      <c r="M110" s="127">
        <v>9</v>
      </c>
      <c r="N110" s="124" t="str">
        <f t="shared" si="1"/>
        <v>In Pcs</v>
      </c>
      <c r="O110" s="124" t="str">
        <f t="shared" si="2"/>
        <v>Pcs</v>
      </c>
      <c r="P110" s="127">
        <f t="shared" si="7"/>
        <v>4</v>
      </c>
      <c r="Q110" s="124" t="str">
        <f t="shared" si="8"/>
        <v>small</v>
      </c>
      <c r="R110" s="124">
        <v>100</v>
      </c>
      <c r="S110" s="128">
        <f>S109/10</f>
        <v>798</v>
      </c>
      <c r="T110" s="129">
        <f t="shared" si="5"/>
        <v>718.91891891891885</v>
      </c>
      <c r="U110" s="219">
        <f t="shared" si="6"/>
        <v>671.55</v>
      </c>
      <c r="V110" s="219">
        <v>605</v>
      </c>
    </row>
    <row r="111" spans="1:22" ht="22.5" customHeight="1">
      <c r="A111" s="109"/>
      <c r="B111" s="109"/>
      <c r="C111" s="124">
        <v>39</v>
      </c>
      <c r="D111" s="125" t="s">
        <v>1229</v>
      </c>
      <c r="E111" s="126" t="s">
        <v>1230</v>
      </c>
      <c r="F111" s="124" t="s">
        <v>1261</v>
      </c>
      <c r="G111" s="124" t="s">
        <v>1226</v>
      </c>
      <c r="H111" s="124" t="s">
        <v>1259</v>
      </c>
      <c r="I111" s="124" t="s">
        <v>1259</v>
      </c>
      <c r="J111" s="127">
        <v>1</v>
      </c>
      <c r="K111" s="124" t="str">
        <f t="shared" si="0"/>
        <v>DISTRIBUTOR</v>
      </c>
      <c r="L111" s="124" t="s">
        <v>37</v>
      </c>
      <c r="M111" s="127">
        <v>1</v>
      </c>
      <c r="N111" s="124" t="str">
        <f t="shared" si="1"/>
        <v>In Carton</v>
      </c>
      <c r="O111" s="124" t="str">
        <f t="shared" si="2"/>
        <v>Carton</v>
      </c>
      <c r="P111" s="127">
        <f t="shared" si="7"/>
        <v>1</v>
      </c>
      <c r="Q111" s="124" t="str">
        <f t="shared" si="8"/>
        <v>large</v>
      </c>
      <c r="R111" s="124">
        <v>1</v>
      </c>
      <c r="S111" s="128">
        <f>7980*10</f>
        <v>79800</v>
      </c>
      <c r="T111" s="129">
        <f t="shared" si="5"/>
        <v>71891.891891891879</v>
      </c>
      <c r="U111" s="219">
        <f t="shared" si="6"/>
        <v>67254.899999999994</v>
      </c>
      <c r="V111" s="219">
        <v>60590</v>
      </c>
    </row>
    <row r="112" spans="1:22" ht="22.5" customHeight="1">
      <c r="A112" s="109"/>
      <c r="B112" s="109"/>
      <c r="C112" s="124">
        <v>39</v>
      </c>
      <c r="D112" s="125" t="s">
        <v>1229</v>
      </c>
      <c r="E112" s="126" t="s">
        <v>1230</v>
      </c>
      <c r="F112" s="124" t="s">
        <v>1261</v>
      </c>
      <c r="G112" s="124" t="s">
        <v>1226</v>
      </c>
      <c r="H112" s="124" t="s">
        <v>1259</v>
      </c>
      <c r="I112" s="124" t="s">
        <v>1259</v>
      </c>
      <c r="J112" s="127">
        <v>1</v>
      </c>
      <c r="K112" s="124" t="str">
        <f t="shared" si="0"/>
        <v>DISTRIBUTOR</v>
      </c>
      <c r="L112" s="124" t="s">
        <v>37</v>
      </c>
      <c r="M112" s="127">
        <v>8</v>
      </c>
      <c r="N112" s="124" t="str">
        <f t="shared" si="1"/>
        <v>In Renceng</v>
      </c>
      <c r="O112" s="124" t="str">
        <f t="shared" si="2"/>
        <v>Renceng</v>
      </c>
      <c r="P112" s="127">
        <f t="shared" si="7"/>
        <v>3</v>
      </c>
      <c r="Q112" s="124">
        <f t="shared" si="8"/>
        <v>0</v>
      </c>
      <c r="R112" s="124">
        <v>10</v>
      </c>
      <c r="S112" s="128">
        <f>S111/10</f>
        <v>7980</v>
      </c>
      <c r="T112" s="129">
        <f t="shared" si="5"/>
        <v>7189.1891891891883</v>
      </c>
      <c r="U112" s="219">
        <f t="shared" si="6"/>
        <v>6725.49</v>
      </c>
      <c r="V112" s="219">
        <v>6059</v>
      </c>
    </row>
    <row r="113" spans="1:22" ht="22.5" customHeight="1">
      <c r="A113" s="109"/>
      <c r="B113" s="109"/>
      <c r="C113" s="124">
        <v>39</v>
      </c>
      <c r="D113" s="125" t="s">
        <v>1229</v>
      </c>
      <c r="E113" s="126" t="s">
        <v>1230</v>
      </c>
      <c r="F113" s="124" t="s">
        <v>1261</v>
      </c>
      <c r="G113" s="124" t="s">
        <v>1226</v>
      </c>
      <c r="H113" s="124" t="s">
        <v>1259</v>
      </c>
      <c r="I113" s="124" t="s">
        <v>1259</v>
      </c>
      <c r="J113" s="127">
        <v>1</v>
      </c>
      <c r="K113" s="124" t="str">
        <f t="shared" si="0"/>
        <v>DISTRIBUTOR</v>
      </c>
      <c r="L113" s="124" t="s">
        <v>37</v>
      </c>
      <c r="M113" s="127">
        <v>9</v>
      </c>
      <c r="N113" s="124" t="str">
        <f t="shared" si="1"/>
        <v>In Pcs</v>
      </c>
      <c r="O113" s="124" t="str">
        <f t="shared" si="2"/>
        <v>Pcs</v>
      </c>
      <c r="P113" s="127">
        <f t="shared" si="7"/>
        <v>4</v>
      </c>
      <c r="Q113" s="124" t="str">
        <f t="shared" si="8"/>
        <v>small</v>
      </c>
      <c r="R113" s="124">
        <v>100</v>
      </c>
      <c r="S113" s="128">
        <f>S112/10</f>
        <v>798</v>
      </c>
      <c r="T113" s="129">
        <f t="shared" si="5"/>
        <v>718.91891891891885</v>
      </c>
      <c r="U113" s="219">
        <f t="shared" si="6"/>
        <v>671.55</v>
      </c>
      <c r="V113" s="219">
        <v>605</v>
      </c>
    </row>
    <row r="114" spans="1:22" ht="22.5" customHeight="1">
      <c r="A114" s="109"/>
      <c r="B114" s="109"/>
      <c r="C114" s="124">
        <v>40</v>
      </c>
      <c r="D114" s="125" t="s">
        <v>1231</v>
      </c>
      <c r="E114" s="126" t="s">
        <v>1232</v>
      </c>
      <c r="F114" s="124" t="s">
        <v>1261</v>
      </c>
      <c r="G114" s="124" t="s">
        <v>1226</v>
      </c>
      <c r="H114" s="124" t="s">
        <v>1259</v>
      </c>
      <c r="I114" s="124" t="s">
        <v>1259</v>
      </c>
      <c r="J114" s="127">
        <v>1</v>
      </c>
      <c r="K114" s="124" t="str">
        <f t="shared" si="0"/>
        <v>DISTRIBUTOR</v>
      </c>
      <c r="L114" s="124" t="s">
        <v>37</v>
      </c>
      <c r="M114" s="127">
        <v>1</v>
      </c>
      <c r="N114" s="124" t="str">
        <f t="shared" si="1"/>
        <v>In Carton</v>
      </c>
      <c r="O114" s="124" t="str">
        <f t="shared" si="2"/>
        <v>Carton</v>
      </c>
      <c r="P114" s="127">
        <f t="shared" si="7"/>
        <v>1</v>
      </c>
      <c r="Q114" s="124" t="str">
        <f t="shared" si="8"/>
        <v>large</v>
      </c>
      <c r="R114" s="124">
        <v>1</v>
      </c>
      <c r="S114" s="128">
        <f>7980*10</f>
        <v>79800</v>
      </c>
      <c r="T114" s="129">
        <f t="shared" si="5"/>
        <v>71891.891891891879</v>
      </c>
      <c r="U114" s="219">
        <f t="shared" si="6"/>
        <v>67254.899999999994</v>
      </c>
      <c r="V114" s="219">
        <v>60590</v>
      </c>
    </row>
    <row r="115" spans="1:22" ht="22.5" customHeight="1">
      <c r="A115" s="109"/>
      <c r="B115" s="109"/>
      <c r="C115" s="124">
        <v>40</v>
      </c>
      <c r="D115" s="125" t="s">
        <v>1231</v>
      </c>
      <c r="E115" s="126" t="s">
        <v>1232</v>
      </c>
      <c r="F115" s="124" t="s">
        <v>1261</v>
      </c>
      <c r="G115" s="124" t="s">
        <v>1226</v>
      </c>
      <c r="H115" s="124" t="s">
        <v>1259</v>
      </c>
      <c r="I115" s="124" t="s">
        <v>1259</v>
      </c>
      <c r="J115" s="127">
        <v>1</v>
      </c>
      <c r="K115" s="124" t="str">
        <f t="shared" si="0"/>
        <v>DISTRIBUTOR</v>
      </c>
      <c r="L115" s="124" t="s">
        <v>37</v>
      </c>
      <c r="M115" s="127">
        <v>8</v>
      </c>
      <c r="N115" s="124" t="str">
        <f t="shared" si="1"/>
        <v>In Renceng</v>
      </c>
      <c r="O115" s="124" t="str">
        <f t="shared" si="2"/>
        <v>Renceng</v>
      </c>
      <c r="P115" s="127">
        <f t="shared" si="7"/>
        <v>3</v>
      </c>
      <c r="Q115" s="124">
        <f t="shared" si="8"/>
        <v>0</v>
      </c>
      <c r="R115" s="124">
        <v>10</v>
      </c>
      <c r="S115" s="128">
        <f>S114/10</f>
        <v>7980</v>
      </c>
      <c r="T115" s="129">
        <f t="shared" si="5"/>
        <v>7189.1891891891883</v>
      </c>
      <c r="U115" s="219">
        <f t="shared" si="6"/>
        <v>6725.49</v>
      </c>
      <c r="V115" s="219">
        <v>6059</v>
      </c>
    </row>
    <row r="116" spans="1:22" ht="22.5" customHeight="1">
      <c r="A116" s="109"/>
      <c r="B116" s="109"/>
      <c r="C116" s="124">
        <v>40</v>
      </c>
      <c r="D116" s="125" t="s">
        <v>1231</v>
      </c>
      <c r="E116" s="126" t="s">
        <v>1232</v>
      </c>
      <c r="F116" s="124" t="s">
        <v>1261</v>
      </c>
      <c r="G116" s="124" t="s">
        <v>1226</v>
      </c>
      <c r="H116" s="124" t="s">
        <v>1259</v>
      </c>
      <c r="I116" s="124" t="s">
        <v>1259</v>
      </c>
      <c r="J116" s="127">
        <v>1</v>
      </c>
      <c r="K116" s="124" t="str">
        <f t="shared" si="0"/>
        <v>DISTRIBUTOR</v>
      </c>
      <c r="L116" s="124" t="s">
        <v>37</v>
      </c>
      <c r="M116" s="127">
        <v>9</v>
      </c>
      <c r="N116" s="124" t="str">
        <f t="shared" si="1"/>
        <v>In Pcs</v>
      </c>
      <c r="O116" s="124" t="str">
        <f t="shared" si="2"/>
        <v>Pcs</v>
      </c>
      <c r="P116" s="127">
        <f t="shared" si="7"/>
        <v>4</v>
      </c>
      <c r="Q116" s="124" t="str">
        <f t="shared" si="8"/>
        <v>small</v>
      </c>
      <c r="R116" s="124">
        <v>100</v>
      </c>
      <c r="S116" s="128">
        <f>S115/10</f>
        <v>798</v>
      </c>
      <c r="T116" s="129">
        <f t="shared" si="5"/>
        <v>718.91891891891885</v>
      </c>
      <c r="U116" s="219">
        <f t="shared" si="6"/>
        <v>671.55</v>
      </c>
      <c r="V116" s="219">
        <v>605</v>
      </c>
    </row>
    <row r="117" spans="1:22" ht="22.5" customHeight="1">
      <c r="A117" s="109"/>
      <c r="B117" s="109"/>
      <c r="C117" s="124">
        <v>41</v>
      </c>
      <c r="D117" s="125" t="s">
        <v>1233</v>
      </c>
      <c r="E117" s="126" t="s">
        <v>1234</v>
      </c>
      <c r="F117" s="124" t="s">
        <v>1261</v>
      </c>
      <c r="G117" s="124" t="s">
        <v>1226</v>
      </c>
      <c r="H117" s="124" t="s">
        <v>1259</v>
      </c>
      <c r="I117" s="124" t="s">
        <v>1259</v>
      </c>
      <c r="J117" s="127">
        <v>1</v>
      </c>
      <c r="K117" s="124" t="str">
        <f t="shared" si="0"/>
        <v>DISTRIBUTOR</v>
      </c>
      <c r="L117" s="124" t="s">
        <v>37</v>
      </c>
      <c r="M117" s="127">
        <v>1</v>
      </c>
      <c r="N117" s="124" t="str">
        <f t="shared" si="1"/>
        <v>In Carton</v>
      </c>
      <c r="O117" s="124" t="str">
        <f t="shared" si="2"/>
        <v>Carton</v>
      </c>
      <c r="P117" s="127">
        <f t="shared" si="7"/>
        <v>1</v>
      </c>
      <c r="Q117" s="124" t="str">
        <f t="shared" si="8"/>
        <v>large</v>
      </c>
      <c r="R117" s="124">
        <v>1</v>
      </c>
      <c r="S117" s="128">
        <f>7980*10</f>
        <v>79800</v>
      </c>
      <c r="T117" s="129">
        <f t="shared" si="5"/>
        <v>71891.891891891879</v>
      </c>
      <c r="U117" s="219">
        <f t="shared" si="6"/>
        <v>67254.899999999994</v>
      </c>
      <c r="V117" s="219">
        <v>60590</v>
      </c>
    </row>
    <row r="118" spans="1:22" ht="22.5" customHeight="1">
      <c r="A118" s="109"/>
      <c r="B118" s="109"/>
      <c r="C118" s="124">
        <v>41</v>
      </c>
      <c r="D118" s="125" t="s">
        <v>1233</v>
      </c>
      <c r="E118" s="126" t="s">
        <v>1234</v>
      </c>
      <c r="F118" s="124" t="s">
        <v>1261</v>
      </c>
      <c r="G118" s="124" t="s">
        <v>1226</v>
      </c>
      <c r="H118" s="124" t="s">
        <v>1259</v>
      </c>
      <c r="I118" s="124" t="s">
        <v>1259</v>
      </c>
      <c r="J118" s="127">
        <v>1</v>
      </c>
      <c r="K118" s="124" t="str">
        <f t="shared" si="0"/>
        <v>DISTRIBUTOR</v>
      </c>
      <c r="L118" s="124" t="s">
        <v>37</v>
      </c>
      <c r="M118" s="127">
        <v>8</v>
      </c>
      <c r="N118" s="124" t="str">
        <f t="shared" si="1"/>
        <v>In Renceng</v>
      </c>
      <c r="O118" s="124" t="str">
        <f t="shared" si="2"/>
        <v>Renceng</v>
      </c>
      <c r="P118" s="127">
        <f t="shared" si="7"/>
        <v>3</v>
      </c>
      <c r="Q118" s="124">
        <f t="shared" si="8"/>
        <v>0</v>
      </c>
      <c r="R118" s="124">
        <v>10</v>
      </c>
      <c r="S118" s="128">
        <f>S117/10</f>
        <v>7980</v>
      </c>
      <c r="T118" s="129">
        <f t="shared" si="5"/>
        <v>7189.1891891891883</v>
      </c>
      <c r="U118" s="219">
        <f t="shared" si="6"/>
        <v>6725.49</v>
      </c>
      <c r="V118" s="219">
        <v>6059</v>
      </c>
    </row>
    <row r="119" spans="1:22" ht="22.5" customHeight="1">
      <c r="A119" s="109"/>
      <c r="B119" s="109"/>
      <c r="C119" s="124">
        <v>41</v>
      </c>
      <c r="D119" s="125" t="s">
        <v>1233</v>
      </c>
      <c r="E119" s="126" t="s">
        <v>1234</v>
      </c>
      <c r="F119" s="124" t="s">
        <v>1261</v>
      </c>
      <c r="G119" s="124" t="s">
        <v>1226</v>
      </c>
      <c r="H119" s="124" t="s">
        <v>1259</v>
      </c>
      <c r="I119" s="124" t="s">
        <v>1259</v>
      </c>
      <c r="J119" s="127">
        <v>1</v>
      </c>
      <c r="K119" s="124" t="str">
        <f t="shared" si="0"/>
        <v>DISTRIBUTOR</v>
      </c>
      <c r="L119" s="124" t="s">
        <v>37</v>
      </c>
      <c r="M119" s="127">
        <v>9</v>
      </c>
      <c r="N119" s="124" t="str">
        <f t="shared" si="1"/>
        <v>In Pcs</v>
      </c>
      <c r="O119" s="124" t="str">
        <f t="shared" si="2"/>
        <v>Pcs</v>
      </c>
      <c r="P119" s="127">
        <f t="shared" si="7"/>
        <v>4</v>
      </c>
      <c r="Q119" s="124" t="str">
        <f t="shared" si="8"/>
        <v>small</v>
      </c>
      <c r="R119" s="124">
        <v>100</v>
      </c>
      <c r="S119" s="128">
        <f>S118/10</f>
        <v>798</v>
      </c>
      <c r="T119" s="129">
        <f t="shared" si="5"/>
        <v>718.91891891891885</v>
      </c>
      <c r="U119" s="219">
        <f t="shared" si="6"/>
        <v>671.55</v>
      </c>
      <c r="V119" s="219">
        <v>605</v>
      </c>
    </row>
    <row r="120" spans="1:22" ht="22.5" customHeight="1">
      <c r="A120" s="109"/>
      <c r="B120" s="109"/>
      <c r="C120" s="124">
        <v>42</v>
      </c>
      <c r="D120" s="125" t="s">
        <v>1235</v>
      </c>
      <c r="E120" s="126" t="s">
        <v>1236</v>
      </c>
      <c r="F120" s="124" t="s">
        <v>1262</v>
      </c>
      <c r="G120" s="126" t="s">
        <v>42</v>
      </c>
      <c r="H120" s="124" t="s">
        <v>1259</v>
      </c>
      <c r="I120" s="124" t="s">
        <v>1259</v>
      </c>
      <c r="J120" s="127">
        <v>1</v>
      </c>
      <c r="K120" s="124" t="str">
        <f t="shared" si="0"/>
        <v>DISTRIBUTOR</v>
      </c>
      <c r="L120" s="124" t="s">
        <v>37</v>
      </c>
      <c r="M120" s="127">
        <v>1</v>
      </c>
      <c r="N120" s="124" t="str">
        <f t="shared" si="1"/>
        <v>In Carton</v>
      </c>
      <c r="O120" s="124" t="str">
        <f t="shared" si="2"/>
        <v>Carton</v>
      </c>
      <c r="P120" s="127">
        <f t="shared" si="7"/>
        <v>1</v>
      </c>
      <c r="Q120" s="124" t="str">
        <f t="shared" si="8"/>
        <v>large</v>
      </c>
      <c r="R120" s="124">
        <v>1</v>
      </c>
      <c r="S120" s="128">
        <f>17000*5</f>
        <v>85000</v>
      </c>
      <c r="T120" s="129">
        <f t="shared" si="5"/>
        <v>76576.576576576568</v>
      </c>
      <c r="U120" s="219">
        <f t="shared" si="6"/>
        <v>66412.41</v>
      </c>
      <c r="V120" s="219">
        <v>59831</v>
      </c>
    </row>
    <row r="121" spans="1:22" ht="22.5" customHeight="1">
      <c r="A121" s="109"/>
      <c r="B121" s="109"/>
      <c r="C121" s="124">
        <v>42</v>
      </c>
      <c r="D121" s="125" t="s">
        <v>1235</v>
      </c>
      <c r="E121" s="126" t="s">
        <v>1236</v>
      </c>
      <c r="F121" s="124" t="s">
        <v>1262</v>
      </c>
      <c r="G121" s="126" t="s">
        <v>42</v>
      </c>
      <c r="H121" s="124" t="s">
        <v>1259</v>
      </c>
      <c r="I121" s="124" t="s">
        <v>1259</v>
      </c>
      <c r="J121" s="127">
        <v>1</v>
      </c>
      <c r="K121" s="124" t="str">
        <f t="shared" si="0"/>
        <v>DISTRIBUTOR</v>
      </c>
      <c r="L121" s="124" t="s">
        <v>37</v>
      </c>
      <c r="M121" s="127">
        <v>3</v>
      </c>
      <c r="N121" s="124" t="str">
        <f t="shared" si="1"/>
        <v>In Pack</v>
      </c>
      <c r="O121" s="124" t="str">
        <f t="shared" si="2"/>
        <v>Pack</v>
      </c>
      <c r="P121" s="127">
        <f t="shared" si="7"/>
        <v>2</v>
      </c>
      <c r="Q121" s="124">
        <f t="shared" si="8"/>
        <v>0</v>
      </c>
      <c r="R121" s="124">
        <v>5</v>
      </c>
      <c r="S121" s="128">
        <f>S120/R121</f>
        <v>17000</v>
      </c>
      <c r="T121" s="129">
        <f t="shared" si="5"/>
        <v>15315.315315315314</v>
      </c>
      <c r="U121" s="219">
        <f t="shared" si="6"/>
        <v>13282.26</v>
      </c>
      <c r="V121" s="219">
        <v>11966</v>
      </c>
    </row>
    <row r="122" spans="1:22" ht="22.5" customHeight="1">
      <c r="A122" s="109"/>
      <c r="B122" s="109"/>
      <c r="C122" s="124">
        <v>42</v>
      </c>
      <c r="D122" s="125" t="s">
        <v>1235</v>
      </c>
      <c r="E122" s="126" t="s">
        <v>1236</v>
      </c>
      <c r="F122" s="124" t="s">
        <v>1262</v>
      </c>
      <c r="G122" s="126" t="s">
        <v>42</v>
      </c>
      <c r="H122" s="124" t="s">
        <v>1259</v>
      </c>
      <c r="I122" s="124" t="s">
        <v>1259</v>
      </c>
      <c r="J122" s="127">
        <v>1</v>
      </c>
      <c r="K122" s="124" t="str">
        <f t="shared" si="0"/>
        <v>DISTRIBUTOR</v>
      </c>
      <c r="L122" s="124" t="s">
        <v>37</v>
      </c>
      <c r="M122" s="127">
        <v>9</v>
      </c>
      <c r="N122" s="124" t="str">
        <f t="shared" si="1"/>
        <v>In Pcs</v>
      </c>
      <c r="O122" s="124" t="str">
        <f t="shared" si="2"/>
        <v>Pcs</v>
      </c>
      <c r="P122" s="127">
        <f t="shared" si="7"/>
        <v>4</v>
      </c>
      <c r="Q122" s="124" t="str">
        <f t="shared" si="8"/>
        <v>small</v>
      </c>
      <c r="R122" s="124">
        <v>50</v>
      </c>
      <c r="S122" s="128">
        <v>1700</v>
      </c>
      <c r="T122" s="129">
        <v>1531</v>
      </c>
      <c r="U122" s="219">
        <f t="shared" si="6"/>
        <v>1327.56</v>
      </c>
      <c r="V122" s="219">
        <v>1196</v>
      </c>
    </row>
    <row r="123" spans="1:22" ht="22.5" customHeight="1">
      <c r="A123" s="109"/>
      <c r="B123" s="109"/>
      <c r="C123" s="124">
        <v>43</v>
      </c>
      <c r="D123" s="125" t="s">
        <v>1237</v>
      </c>
      <c r="E123" s="126" t="s">
        <v>1238</v>
      </c>
      <c r="F123" s="124" t="s">
        <v>1262</v>
      </c>
      <c r="G123" s="126" t="s">
        <v>42</v>
      </c>
      <c r="H123" s="124" t="s">
        <v>1259</v>
      </c>
      <c r="I123" s="124" t="s">
        <v>1259</v>
      </c>
      <c r="J123" s="127">
        <v>1</v>
      </c>
      <c r="K123" s="124" t="str">
        <f t="shared" si="0"/>
        <v>DISTRIBUTOR</v>
      </c>
      <c r="L123" s="124" t="s">
        <v>37</v>
      </c>
      <c r="M123" s="127">
        <v>1</v>
      </c>
      <c r="N123" s="124" t="str">
        <f t="shared" si="1"/>
        <v>In Carton</v>
      </c>
      <c r="O123" s="124" t="str">
        <f t="shared" si="2"/>
        <v>Carton</v>
      </c>
      <c r="P123" s="127">
        <f t="shared" si="7"/>
        <v>1</v>
      </c>
      <c r="Q123" s="124" t="str">
        <f t="shared" si="8"/>
        <v>large</v>
      </c>
      <c r="R123" s="124">
        <v>1</v>
      </c>
      <c r="S123" s="128">
        <f>17000*5</f>
        <v>85000</v>
      </c>
      <c r="T123" s="129">
        <f t="shared" si="5"/>
        <v>76576.576576576568</v>
      </c>
      <c r="U123" s="219">
        <f t="shared" si="6"/>
        <v>66412.41</v>
      </c>
      <c r="V123" s="219">
        <v>59831</v>
      </c>
    </row>
    <row r="124" spans="1:22" ht="22.5" customHeight="1">
      <c r="A124" s="109"/>
      <c r="B124" s="109"/>
      <c r="C124" s="124">
        <v>43</v>
      </c>
      <c r="D124" s="125" t="s">
        <v>1237</v>
      </c>
      <c r="E124" s="126" t="s">
        <v>1238</v>
      </c>
      <c r="F124" s="124" t="s">
        <v>1262</v>
      </c>
      <c r="G124" s="126" t="s">
        <v>42</v>
      </c>
      <c r="H124" s="124" t="s">
        <v>1259</v>
      </c>
      <c r="I124" s="124" t="s">
        <v>1259</v>
      </c>
      <c r="J124" s="127">
        <v>1</v>
      </c>
      <c r="K124" s="124" t="str">
        <f t="shared" si="0"/>
        <v>DISTRIBUTOR</v>
      </c>
      <c r="L124" s="124" t="s">
        <v>37</v>
      </c>
      <c r="M124" s="127">
        <v>3</v>
      </c>
      <c r="N124" s="124" t="str">
        <f t="shared" si="1"/>
        <v>In Pack</v>
      </c>
      <c r="O124" s="124" t="str">
        <f t="shared" si="2"/>
        <v>Pack</v>
      </c>
      <c r="P124" s="127">
        <f t="shared" si="7"/>
        <v>2</v>
      </c>
      <c r="Q124" s="124">
        <f t="shared" si="8"/>
        <v>0</v>
      </c>
      <c r="R124" s="124">
        <v>5</v>
      </c>
      <c r="S124" s="128">
        <f>S123/R124</f>
        <v>17000</v>
      </c>
      <c r="T124" s="129">
        <f t="shared" si="5"/>
        <v>15315.315315315314</v>
      </c>
      <c r="U124" s="219">
        <f t="shared" si="6"/>
        <v>13282.26</v>
      </c>
      <c r="V124" s="219">
        <v>11966</v>
      </c>
    </row>
    <row r="125" spans="1:22" ht="22.5" customHeight="1">
      <c r="A125" s="109"/>
      <c r="B125" s="109"/>
      <c r="C125" s="124">
        <v>43</v>
      </c>
      <c r="D125" s="125" t="s">
        <v>1237</v>
      </c>
      <c r="E125" s="126" t="s">
        <v>1238</v>
      </c>
      <c r="F125" s="124" t="s">
        <v>1262</v>
      </c>
      <c r="G125" s="126" t="s">
        <v>42</v>
      </c>
      <c r="H125" s="124" t="s">
        <v>1259</v>
      </c>
      <c r="I125" s="124" t="s">
        <v>1259</v>
      </c>
      <c r="J125" s="127">
        <v>1</v>
      </c>
      <c r="K125" s="124" t="str">
        <f t="shared" si="0"/>
        <v>DISTRIBUTOR</v>
      </c>
      <c r="L125" s="124" t="s">
        <v>37</v>
      </c>
      <c r="M125" s="127">
        <v>9</v>
      </c>
      <c r="N125" s="124" t="str">
        <f t="shared" si="1"/>
        <v>In Pcs</v>
      </c>
      <c r="O125" s="124" t="str">
        <f t="shared" si="2"/>
        <v>Pcs</v>
      </c>
      <c r="P125" s="127">
        <f t="shared" si="7"/>
        <v>4</v>
      </c>
      <c r="Q125" s="124" t="str">
        <f t="shared" si="8"/>
        <v>small</v>
      </c>
      <c r="R125" s="124">
        <v>50</v>
      </c>
      <c r="S125" s="128">
        <v>1700</v>
      </c>
      <c r="T125" s="129">
        <v>1531</v>
      </c>
      <c r="U125" s="219">
        <f t="shared" si="6"/>
        <v>1327.56</v>
      </c>
      <c r="V125" s="219">
        <v>1196</v>
      </c>
    </row>
    <row r="126" spans="1:22" ht="22.5" customHeight="1">
      <c r="A126" s="109"/>
      <c r="B126" s="109"/>
      <c r="C126" s="124">
        <v>44</v>
      </c>
      <c r="D126" s="125" t="s">
        <v>1239</v>
      </c>
      <c r="E126" s="126" t="s">
        <v>1240</v>
      </c>
      <c r="F126" s="124" t="s">
        <v>1262</v>
      </c>
      <c r="G126" s="126" t="s">
        <v>42</v>
      </c>
      <c r="H126" s="124" t="s">
        <v>1259</v>
      </c>
      <c r="I126" s="124" t="s">
        <v>1259</v>
      </c>
      <c r="J126" s="127">
        <v>1</v>
      </c>
      <c r="K126" s="124" t="str">
        <f t="shared" si="0"/>
        <v>DISTRIBUTOR</v>
      </c>
      <c r="L126" s="124" t="s">
        <v>37</v>
      </c>
      <c r="M126" s="127">
        <v>1</v>
      </c>
      <c r="N126" s="124" t="str">
        <f t="shared" si="1"/>
        <v>In Carton</v>
      </c>
      <c r="O126" s="124" t="str">
        <f t="shared" si="2"/>
        <v>Carton</v>
      </c>
      <c r="P126" s="127">
        <f t="shared" si="7"/>
        <v>1</v>
      </c>
      <c r="Q126" s="124" t="str">
        <f t="shared" si="8"/>
        <v>large</v>
      </c>
      <c r="R126" s="124">
        <v>1</v>
      </c>
      <c r="S126" s="128">
        <f>17000*5</f>
        <v>85000</v>
      </c>
      <c r="T126" s="129">
        <f t="shared" si="5"/>
        <v>76576.576576576568</v>
      </c>
      <c r="U126" s="219">
        <f t="shared" si="6"/>
        <v>66412.41</v>
      </c>
      <c r="V126" s="219">
        <v>59831</v>
      </c>
    </row>
    <row r="127" spans="1:22" ht="22.5" customHeight="1">
      <c r="A127" s="109"/>
      <c r="B127" s="109"/>
      <c r="C127" s="124">
        <v>44</v>
      </c>
      <c r="D127" s="125" t="s">
        <v>1239</v>
      </c>
      <c r="E127" s="126" t="s">
        <v>1240</v>
      </c>
      <c r="F127" s="124" t="s">
        <v>1262</v>
      </c>
      <c r="G127" s="126" t="s">
        <v>42</v>
      </c>
      <c r="H127" s="124" t="s">
        <v>1259</v>
      </c>
      <c r="I127" s="124" t="s">
        <v>1259</v>
      </c>
      <c r="J127" s="127">
        <v>1</v>
      </c>
      <c r="K127" s="124" t="str">
        <f t="shared" si="0"/>
        <v>DISTRIBUTOR</v>
      </c>
      <c r="L127" s="124" t="s">
        <v>37</v>
      </c>
      <c r="M127" s="127">
        <v>3</v>
      </c>
      <c r="N127" s="124" t="str">
        <f t="shared" si="1"/>
        <v>In Pack</v>
      </c>
      <c r="O127" s="124" t="str">
        <f t="shared" si="2"/>
        <v>Pack</v>
      </c>
      <c r="P127" s="127">
        <f t="shared" si="7"/>
        <v>2</v>
      </c>
      <c r="Q127" s="124">
        <f t="shared" si="8"/>
        <v>0</v>
      </c>
      <c r="R127" s="124">
        <v>5</v>
      </c>
      <c r="S127" s="128">
        <f>S126/R127</f>
        <v>17000</v>
      </c>
      <c r="T127" s="129">
        <f t="shared" si="5"/>
        <v>15315.315315315314</v>
      </c>
      <c r="U127" s="219">
        <f t="shared" si="6"/>
        <v>13282.26</v>
      </c>
      <c r="V127" s="219">
        <v>11966</v>
      </c>
    </row>
    <row r="128" spans="1:22" ht="22.5" customHeight="1">
      <c r="A128" s="109"/>
      <c r="B128" s="109"/>
      <c r="C128" s="124">
        <v>44</v>
      </c>
      <c r="D128" s="125" t="s">
        <v>1239</v>
      </c>
      <c r="E128" s="126" t="s">
        <v>1240</v>
      </c>
      <c r="F128" s="124" t="s">
        <v>1262</v>
      </c>
      <c r="G128" s="126" t="s">
        <v>42</v>
      </c>
      <c r="H128" s="124" t="s">
        <v>1259</v>
      </c>
      <c r="I128" s="124" t="s">
        <v>1259</v>
      </c>
      <c r="J128" s="127">
        <v>1</v>
      </c>
      <c r="K128" s="124" t="str">
        <f t="shared" si="0"/>
        <v>DISTRIBUTOR</v>
      </c>
      <c r="L128" s="124" t="s">
        <v>37</v>
      </c>
      <c r="M128" s="127">
        <v>9</v>
      </c>
      <c r="N128" s="124" t="str">
        <f t="shared" si="1"/>
        <v>In Pcs</v>
      </c>
      <c r="O128" s="124" t="str">
        <f t="shared" si="2"/>
        <v>Pcs</v>
      </c>
      <c r="P128" s="127">
        <f t="shared" si="7"/>
        <v>4</v>
      </c>
      <c r="Q128" s="124" t="str">
        <f t="shared" si="8"/>
        <v>small</v>
      </c>
      <c r="R128" s="124">
        <v>50</v>
      </c>
      <c r="S128" s="128">
        <v>1700</v>
      </c>
      <c r="T128" s="129">
        <v>1531</v>
      </c>
      <c r="U128" s="219">
        <f t="shared" si="6"/>
        <v>1327.56</v>
      </c>
      <c r="V128" s="219">
        <v>1196</v>
      </c>
    </row>
    <row r="129" spans="1:22" ht="22.5" customHeight="1">
      <c r="A129" s="109"/>
      <c r="B129" s="109"/>
      <c r="C129" s="124">
        <v>45</v>
      </c>
      <c r="D129" s="125" t="s">
        <v>1241</v>
      </c>
      <c r="E129" s="126" t="s">
        <v>1242</v>
      </c>
      <c r="F129" s="124" t="s">
        <v>1262</v>
      </c>
      <c r="G129" s="126" t="s">
        <v>42</v>
      </c>
      <c r="H129" s="124" t="s">
        <v>1259</v>
      </c>
      <c r="I129" s="124" t="s">
        <v>1259</v>
      </c>
      <c r="J129" s="127">
        <v>1</v>
      </c>
      <c r="K129" s="124" t="str">
        <f t="shared" si="0"/>
        <v>DISTRIBUTOR</v>
      </c>
      <c r="L129" s="124" t="s">
        <v>37</v>
      </c>
      <c r="M129" s="127">
        <v>1</v>
      </c>
      <c r="N129" s="124" t="str">
        <f t="shared" si="1"/>
        <v>In Carton</v>
      </c>
      <c r="O129" s="124" t="str">
        <f t="shared" si="2"/>
        <v>Carton</v>
      </c>
      <c r="P129" s="127">
        <f t="shared" si="7"/>
        <v>1</v>
      </c>
      <c r="Q129" s="124" t="str">
        <f t="shared" si="8"/>
        <v>large</v>
      </c>
      <c r="R129" s="124">
        <v>1</v>
      </c>
      <c r="S129" s="128">
        <f>17000*5</f>
        <v>85000</v>
      </c>
      <c r="T129" s="129">
        <f t="shared" si="5"/>
        <v>76576.576576576568</v>
      </c>
      <c r="U129" s="219">
        <f t="shared" si="6"/>
        <v>66412.41</v>
      </c>
      <c r="V129" s="219">
        <v>59831</v>
      </c>
    </row>
    <row r="130" spans="1:22" ht="22.5" customHeight="1">
      <c r="A130" s="109"/>
      <c r="B130" s="109"/>
      <c r="C130" s="124">
        <v>45</v>
      </c>
      <c r="D130" s="125" t="s">
        <v>1241</v>
      </c>
      <c r="E130" s="126" t="s">
        <v>1242</v>
      </c>
      <c r="F130" s="124" t="s">
        <v>1262</v>
      </c>
      <c r="G130" s="126" t="s">
        <v>42</v>
      </c>
      <c r="H130" s="124" t="s">
        <v>1259</v>
      </c>
      <c r="I130" s="124" t="s">
        <v>1259</v>
      </c>
      <c r="J130" s="127">
        <v>1</v>
      </c>
      <c r="K130" s="124" t="str">
        <f t="shared" si="0"/>
        <v>DISTRIBUTOR</v>
      </c>
      <c r="L130" s="124" t="s">
        <v>37</v>
      </c>
      <c r="M130" s="127">
        <v>3</v>
      </c>
      <c r="N130" s="124" t="str">
        <f t="shared" si="1"/>
        <v>In Pack</v>
      </c>
      <c r="O130" s="124" t="str">
        <f t="shared" si="2"/>
        <v>Pack</v>
      </c>
      <c r="P130" s="127">
        <f t="shared" si="7"/>
        <v>2</v>
      </c>
      <c r="Q130" s="124">
        <f t="shared" si="8"/>
        <v>0</v>
      </c>
      <c r="R130" s="124">
        <v>5</v>
      </c>
      <c r="S130" s="128">
        <f>S129/R130</f>
        <v>17000</v>
      </c>
      <c r="T130" s="129">
        <f t="shared" si="5"/>
        <v>15315.315315315314</v>
      </c>
      <c r="U130" s="219">
        <f t="shared" si="6"/>
        <v>13282.26</v>
      </c>
      <c r="V130" s="219">
        <v>11966</v>
      </c>
    </row>
    <row r="131" spans="1:22" ht="22.5" customHeight="1">
      <c r="A131" s="109"/>
      <c r="B131" s="109"/>
      <c r="C131" s="124">
        <v>45</v>
      </c>
      <c r="D131" s="125" t="s">
        <v>1241</v>
      </c>
      <c r="E131" s="126" t="s">
        <v>1242</v>
      </c>
      <c r="F131" s="124" t="s">
        <v>1262</v>
      </c>
      <c r="G131" s="126" t="s">
        <v>42</v>
      </c>
      <c r="H131" s="124" t="s">
        <v>1259</v>
      </c>
      <c r="I131" s="124" t="s">
        <v>1259</v>
      </c>
      <c r="J131" s="127">
        <v>1</v>
      </c>
      <c r="K131" s="124" t="str">
        <f t="shared" si="0"/>
        <v>DISTRIBUTOR</v>
      </c>
      <c r="L131" s="124" t="s">
        <v>37</v>
      </c>
      <c r="M131" s="127">
        <v>9</v>
      </c>
      <c r="N131" s="124" t="str">
        <f t="shared" si="1"/>
        <v>In Pcs</v>
      </c>
      <c r="O131" s="124" t="str">
        <f t="shared" si="2"/>
        <v>Pcs</v>
      </c>
      <c r="P131" s="127">
        <f t="shared" si="7"/>
        <v>4</v>
      </c>
      <c r="Q131" s="124" t="str">
        <f t="shared" si="8"/>
        <v>small</v>
      </c>
      <c r="R131" s="124">
        <v>50</v>
      </c>
      <c r="S131" s="128">
        <v>1700</v>
      </c>
      <c r="T131" s="129">
        <v>1531</v>
      </c>
      <c r="U131" s="219">
        <f t="shared" si="6"/>
        <v>1327.56</v>
      </c>
      <c r="V131" s="219">
        <v>1196</v>
      </c>
    </row>
    <row r="132" spans="1:22" ht="22.5" customHeight="1">
      <c r="A132" s="109"/>
      <c r="B132" s="109"/>
      <c r="C132" s="124">
        <v>46</v>
      </c>
      <c r="D132" s="125" t="s">
        <v>1243</v>
      </c>
      <c r="E132" s="126" t="s">
        <v>1244</v>
      </c>
      <c r="F132" s="124" t="s">
        <v>1262</v>
      </c>
      <c r="G132" s="126" t="s">
        <v>42</v>
      </c>
      <c r="H132" s="124" t="s">
        <v>1259</v>
      </c>
      <c r="I132" s="124" t="s">
        <v>1259</v>
      </c>
      <c r="J132" s="127">
        <v>1</v>
      </c>
      <c r="K132" s="124" t="str">
        <f t="shared" si="0"/>
        <v>DISTRIBUTOR</v>
      </c>
      <c r="L132" s="124" t="s">
        <v>37</v>
      </c>
      <c r="M132" s="127">
        <v>1</v>
      </c>
      <c r="N132" s="124" t="str">
        <f t="shared" si="1"/>
        <v>In Carton</v>
      </c>
      <c r="O132" s="124" t="str">
        <f t="shared" si="2"/>
        <v>Carton</v>
      </c>
      <c r="P132" s="127">
        <f t="shared" si="7"/>
        <v>1</v>
      </c>
      <c r="Q132" s="124" t="str">
        <f t="shared" si="8"/>
        <v>large</v>
      </c>
      <c r="R132" s="124">
        <v>1</v>
      </c>
      <c r="S132" s="128">
        <f>17000*5</f>
        <v>85000</v>
      </c>
      <c r="T132" s="129">
        <f t="shared" si="5"/>
        <v>76576.576576576568</v>
      </c>
      <c r="U132" s="219">
        <f t="shared" si="6"/>
        <v>66412.41</v>
      </c>
      <c r="V132" s="219">
        <v>59831</v>
      </c>
    </row>
    <row r="133" spans="1:22" ht="22.5" customHeight="1">
      <c r="A133" s="109"/>
      <c r="B133" s="109"/>
      <c r="C133" s="124">
        <v>46</v>
      </c>
      <c r="D133" s="125" t="s">
        <v>1243</v>
      </c>
      <c r="E133" s="126" t="s">
        <v>1244</v>
      </c>
      <c r="F133" s="124" t="s">
        <v>1262</v>
      </c>
      <c r="G133" s="126" t="s">
        <v>42</v>
      </c>
      <c r="H133" s="124" t="s">
        <v>1259</v>
      </c>
      <c r="I133" s="124" t="s">
        <v>1259</v>
      </c>
      <c r="J133" s="127">
        <v>1</v>
      </c>
      <c r="K133" s="124" t="str">
        <f t="shared" si="0"/>
        <v>DISTRIBUTOR</v>
      </c>
      <c r="L133" s="124" t="s">
        <v>37</v>
      </c>
      <c r="M133" s="127">
        <v>3</v>
      </c>
      <c r="N133" s="124" t="str">
        <f t="shared" si="1"/>
        <v>In Pack</v>
      </c>
      <c r="O133" s="124" t="str">
        <f t="shared" si="2"/>
        <v>Pack</v>
      </c>
      <c r="P133" s="127">
        <f t="shared" si="7"/>
        <v>2</v>
      </c>
      <c r="Q133" s="124">
        <f t="shared" si="8"/>
        <v>0</v>
      </c>
      <c r="R133" s="124">
        <v>5</v>
      </c>
      <c r="S133" s="128">
        <f>S132/R133</f>
        <v>17000</v>
      </c>
      <c r="T133" s="129">
        <f t="shared" si="5"/>
        <v>15315.315315315314</v>
      </c>
      <c r="U133" s="219">
        <f t="shared" si="6"/>
        <v>13282.26</v>
      </c>
      <c r="V133" s="219">
        <v>11966</v>
      </c>
    </row>
    <row r="134" spans="1:22" ht="22.5" customHeight="1">
      <c r="A134" s="109"/>
      <c r="B134" s="109"/>
      <c r="C134" s="124">
        <v>46</v>
      </c>
      <c r="D134" s="125" t="s">
        <v>1243</v>
      </c>
      <c r="E134" s="126" t="s">
        <v>1244</v>
      </c>
      <c r="F134" s="124" t="s">
        <v>1262</v>
      </c>
      <c r="G134" s="126" t="s">
        <v>42</v>
      </c>
      <c r="H134" s="124" t="s">
        <v>1259</v>
      </c>
      <c r="I134" s="124" t="s">
        <v>1259</v>
      </c>
      <c r="J134" s="127">
        <v>1</v>
      </c>
      <c r="K134" s="124" t="str">
        <f t="shared" si="0"/>
        <v>DISTRIBUTOR</v>
      </c>
      <c r="L134" s="124" t="s">
        <v>37</v>
      </c>
      <c r="M134" s="127">
        <v>9</v>
      </c>
      <c r="N134" s="124" t="str">
        <f t="shared" si="1"/>
        <v>In Pcs</v>
      </c>
      <c r="O134" s="124" t="str">
        <f t="shared" si="2"/>
        <v>Pcs</v>
      </c>
      <c r="P134" s="127">
        <f t="shared" si="7"/>
        <v>4</v>
      </c>
      <c r="Q134" s="124" t="str">
        <f t="shared" si="8"/>
        <v>small</v>
      </c>
      <c r="R134" s="124">
        <v>50</v>
      </c>
      <c r="S134" s="128">
        <v>1700</v>
      </c>
      <c r="T134" s="129">
        <v>1531</v>
      </c>
      <c r="U134" s="219">
        <f t="shared" si="6"/>
        <v>1327.56</v>
      </c>
      <c r="V134" s="219">
        <v>1196</v>
      </c>
    </row>
    <row r="135" spans="1:22" ht="22.5" customHeight="1">
      <c r="A135" s="109"/>
      <c r="B135" s="109"/>
      <c r="C135" s="124">
        <v>47</v>
      </c>
      <c r="D135" s="125" t="s">
        <v>1245</v>
      </c>
      <c r="E135" s="126" t="s">
        <v>1246</v>
      </c>
      <c r="F135" s="124" t="s">
        <v>1262</v>
      </c>
      <c r="G135" s="126" t="s">
        <v>42</v>
      </c>
      <c r="H135" s="124" t="s">
        <v>1259</v>
      </c>
      <c r="I135" s="124" t="s">
        <v>1259</v>
      </c>
      <c r="J135" s="127">
        <v>1</v>
      </c>
      <c r="K135" s="124" t="str">
        <f t="shared" si="0"/>
        <v>DISTRIBUTOR</v>
      </c>
      <c r="L135" s="124" t="s">
        <v>37</v>
      </c>
      <c r="M135" s="127">
        <v>1</v>
      </c>
      <c r="N135" s="124" t="str">
        <f t="shared" si="1"/>
        <v>In Carton</v>
      </c>
      <c r="O135" s="124" t="str">
        <f t="shared" si="2"/>
        <v>Carton</v>
      </c>
      <c r="P135" s="127">
        <f t="shared" si="7"/>
        <v>1</v>
      </c>
      <c r="Q135" s="124" t="str">
        <f t="shared" si="8"/>
        <v>large</v>
      </c>
      <c r="R135" s="124">
        <v>1</v>
      </c>
      <c r="S135" s="128">
        <f>17000*5</f>
        <v>85000</v>
      </c>
      <c r="T135" s="129">
        <f t="shared" si="5"/>
        <v>76576.576576576568</v>
      </c>
      <c r="U135" s="219">
        <f t="shared" si="6"/>
        <v>66412.41</v>
      </c>
      <c r="V135" s="219">
        <v>59831</v>
      </c>
    </row>
    <row r="136" spans="1:22" ht="22.5" customHeight="1">
      <c r="A136" s="109"/>
      <c r="B136" s="109"/>
      <c r="C136" s="124">
        <v>47</v>
      </c>
      <c r="D136" s="125" t="s">
        <v>1245</v>
      </c>
      <c r="E136" s="126" t="s">
        <v>1246</v>
      </c>
      <c r="F136" s="124" t="s">
        <v>1262</v>
      </c>
      <c r="G136" s="126" t="s">
        <v>42</v>
      </c>
      <c r="H136" s="124" t="s">
        <v>1259</v>
      </c>
      <c r="I136" s="124" t="s">
        <v>1259</v>
      </c>
      <c r="J136" s="127">
        <v>1</v>
      </c>
      <c r="K136" s="124" t="str">
        <f t="shared" si="0"/>
        <v>DISTRIBUTOR</v>
      </c>
      <c r="L136" s="124" t="s">
        <v>37</v>
      </c>
      <c r="M136" s="127">
        <v>3</v>
      </c>
      <c r="N136" s="124" t="str">
        <f t="shared" si="1"/>
        <v>In Pack</v>
      </c>
      <c r="O136" s="124" t="str">
        <f t="shared" si="2"/>
        <v>Pack</v>
      </c>
      <c r="P136" s="127">
        <f t="shared" si="7"/>
        <v>2</v>
      </c>
      <c r="Q136" s="124">
        <f t="shared" si="8"/>
        <v>0</v>
      </c>
      <c r="R136" s="124">
        <v>5</v>
      </c>
      <c r="S136" s="128">
        <f>S135/R136</f>
        <v>17000</v>
      </c>
      <c r="T136" s="129">
        <f t="shared" si="5"/>
        <v>15315.315315315314</v>
      </c>
      <c r="U136" s="219">
        <f t="shared" si="6"/>
        <v>13282.26</v>
      </c>
      <c r="V136" s="219">
        <v>11966</v>
      </c>
    </row>
    <row r="137" spans="1:22" ht="22.5" customHeight="1">
      <c r="A137" s="109"/>
      <c r="B137" s="109"/>
      <c r="C137" s="124">
        <v>47</v>
      </c>
      <c r="D137" s="125" t="s">
        <v>1245</v>
      </c>
      <c r="E137" s="126" t="s">
        <v>1246</v>
      </c>
      <c r="F137" s="124" t="s">
        <v>1262</v>
      </c>
      <c r="G137" s="126" t="s">
        <v>42</v>
      </c>
      <c r="H137" s="124" t="s">
        <v>1259</v>
      </c>
      <c r="I137" s="124" t="s">
        <v>1259</v>
      </c>
      <c r="J137" s="127">
        <v>1</v>
      </c>
      <c r="K137" s="124" t="str">
        <f t="shared" si="0"/>
        <v>DISTRIBUTOR</v>
      </c>
      <c r="L137" s="124" t="s">
        <v>37</v>
      </c>
      <c r="M137" s="127">
        <v>9</v>
      </c>
      <c r="N137" s="124" t="str">
        <f t="shared" si="1"/>
        <v>In Pcs</v>
      </c>
      <c r="O137" s="124" t="str">
        <f t="shared" si="2"/>
        <v>Pcs</v>
      </c>
      <c r="P137" s="127">
        <f t="shared" si="7"/>
        <v>4</v>
      </c>
      <c r="Q137" s="124" t="str">
        <f t="shared" si="8"/>
        <v>small</v>
      </c>
      <c r="R137" s="124">
        <v>50</v>
      </c>
      <c r="S137" s="128">
        <v>1700</v>
      </c>
      <c r="T137" s="129">
        <v>1531</v>
      </c>
      <c r="U137" s="219">
        <f t="shared" si="6"/>
        <v>1327.56</v>
      </c>
      <c r="V137" s="219">
        <v>1196</v>
      </c>
    </row>
    <row r="138" spans="1:22" ht="22.5" customHeight="1">
      <c r="A138" s="109"/>
      <c r="B138" s="109"/>
      <c r="C138" s="124">
        <v>48</v>
      </c>
      <c r="D138" s="130" t="s">
        <v>1247</v>
      </c>
      <c r="E138" s="124" t="s">
        <v>1248</v>
      </c>
      <c r="F138" s="124" t="s">
        <v>1268</v>
      </c>
      <c r="G138" s="124" t="s">
        <v>1260</v>
      </c>
      <c r="H138" s="124" t="s">
        <v>1259</v>
      </c>
      <c r="I138" s="124" t="s">
        <v>1259</v>
      </c>
      <c r="J138" s="127">
        <v>1</v>
      </c>
      <c r="K138" s="124" t="str">
        <f t="shared" si="0"/>
        <v>DISTRIBUTOR</v>
      </c>
      <c r="L138" s="124" t="s">
        <v>37</v>
      </c>
      <c r="M138" s="127">
        <v>1</v>
      </c>
      <c r="N138" s="124" t="str">
        <f t="shared" si="1"/>
        <v>In Carton</v>
      </c>
      <c r="O138" s="124" t="str">
        <f t="shared" si="2"/>
        <v>Carton</v>
      </c>
      <c r="P138" s="127">
        <f t="shared" si="7"/>
        <v>1</v>
      </c>
      <c r="Q138" s="124" t="str">
        <f t="shared" si="8"/>
        <v>large</v>
      </c>
      <c r="R138" s="124">
        <v>1</v>
      </c>
      <c r="S138" s="128">
        <f>7980*10</f>
        <v>79800</v>
      </c>
      <c r="T138" s="129">
        <f t="shared" ref="T138:T269" si="9">S138/1.11</f>
        <v>71891.891891891879</v>
      </c>
      <c r="U138" s="219">
        <f t="shared" si="6"/>
        <v>67254.899999999994</v>
      </c>
      <c r="V138" s="219">
        <v>60590</v>
      </c>
    </row>
    <row r="139" spans="1:22" ht="22.5" customHeight="1">
      <c r="A139" s="109"/>
      <c r="B139" s="109"/>
      <c r="C139" s="124">
        <v>48</v>
      </c>
      <c r="D139" s="130" t="s">
        <v>1247</v>
      </c>
      <c r="E139" s="124" t="s">
        <v>1248</v>
      </c>
      <c r="F139" s="124" t="s">
        <v>1268</v>
      </c>
      <c r="G139" s="124" t="s">
        <v>1260</v>
      </c>
      <c r="H139" s="124" t="s">
        <v>1259</v>
      </c>
      <c r="I139" s="124" t="s">
        <v>1259</v>
      </c>
      <c r="J139" s="127">
        <v>1</v>
      </c>
      <c r="K139" s="124" t="str">
        <f t="shared" si="0"/>
        <v>DISTRIBUTOR</v>
      </c>
      <c r="L139" s="124" t="s">
        <v>37</v>
      </c>
      <c r="M139" s="127">
        <v>3</v>
      </c>
      <c r="N139" s="124" t="str">
        <f t="shared" si="1"/>
        <v>In Pack</v>
      </c>
      <c r="O139" s="124" t="str">
        <f t="shared" si="2"/>
        <v>Pack</v>
      </c>
      <c r="P139" s="127">
        <f t="shared" si="7"/>
        <v>2</v>
      </c>
      <c r="Q139" s="124">
        <f t="shared" si="8"/>
        <v>0</v>
      </c>
      <c r="R139" s="124">
        <v>10</v>
      </c>
      <c r="S139" s="128">
        <v>7980</v>
      </c>
      <c r="T139" s="129">
        <f t="shared" si="9"/>
        <v>7189.1891891891883</v>
      </c>
      <c r="U139" s="219">
        <f t="shared" si="6"/>
        <v>6725.49</v>
      </c>
      <c r="V139" s="219">
        <v>6059</v>
      </c>
    </row>
    <row r="140" spans="1:22" ht="22.5" customHeight="1">
      <c r="A140" s="109"/>
      <c r="B140" s="109"/>
      <c r="C140" s="124">
        <v>48</v>
      </c>
      <c r="D140" s="130" t="s">
        <v>1247</v>
      </c>
      <c r="E140" s="124" t="s">
        <v>1248</v>
      </c>
      <c r="F140" s="124" t="s">
        <v>1268</v>
      </c>
      <c r="G140" s="124" t="s">
        <v>1260</v>
      </c>
      <c r="H140" s="124" t="s">
        <v>1259</v>
      </c>
      <c r="I140" s="124" t="s">
        <v>1259</v>
      </c>
      <c r="J140" s="127">
        <v>1</v>
      </c>
      <c r="K140" s="124" t="str">
        <f t="shared" si="0"/>
        <v>DISTRIBUTOR</v>
      </c>
      <c r="L140" s="124" t="s">
        <v>37</v>
      </c>
      <c r="M140" s="127">
        <v>9</v>
      </c>
      <c r="N140" s="124" t="str">
        <f t="shared" si="1"/>
        <v>In Pcs</v>
      </c>
      <c r="O140" s="124" t="str">
        <f t="shared" si="2"/>
        <v>Pcs</v>
      </c>
      <c r="P140" s="127">
        <f t="shared" si="7"/>
        <v>4</v>
      </c>
      <c r="Q140" s="124" t="str">
        <f t="shared" si="8"/>
        <v>small</v>
      </c>
      <c r="R140" s="124">
        <v>100</v>
      </c>
      <c r="S140" s="128">
        <f>S139/10</f>
        <v>798</v>
      </c>
      <c r="T140" s="129">
        <f t="shared" si="9"/>
        <v>718.91891891891885</v>
      </c>
      <c r="U140" s="219">
        <f t="shared" si="6"/>
        <v>671.55</v>
      </c>
      <c r="V140" s="219">
        <v>605</v>
      </c>
    </row>
    <row r="141" spans="1:22" ht="22.5" customHeight="1">
      <c r="A141" s="109"/>
      <c r="B141" s="109"/>
      <c r="C141" s="124">
        <v>49</v>
      </c>
      <c r="D141" s="130" t="s">
        <v>1249</v>
      </c>
      <c r="E141" s="124" t="s">
        <v>1250</v>
      </c>
      <c r="F141" s="124" t="s">
        <v>1268</v>
      </c>
      <c r="G141" s="124" t="s">
        <v>1260</v>
      </c>
      <c r="H141" s="124" t="s">
        <v>1259</v>
      </c>
      <c r="I141" s="124" t="s">
        <v>1259</v>
      </c>
      <c r="J141" s="127">
        <v>1</v>
      </c>
      <c r="K141" s="124" t="str">
        <f t="shared" si="0"/>
        <v>DISTRIBUTOR</v>
      </c>
      <c r="L141" s="124" t="s">
        <v>37</v>
      </c>
      <c r="M141" s="127">
        <v>1</v>
      </c>
      <c r="N141" s="124" t="str">
        <f t="shared" ref="N141:N278" si="10">IFERROR(VLOOKUP($M141,$M$3:$Q$14,2,0),"")</f>
        <v>In Carton</v>
      </c>
      <c r="O141" s="124" t="str">
        <f t="shared" si="2"/>
        <v>Carton</v>
      </c>
      <c r="P141" s="127">
        <f t="shared" si="7"/>
        <v>1</v>
      </c>
      <c r="Q141" s="124" t="str">
        <f t="shared" si="8"/>
        <v>large</v>
      </c>
      <c r="R141" s="124">
        <v>1</v>
      </c>
      <c r="S141" s="128">
        <f>7980*10</f>
        <v>79800</v>
      </c>
      <c r="T141" s="129">
        <f t="shared" si="9"/>
        <v>71891.891891891879</v>
      </c>
      <c r="U141" s="219">
        <f t="shared" si="6"/>
        <v>67254.899999999994</v>
      </c>
      <c r="V141" s="219">
        <v>60590</v>
      </c>
    </row>
    <row r="142" spans="1:22" ht="22.5" customHeight="1">
      <c r="A142" s="109"/>
      <c r="B142" s="109"/>
      <c r="C142" s="124">
        <v>49</v>
      </c>
      <c r="D142" s="130" t="s">
        <v>1249</v>
      </c>
      <c r="E142" s="124" t="s">
        <v>1250</v>
      </c>
      <c r="F142" s="124" t="s">
        <v>1268</v>
      </c>
      <c r="G142" s="124" t="s">
        <v>1260</v>
      </c>
      <c r="H142" s="124" t="s">
        <v>1259</v>
      </c>
      <c r="I142" s="124" t="s">
        <v>1259</v>
      </c>
      <c r="J142" s="127">
        <v>1</v>
      </c>
      <c r="K142" s="124" t="str">
        <f t="shared" si="0"/>
        <v>DISTRIBUTOR</v>
      </c>
      <c r="L142" s="124" t="s">
        <v>37</v>
      </c>
      <c r="M142" s="127">
        <v>3</v>
      </c>
      <c r="N142" s="124" t="str">
        <f t="shared" si="10"/>
        <v>In Pack</v>
      </c>
      <c r="O142" s="124" t="str">
        <f t="shared" si="2"/>
        <v>Pack</v>
      </c>
      <c r="P142" s="127">
        <f t="shared" si="7"/>
        <v>2</v>
      </c>
      <c r="Q142" s="124">
        <f t="shared" si="8"/>
        <v>0</v>
      </c>
      <c r="R142" s="124">
        <v>10</v>
      </c>
      <c r="S142" s="128">
        <v>7980</v>
      </c>
      <c r="T142" s="129">
        <f t="shared" si="9"/>
        <v>7189.1891891891883</v>
      </c>
      <c r="U142" s="219">
        <f t="shared" si="6"/>
        <v>6725.49</v>
      </c>
      <c r="V142" s="219">
        <v>6059</v>
      </c>
    </row>
    <row r="143" spans="1:22" ht="22.5" customHeight="1">
      <c r="A143" s="109"/>
      <c r="B143" s="109"/>
      <c r="C143" s="124">
        <v>49</v>
      </c>
      <c r="D143" s="130" t="s">
        <v>1249</v>
      </c>
      <c r="E143" s="124" t="s">
        <v>1250</v>
      </c>
      <c r="F143" s="124" t="s">
        <v>1268</v>
      </c>
      <c r="G143" s="124" t="s">
        <v>1260</v>
      </c>
      <c r="H143" s="124" t="s">
        <v>1259</v>
      </c>
      <c r="I143" s="124" t="s">
        <v>1259</v>
      </c>
      <c r="J143" s="127">
        <v>1</v>
      </c>
      <c r="K143" s="124" t="str">
        <f t="shared" si="0"/>
        <v>DISTRIBUTOR</v>
      </c>
      <c r="L143" s="124" t="s">
        <v>37</v>
      </c>
      <c r="M143" s="127">
        <v>9</v>
      </c>
      <c r="N143" s="124" t="str">
        <f t="shared" si="10"/>
        <v>In Pcs</v>
      </c>
      <c r="O143" s="124" t="str">
        <f t="shared" si="2"/>
        <v>Pcs</v>
      </c>
      <c r="P143" s="127">
        <f t="shared" si="7"/>
        <v>4</v>
      </c>
      <c r="Q143" s="124" t="str">
        <f t="shared" si="8"/>
        <v>small</v>
      </c>
      <c r="R143" s="124">
        <v>100</v>
      </c>
      <c r="S143" s="128">
        <f>S142/10</f>
        <v>798</v>
      </c>
      <c r="T143" s="129">
        <f t="shared" si="9"/>
        <v>718.91891891891885</v>
      </c>
      <c r="U143" s="219">
        <f t="shared" si="6"/>
        <v>671.55</v>
      </c>
      <c r="V143" s="219">
        <v>605</v>
      </c>
    </row>
    <row r="144" spans="1:22" ht="22.5" customHeight="1">
      <c r="A144" s="109"/>
      <c r="B144" s="109"/>
      <c r="C144" s="124">
        <v>50</v>
      </c>
      <c r="D144" s="130" t="s">
        <v>1251</v>
      </c>
      <c r="E144" s="124" t="s">
        <v>1252</v>
      </c>
      <c r="F144" s="124" t="s">
        <v>1268</v>
      </c>
      <c r="G144" s="124" t="s">
        <v>1260</v>
      </c>
      <c r="H144" s="124" t="s">
        <v>1259</v>
      </c>
      <c r="I144" s="124" t="s">
        <v>1259</v>
      </c>
      <c r="J144" s="127">
        <v>1</v>
      </c>
      <c r="K144" s="124" t="str">
        <f t="shared" si="0"/>
        <v>DISTRIBUTOR</v>
      </c>
      <c r="L144" s="124" t="s">
        <v>37</v>
      </c>
      <c r="M144" s="127">
        <v>1</v>
      </c>
      <c r="N144" s="124" t="str">
        <f t="shared" si="10"/>
        <v>In Carton</v>
      </c>
      <c r="O144" s="124" t="str">
        <f t="shared" si="2"/>
        <v>Carton</v>
      </c>
      <c r="P144" s="127">
        <f t="shared" si="7"/>
        <v>1</v>
      </c>
      <c r="Q144" s="124" t="str">
        <f t="shared" si="8"/>
        <v>large</v>
      </c>
      <c r="R144" s="124">
        <v>1</v>
      </c>
      <c r="S144" s="128">
        <f>7980*10</f>
        <v>79800</v>
      </c>
      <c r="T144" s="129">
        <f t="shared" si="9"/>
        <v>71891.891891891879</v>
      </c>
      <c r="U144" s="219">
        <f t="shared" si="6"/>
        <v>67254.899999999994</v>
      </c>
      <c r="V144" s="219">
        <v>60590</v>
      </c>
    </row>
    <row r="145" spans="1:22" ht="22.5" customHeight="1">
      <c r="A145" s="109"/>
      <c r="B145" s="109"/>
      <c r="C145" s="124">
        <v>50</v>
      </c>
      <c r="D145" s="130" t="s">
        <v>1251</v>
      </c>
      <c r="E145" s="124" t="s">
        <v>1252</v>
      </c>
      <c r="F145" s="124" t="s">
        <v>1268</v>
      </c>
      <c r="G145" s="124" t="s">
        <v>1260</v>
      </c>
      <c r="H145" s="124" t="s">
        <v>1259</v>
      </c>
      <c r="I145" s="124" t="s">
        <v>1259</v>
      </c>
      <c r="J145" s="127">
        <v>1</v>
      </c>
      <c r="K145" s="124" t="str">
        <f t="shared" si="0"/>
        <v>DISTRIBUTOR</v>
      </c>
      <c r="L145" s="124" t="s">
        <v>37</v>
      </c>
      <c r="M145" s="127">
        <v>3</v>
      </c>
      <c r="N145" s="124" t="str">
        <f t="shared" si="10"/>
        <v>In Pack</v>
      </c>
      <c r="O145" s="124" t="str">
        <f t="shared" si="2"/>
        <v>Pack</v>
      </c>
      <c r="P145" s="127">
        <f t="shared" si="7"/>
        <v>2</v>
      </c>
      <c r="Q145" s="124">
        <f t="shared" si="8"/>
        <v>0</v>
      </c>
      <c r="R145" s="124">
        <v>10</v>
      </c>
      <c r="S145" s="128">
        <v>7980</v>
      </c>
      <c r="T145" s="129">
        <f t="shared" si="9"/>
        <v>7189.1891891891883</v>
      </c>
      <c r="U145" s="219">
        <f t="shared" si="6"/>
        <v>6725.49</v>
      </c>
      <c r="V145" s="219">
        <v>6059</v>
      </c>
    </row>
    <row r="146" spans="1:22" ht="22.5" customHeight="1">
      <c r="A146" s="109"/>
      <c r="B146" s="109"/>
      <c r="C146" s="124">
        <v>50</v>
      </c>
      <c r="D146" s="130" t="s">
        <v>1251</v>
      </c>
      <c r="E146" s="124" t="s">
        <v>1252</v>
      </c>
      <c r="F146" s="124" t="s">
        <v>1268</v>
      </c>
      <c r="G146" s="124" t="s">
        <v>1260</v>
      </c>
      <c r="H146" s="124" t="s">
        <v>1259</v>
      </c>
      <c r="I146" s="124" t="s">
        <v>1259</v>
      </c>
      <c r="J146" s="127">
        <v>1</v>
      </c>
      <c r="K146" s="124" t="str">
        <f t="shared" si="0"/>
        <v>DISTRIBUTOR</v>
      </c>
      <c r="L146" s="124" t="s">
        <v>37</v>
      </c>
      <c r="M146" s="127">
        <v>9</v>
      </c>
      <c r="N146" s="124" t="str">
        <f t="shared" si="10"/>
        <v>In Pcs</v>
      </c>
      <c r="O146" s="124" t="str">
        <f t="shared" si="2"/>
        <v>Pcs</v>
      </c>
      <c r="P146" s="127">
        <f t="shared" si="7"/>
        <v>4</v>
      </c>
      <c r="Q146" s="124" t="str">
        <f t="shared" si="8"/>
        <v>small</v>
      </c>
      <c r="R146" s="124">
        <v>100</v>
      </c>
      <c r="S146" s="128">
        <f>S145/10</f>
        <v>798</v>
      </c>
      <c r="T146" s="129">
        <f t="shared" si="9"/>
        <v>718.91891891891885</v>
      </c>
      <c r="U146" s="219">
        <f t="shared" si="6"/>
        <v>671.55</v>
      </c>
      <c r="V146" s="219">
        <v>605</v>
      </c>
    </row>
    <row r="147" spans="1:22" ht="22.5" customHeight="1">
      <c r="A147" s="109"/>
      <c r="B147" s="109"/>
      <c r="C147" s="124">
        <v>51</v>
      </c>
      <c r="D147" s="130" t="s">
        <v>1253</v>
      </c>
      <c r="E147" s="124" t="s">
        <v>1254</v>
      </c>
      <c r="F147" s="124" t="s">
        <v>1268</v>
      </c>
      <c r="G147" s="124" t="s">
        <v>1260</v>
      </c>
      <c r="H147" s="124" t="s">
        <v>1259</v>
      </c>
      <c r="I147" s="124" t="s">
        <v>1259</v>
      </c>
      <c r="J147" s="127">
        <v>1</v>
      </c>
      <c r="K147" s="124" t="str">
        <f t="shared" si="0"/>
        <v>DISTRIBUTOR</v>
      </c>
      <c r="L147" s="124" t="s">
        <v>37</v>
      </c>
      <c r="M147" s="127">
        <v>1</v>
      </c>
      <c r="N147" s="124" t="str">
        <f t="shared" si="10"/>
        <v>In Carton</v>
      </c>
      <c r="O147" s="124" t="str">
        <f t="shared" si="2"/>
        <v>Carton</v>
      </c>
      <c r="P147" s="127">
        <f t="shared" si="7"/>
        <v>1</v>
      </c>
      <c r="Q147" s="124" t="str">
        <f t="shared" si="8"/>
        <v>large</v>
      </c>
      <c r="R147" s="124">
        <v>1</v>
      </c>
      <c r="S147" s="128">
        <f>7980*10</f>
        <v>79800</v>
      </c>
      <c r="T147" s="129">
        <f t="shared" si="9"/>
        <v>71891.891891891879</v>
      </c>
      <c r="U147" s="219">
        <f t="shared" si="6"/>
        <v>67254.899999999994</v>
      </c>
      <c r="V147" s="219">
        <v>60590</v>
      </c>
    </row>
    <row r="148" spans="1:22" ht="22.5" customHeight="1">
      <c r="A148" s="109"/>
      <c r="B148" s="109"/>
      <c r="C148" s="124">
        <v>51</v>
      </c>
      <c r="D148" s="130" t="s">
        <v>1253</v>
      </c>
      <c r="E148" s="124" t="s">
        <v>1254</v>
      </c>
      <c r="F148" s="124" t="s">
        <v>1268</v>
      </c>
      <c r="G148" s="124" t="s">
        <v>1260</v>
      </c>
      <c r="H148" s="124" t="s">
        <v>1259</v>
      </c>
      <c r="I148" s="124" t="s">
        <v>1259</v>
      </c>
      <c r="J148" s="127">
        <v>1</v>
      </c>
      <c r="K148" s="124" t="str">
        <f t="shared" si="0"/>
        <v>DISTRIBUTOR</v>
      </c>
      <c r="L148" s="124" t="s">
        <v>37</v>
      </c>
      <c r="M148" s="127">
        <v>3</v>
      </c>
      <c r="N148" s="124" t="str">
        <f t="shared" si="10"/>
        <v>In Pack</v>
      </c>
      <c r="O148" s="124" t="str">
        <f t="shared" si="2"/>
        <v>Pack</v>
      </c>
      <c r="P148" s="127">
        <f t="shared" si="7"/>
        <v>2</v>
      </c>
      <c r="Q148" s="124">
        <f t="shared" si="8"/>
        <v>0</v>
      </c>
      <c r="R148" s="124">
        <v>10</v>
      </c>
      <c r="S148" s="128">
        <v>7980</v>
      </c>
      <c r="T148" s="129">
        <f t="shared" si="9"/>
        <v>7189.1891891891883</v>
      </c>
      <c r="U148" s="219">
        <f t="shared" si="6"/>
        <v>6725.49</v>
      </c>
      <c r="V148" s="219">
        <v>6059</v>
      </c>
    </row>
    <row r="149" spans="1:22" ht="22.5" customHeight="1">
      <c r="A149" s="109"/>
      <c r="B149" s="109"/>
      <c r="C149" s="124">
        <v>51</v>
      </c>
      <c r="D149" s="130" t="s">
        <v>1253</v>
      </c>
      <c r="E149" s="124" t="s">
        <v>1254</v>
      </c>
      <c r="F149" s="124" t="s">
        <v>1268</v>
      </c>
      <c r="G149" s="124" t="s">
        <v>1260</v>
      </c>
      <c r="H149" s="124" t="s">
        <v>1259</v>
      </c>
      <c r="I149" s="124" t="s">
        <v>1259</v>
      </c>
      <c r="J149" s="127">
        <v>1</v>
      </c>
      <c r="K149" s="124" t="str">
        <f t="shared" si="0"/>
        <v>DISTRIBUTOR</v>
      </c>
      <c r="L149" s="124" t="s">
        <v>37</v>
      </c>
      <c r="M149" s="127">
        <v>9</v>
      </c>
      <c r="N149" s="124" t="str">
        <f t="shared" si="10"/>
        <v>In Pcs</v>
      </c>
      <c r="O149" s="124" t="str">
        <f t="shared" si="2"/>
        <v>Pcs</v>
      </c>
      <c r="P149" s="127">
        <f t="shared" si="7"/>
        <v>4</v>
      </c>
      <c r="Q149" s="124" t="str">
        <f t="shared" si="8"/>
        <v>small</v>
      </c>
      <c r="R149" s="124">
        <v>100</v>
      </c>
      <c r="S149" s="128">
        <f>S148/10</f>
        <v>798</v>
      </c>
      <c r="T149" s="129">
        <f t="shared" si="9"/>
        <v>718.91891891891885</v>
      </c>
      <c r="U149" s="219">
        <f t="shared" si="6"/>
        <v>671.55</v>
      </c>
      <c r="V149" s="219">
        <v>605</v>
      </c>
    </row>
    <row r="150" spans="1:22" ht="22.5" customHeight="1">
      <c r="A150" s="109"/>
      <c r="B150" s="109"/>
      <c r="C150" s="124">
        <v>52</v>
      </c>
      <c r="D150" s="130" t="s">
        <v>1255</v>
      </c>
      <c r="E150" s="124" t="s">
        <v>1256</v>
      </c>
      <c r="F150" s="124" t="s">
        <v>1268</v>
      </c>
      <c r="G150" s="124" t="s">
        <v>1260</v>
      </c>
      <c r="H150" s="124" t="s">
        <v>1259</v>
      </c>
      <c r="I150" s="124" t="s">
        <v>1259</v>
      </c>
      <c r="J150" s="127">
        <v>1</v>
      </c>
      <c r="K150" s="124" t="str">
        <f t="shared" si="0"/>
        <v>DISTRIBUTOR</v>
      </c>
      <c r="L150" s="124" t="s">
        <v>37</v>
      </c>
      <c r="M150" s="127">
        <v>1</v>
      </c>
      <c r="N150" s="124" t="str">
        <f t="shared" si="10"/>
        <v>In Carton</v>
      </c>
      <c r="O150" s="124" t="str">
        <f t="shared" si="2"/>
        <v>Carton</v>
      </c>
      <c r="P150" s="127">
        <f t="shared" si="7"/>
        <v>1</v>
      </c>
      <c r="Q150" s="124" t="str">
        <f t="shared" si="8"/>
        <v>large</v>
      </c>
      <c r="R150" s="124">
        <v>1</v>
      </c>
      <c r="S150" s="128">
        <f>7980*10</f>
        <v>79800</v>
      </c>
      <c r="T150" s="129">
        <f t="shared" si="9"/>
        <v>71891.891891891879</v>
      </c>
      <c r="U150" s="219">
        <f t="shared" si="6"/>
        <v>67254.899999999994</v>
      </c>
      <c r="V150" s="219">
        <v>60590</v>
      </c>
    </row>
    <row r="151" spans="1:22" ht="22.5" customHeight="1">
      <c r="A151" s="109"/>
      <c r="B151" s="109"/>
      <c r="C151" s="124">
        <v>52</v>
      </c>
      <c r="D151" s="130" t="s">
        <v>1255</v>
      </c>
      <c r="E151" s="124" t="s">
        <v>1256</v>
      </c>
      <c r="F151" s="124" t="s">
        <v>1268</v>
      </c>
      <c r="G151" s="124" t="s">
        <v>1260</v>
      </c>
      <c r="H151" s="124" t="s">
        <v>1259</v>
      </c>
      <c r="I151" s="124" t="s">
        <v>1259</v>
      </c>
      <c r="J151" s="127">
        <v>1</v>
      </c>
      <c r="K151" s="124" t="str">
        <f t="shared" si="0"/>
        <v>DISTRIBUTOR</v>
      </c>
      <c r="L151" s="124" t="s">
        <v>37</v>
      </c>
      <c r="M151" s="127">
        <v>3</v>
      </c>
      <c r="N151" s="124" t="str">
        <f t="shared" si="10"/>
        <v>In Pack</v>
      </c>
      <c r="O151" s="124" t="str">
        <f t="shared" si="2"/>
        <v>Pack</v>
      </c>
      <c r="P151" s="127">
        <f t="shared" si="7"/>
        <v>2</v>
      </c>
      <c r="Q151" s="124">
        <f t="shared" si="8"/>
        <v>0</v>
      </c>
      <c r="R151" s="124">
        <v>10</v>
      </c>
      <c r="S151" s="128">
        <v>7980</v>
      </c>
      <c r="T151" s="129">
        <f t="shared" si="9"/>
        <v>7189.1891891891883</v>
      </c>
      <c r="U151" s="219">
        <f t="shared" si="6"/>
        <v>6725.49</v>
      </c>
      <c r="V151" s="219">
        <v>6059</v>
      </c>
    </row>
    <row r="152" spans="1:22" ht="22.5" customHeight="1">
      <c r="A152" s="109"/>
      <c r="B152" s="109"/>
      <c r="C152" s="124">
        <v>52</v>
      </c>
      <c r="D152" s="130" t="s">
        <v>1255</v>
      </c>
      <c r="E152" s="124" t="s">
        <v>1256</v>
      </c>
      <c r="F152" s="124" t="s">
        <v>1268</v>
      </c>
      <c r="G152" s="124" t="s">
        <v>1260</v>
      </c>
      <c r="H152" s="124" t="s">
        <v>1259</v>
      </c>
      <c r="I152" s="124" t="s">
        <v>1259</v>
      </c>
      <c r="J152" s="127">
        <v>1</v>
      </c>
      <c r="K152" s="124" t="str">
        <f t="shared" si="0"/>
        <v>DISTRIBUTOR</v>
      </c>
      <c r="L152" s="124" t="s">
        <v>37</v>
      </c>
      <c r="M152" s="127">
        <v>9</v>
      </c>
      <c r="N152" s="124" t="str">
        <f t="shared" si="10"/>
        <v>In Pcs</v>
      </c>
      <c r="O152" s="124" t="str">
        <f t="shared" si="2"/>
        <v>Pcs</v>
      </c>
      <c r="P152" s="127">
        <f t="shared" si="7"/>
        <v>4</v>
      </c>
      <c r="Q152" s="124" t="str">
        <f t="shared" si="8"/>
        <v>small</v>
      </c>
      <c r="R152" s="124">
        <v>100</v>
      </c>
      <c r="S152" s="128">
        <f>S151/10</f>
        <v>798</v>
      </c>
      <c r="T152" s="129">
        <f t="shared" si="9"/>
        <v>718.91891891891885</v>
      </c>
      <c r="U152" s="219">
        <f t="shared" si="6"/>
        <v>671.55</v>
      </c>
      <c r="V152" s="219">
        <v>605</v>
      </c>
    </row>
    <row r="153" spans="1:22" ht="22.5" customHeight="1">
      <c r="A153" s="109"/>
      <c r="B153" s="109"/>
      <c r="C153" s="124">
        <v>53</v>
      </c>
      <c r="D153" s="130" t="s">
        <v>1257</v>
      </c>
      <c r="E153" s="124" t="s">
        <v>1258</v>
      </c>
      <c r="F153" s="124" t="s">
        <v>1268</v>
      </c>
      <c r="G153" s="124" t="s">
        <v>1260</v>
      </c>
      <c r="H153" s="124" t="s">
        <v>1259</v>
      </c>
      <c r="I153" s="124" t="s">
        <v>1259</v>
      </c>
      <c r="J153" s="127">
        <v>1</v>
      </c>
      <c r="K153" s="124" t="str">
        <f t="shared" si="0"/>
        <v>DISTRIBUTOR</v>
      </c>
      <c r="L153" s="124" t="s">
        <v>37</v>
      </c>
      <c r="M153" s="127">
        <v>1</v>
      </c>
      <c r="N153" s="124" t="str">
        <f t="shared" si="10"/>
        <v>In Carton</v>
      </c>
      <c r="O153" s="124" t="str">
        <f t="shared" si="2"/>
        <v>Carton</v>
      </c>
      <c r="P153" s="127">
        <f t="shared" si="7"/>
        <v>1</v>
      </c>
      <c r="Q153" s="124" t="str">
        <f t="shared" si="8"/>
        <v>large</v>
      </c>
      <c r="R153" s="124">
        <v>1</v>
      </c>
      <c r="S153" s="128">
        <f>7980*10</f>
        <v>79800</v>
      </c>
      <c r="T153" s="129">
        <f t="shared" si="9"/>
        <v>71891.891891891879</v>
      </c>
      <c r="U153" s="219">
        <f t="shared" si="6"/>
        <v>67254.899999999994</v>
      </c>
      <c r="V153" s="219">
        <v>60590</v>
      </c>
    </row>
    <row r="154" spans="1:22" ht="22.5" customHeight="1">
      <c r="A154" s="109"/>
      <c r="B154" s="109"/>
      <c r="C154" s="124">
        <v>53</v>
      </c>
      <c r="D154" s="130" t="s">
        <v>1257</v>
      </c>
      <c r="E154" s="124" t="s">
        <v>1258</v>
      </c>
      <c r="F154" s="124" t="s">
        <v>1268</v>
      </c>
      <c r="G154" s="124" t="s">
        <v>1260</v>
      </c>
      <c r="H154" s="124" t="s">
        <v>1259</v>
      </c>
      <c r="I154" s="124" t="s">
        <v>1259</v>
      </c>
      <c r="J154" s="127">
        <v>1</v>
      </c>
      <c r="K154" s="124" t="str">
        <f t="shared" si="0"/>
        <v>DISTRIBUTOR</v>
      </c>
      <c r="L154" s="124" t="s">
        <v>37</v>
      </c>
      <c r="M154" s="127">
        <v>3</v>
      </c>
      <c r="N154" s="124" t="str">
        <f t="shared" si="10"/>
        <v>In Pack</v>
      </c>
      <c r="O154" s="124" t="str">
        <f t="shared" ref="O154:O317" si="11">IFERROR(VLOOKUP($M154,$M$3:$Q$14,3,0),"")</f>
        <v>Pack</v>
      </c>
      <c r="P154" s="127">
        <f t="shared" si="7"/>
        <v>2</v>
      </c>
      <c r="Q154" s="124">
        <f t="shared" si="8"/>
        <v>0</v>
      </c>
      <c r="R154" s="124">
        <v>10</v>
      </c>
      <c r="S154" s="128">
        <v>7980</v>
      </c>
      <c r="T154" s="129">
        <f t="shared" si="9"/>
        <v>7189.1891891891883</v>
      </c>
      <c r="U154" s="219">
        <f t="shared" si="6"/>
        <v>6725.49</v>
      </c>
      <c r="V154" s="219">
        <v>6059</v>
      </c>
    </row>
    <row r="155" spans="1:22" ht="22.5" customHeight="1">
      <c r="A155" s="109"/>
      <c r="B155" s="109"/>
      <c r="C155" s="124">
        <v>53</v>
      </c>
      <c r="D155" s="130" t="s">
        <v>1257</v>
      </c>
      <c r="E155" s="124" t="s">
        <v>1258</v>
      </c>
      <c r="F155" s="124" t="s">
        <v>1268</v>
      </c>
      <c r="G155" s="124" t="s">
        <v>1260</v>
      </c>
      <c r="H155" s="124" t="s">
        <v>1259</v>
      </c>
      <c r="I155" s="124" t="s">
        <v>1259</v>
      </c>
      <c r="J155" s="127">
        <v>1</v>
      </c>
      <c r="K155" s="124" t="str">
        <f t="shared" si="0"/>
        <v>DISTRIBUTOR</v>
      </c>
      <c r="L155" s="124" t="s">
        <v>37</v>
      </c>
      <c r="M155" s="127">
        <v>9</v>
      </c>
      <c r="N155" s="124" t="str">
        <f t="shared" si="10"/>
        <v>In Pcs</v>
      </c>
      <c r="O155" s="124" t="str">
        <f t="shared" si="11"/>
        <v>Pcs</v>
      </c>
      <c r="P155" s="127">
        <f t="shared" si="7"/>
        <v>4</v>
      </c>
      <c r="Q155" s="124" t="str">
        <f t="shared" si="8"/>
        <v>small</v>
      </c>
      <c r="R155" s="124">
        <v>100</v>
      </c>
      <c r="S155" s="128">
        <f>S154/10</f>
        <v>798</v>
      </c>
      <c r="T155" s="129">
        <f t="shared" si="9"/>
        <v>718.91891891891885</v>
      </c>
      <c r="U155" s="219">
        <f t="shared" si="6"/>
        <v>671.55</v>
      </c>
      <c r="V155" s="219">
        <v>605</v>
      </c>
    </row>
    <row r="156" spans="1:22" ht="22.5" customHeight="1">
      <c r="A156" s="109"/>
      <c r="B156" s="109"/>
      <c r="C156" s="124">
        <v>54</v>
      </c>
      <c r="D156" s="130" t="s">
        <v>41</v>
      </c>
      <c r="E156" s="124" t="s">
        <v>1269</v>
      </c>
      <c r="F156" s="124" t="s">
        <v>1274</v>
      </c>
      <c r="G156" s="126" t="s">
        <v>42</v>
      </c>
      <c r="H156" s="124" t="s">
        <v>1259</v>
      </c>
      <c r="I156" s="124" t="s">
        <v>1259</v>
      </c>
      <c r="J156" s="127">
        <v>1</v>
      </c>
      <c r="K156" s="124" t="str">
        <f t="shared" si="0"/>
        <v>DISTRIBUTOR</v>
      </c>
      <c r="L156" s="124" t="s">
        <v>36</v>
      </c>
      <c r="M156" s="127">
        <v>1</v>
      </c>
      <c r="N156" s="124" t="str">
        <f t="shared" si="10"/>
        <v>In Carton</v>
      </c>
      <c r="O156" s="124" t="str">
        <f t="shared" si="11"/>
        <v>Carton</v>
      </c>
      <c r="P156" s="127">
        <f t="shared" si="7"/>
        <v>1</v>
      </c>
      <c r="Q156" s="124" t="str">
        <f t="shared" si="8"/>
        <v>large</v>
      </c>
      <c r="R156" s="124">
        <v>1</v>
      </c>
      <c r="S156" s="128">
        <f>5175*24</f>
        <v>124200</v>
      </c>
      <c r="T156" s="129">
        <f t="shared" si="9"/>
        <v>111891.89189189188</v>
      </c>
      <c r="U156" s="219">
        <f t="shared" si="6"/>
        <v>107110.56</v>
      </c>
      <c r="V156" s="219">
        <v>96496</v>
      </c>
    </row>
    <row r="157" spans="1:22" ht="22.5" customHeight="1">
      <c r="A157" s="109"/>
      <c r="B157" s="109"/>
      <c r="C157" s="124">
        <v>54</v>
      </c>
      <c r="D157" s="130" t="s">
        <v>41</v>
      </c>
      <c r="E157" s="124" t="s">
        <v>1269</v>
      </c>
      <c r="F157" s="124" t="s">
        <v>1274</v>
      </c>
      <c r="G157" s="126" t="s">
        <v>42</v>
      </c>
      <c r="H157" s="124" t="s">
        <v>1259</v>
      </c>
      <c r="I157" s="124" t="s">
        <v>1259</v>
      </c>
      <c r="J157" s="127">
        <v>1</v>
      </c>
      <c r="K157" s="124" t="str">
        <f t="shared" si="0"/>
        <v>DISTRIBUTOR</v>
      </c>
      <c r="L157" s="124" t="s">
        <v>36</v>
      </c>
      <c r="M157" s="127">
        <v>9</v>
      </c>
      <c r="N157" s="124" t="str">
        <f t="shared" si="10"/>
        <v>In Pcs</v>
      </c>
      <c r="O157" s="124" t="str">
        <f t="shared" si="11"/>
        <v>Pcs</v>
      </c>
      <c r="P157" s="127">
        <f t="shared" si="7"/>
        <v>4</v>
      </c>
      <c r="Q157" s="124" t="str">
        <f t="shared" si="8"/>
        <v>small</v>
      </c>
      <c r="R157" s="124">
        <v>24</v>
      </c>
      <c r="S157" s="128">
        <f>S156/24</f>
        <v>5175</v>
      </c>
      <c r="T157" s="129">
        <f t="shared" si="9"/>
        <v>4662.1621621621616</v>
      </c>
      <c r="U157" s="219">
        <f t="shared" si="6"/>
        <v>4462.2</v>
      </c>
      <c r="V157" s="219">
        <v>4020</v>
      </c>
    </row>
    <row r="158" spans="1:22" ht="22.5" customHeight="1">
      <c r="A158" s="109"/>
      <c r="B158" s="109"/>
      <c r="C158" s="124">
        <v>55</v>
      </c>
      <c r="D158" s="130" t="s">
        <v>1270</v>
      </c>
      <c r="E158" s="124" t="s">
        <v>1271</v>
      </c>
      <c r="F158" s="124" t="s">
        <v>1274</v>
      </c>
      <c r="G158" s="126" t="s">
        <v>42</v>
      </c>
      <c r="H158" s="124" t="s">
        <v>1259</v>
      </c>
      <c r="I158" s="124" t="s">
        <v>1259</v>
      </c>
      <c r="J158" s="127">
        <v>1</v>
      </c>
      <c r="K158" s="124" t="str">
        <f t="shared" ref="K158:K269" si="12">IFERROR(VLOOKUP($J158,$J$10:$K$13,2,0),"")</f>
        <v>DISTRIBUTOR</v>
      </c>
      <c r="L158" s="124" t="s">
        <v>36</v>
      </c>
      <c r="M158" s="127">
        <v>1</v>
      </c>
      <c r="N158" s="124" t="str">
        <f t="shared" si="10"/>
        <v>In Carton</v>
      </c>
      <c r="O158" s="124" t="str">
        <f t="shared" si="11"/>
        <v>Carton</v>
      </c>
      <c r="P158" s="127">
        <f t="shared" si="7"/>
        <v>1</v>
      </c>
      <c r="Q158" s="124" t="str">
        <f t="shared" si="8"/>
        <v>large</v>
      </c>
      <c r="R158" s="124">
        <v>1</v>
      </c>
      <c r="S158" s="128">
        <f>5175*24</f>
        <v>124200</v>
      </c>
      <c r="T158" s="129">
        <f t="shared" si="9"/>
        <v>111891.89189189188</v>
      </c>
      <c r="U158" s="219">
        <f t="shared" si="6"/>
        <v>107110.56</v>
      </c>
      <c r="V158" s="219">
        <v>96496</v>
      </c>
    </row>
    <row r="159" spans="1:22" ht="22.5" customHeight="1">
      <c r="A159" s="109"/>
      <c r="B159" s="109"/>
      <c r="C159" s="124">
        <v>55</v>
      </c>
      <c r="D159" s="130" t="s">
        <v>1270</v>
      </c>
      <c r="E159" s="124" t="s">
        <v>1271</v>
      </c>
      <c r="F159" s="124" t="s">
        <v>1274</v>
      </c>
      <c r="G159" s="126" t="s">
        <v>42</v>
      </c>
      <c r="H159" s="124" t="s">
        <v>1259</v>
      </c>
      <c r="I159" s="124" t="s">
        <v>1259</v>
      </c>
      <c r="J159" s="127">
        <v>1</v>
      </c>
      <c r="K159" s="124" t="str">
        <f t="shared" si="12"/>
        <v>DISTRIBUTOR</v>
      </c>
      <c r="L159" s="124" t="s">
        <v>36</v>
      </c>
      <c r="M159" s="127">
        <v>9</v>
      </c>
      <c r="N159" s="124" t="str">
        <f t="shared" si="10"/>
        <v>In Pcs</v>
      </c>
      <c r="O159" s="124" t="str">
        <f t="shared" si="11"/>
        <v>Pcs</v>
      </c>
      <c r="P159" s="127">
        <f t="shared" si="7"/>
        <v>4</v>
      </c>
      <c r="Q159" s="124" t="str">
        <f t="shared" si="8"/>
        <v>small</v>
      </c>
      <c r="R159" s="124">
        <v>24</v>
      </c>
      <c r="S159" s="128">
        <f>S158/24</f>
        <v>5175</v>
      </c>
      <c r="T159" s="129">
        <f t="shared" si="9"/>
        <v>4662.1621621621616</v>
      </c>
      <c r="U159" s="219">
        <f t="shared" si="6"/>
        <v>4462.2</v>
      </c>
      <c r="V159" s="219">
        <v>4020</v>
      </c>
    </row>
    <row r="160" spans="1:22" ht="22.5" customHeight="1">
      <c r="A160" s="109"/>
      <c r="B160" s="109"/>
      <c r="C160" s="124">
        <v>56</v>
      </c>
      <c r="D160" s="130" t="s">
        <v>1272</v>
      </c>
      <c r="E160" s="124" t="s">
        <v>1273</v>
      </c>
      <c r="F160" s="124" t="s">
        <v>1274</v>
      </c>
      <c r="G160" s="126" t="s">
        <v>42</v>
      </c>
      <c r="H160" s="124" t="s">
        <v>1259</v>
      </c>
      <c r="I160" s="124" t="s">
        <v>1259</v>
      </c>
      <c r="J160" s="127">
        <v>1</v>
      </c>
      <c r="K160" s="124" t="str">
        <f t="shared" si="12"/>
        <v>DISTRIBUTOR</v>
      </c>
      <c r="L160" s="124" t="s">
        <v>36</v>
      </c>
      <c r="M160" s="127">
        <v>1</v>
      </c>
      <c r="N160" s="124" t="str">
        <f t="shared" si="10"/>
        <v>In Carton</v>
      </c>
      <c r="O160" s="124" t="str">
        <f t="shared" si="11"/>
        <v>Carton</v>
      </c>
      <c r="P160" s="127">
        <f t="shared" si="7"/>
        <v>1</v>
      </c>
      <c r="Q160" s="124" t="str">
        <f t="shared" si="8"/>
        <v>large</v>
      </c>
      <c r="R160" s="124">
        <v>1</v>
      </c>
      <c r="S160" s="128">
        <f>5175*24</f>
        <v>124200</v>
      </c>
      <c r="T160" s="129">
        <f t="shared" si="9"/>
        <v>111891.89189189188</v>
      </c>
      <c r="U160" s="219">
        <f t="shared" si="6"/>
        <v>107110.56</v>
      </c>
      <c r="V160" s="219">
        <v>96496</v>
      </c>
    </row>
    <row r="161" spans="1:22" ht="22.5" customHeight="1">
      <c r="A161" s="109"/>
      <c r="B161" s="109"/>
      <c r="C161" s="124">
        <v>56</v>
      </c>
      <c r="D161" s="130" t="s">
        <v>1272</v>
      </c>
      <c r="E161" s="124" t="s">
        <v>1273</v>
      </c>
      <c r="F161" s="124" t="s">
        <v>1274</v>
      </c>
      <c r="G161" s="126" t="s">
        <v>42</v>
      </c>
      <c r="H161" s="124" t="s">
        <v>1259</v>
      </c>
      <c r="I161" s="124" t="s">
        <v>1259</v>
      </c>
      <c r="J161" s="127">
        <v>1</v>
      </c>
      <c r="K161" s="124" t="str">
        <f t="shared" si="12"/>
        <v>DISTRIBUTOR</v>
      </c>
      <c r="L161" s="124" t="s">
        <v>36</v>
      </c>
      <c r="M161" s="127">
        <v>9</v>
      </c>
      <c r="N161" s="124" t="str">
        <f t="shared" si="10"/>
        <v>In Pcs</v>
      </c>
      <c r="O161" s="124" t="str">
        <f t="shared" si="11"/>
        <v>Pcs</v>
      </c>
      <c r="P161" s="127">
        <f t="shared" si="7"/>
        <v>4</v>
      </c>
      <c r="Q161" s="124" t="str">
        <f t="shared" si="8"/>
        <v>small</v>
      </c>
      <c r="R161" s="124">
        <v>24</v>
      </c>
      <c r="S161" s="128">
        <f>S160/24</f>
        <v>5175</v>
      </c>
      <c r="T161" s="129">
        <f t="shared" si="9"/>
        <v>4662.1621621621616</v>
      </c>
      <c r="U161" s="219">
        <f t="shared" ref="U161" si="13">V161+(V161*11%)</f>
        <v>4462.2</v>
      </c>
      <c r="V161" s="219">
        <v>4020</v>
      </c>
    </row>
    <row r="162" spans="1:22" ht="22.5" customHeight="1">
      <c r="A162" s="109"/>
      <c r="B162" s="109"/>
      <c r="C162" s="14">
        <v>57</v>
      </c>
      <c r="D162" s="131">
        <v>1002.001</v>
      </c>
      <c r="E162" s="132" t="s">
        <v>1275</v>
      </c>
      <c r="F162" s="14" t="s">
        <v>1279</v>
      </c>
      <c r="G162" s="14" t="s">
        <v>1279</v>
      </c>
      <c r="H162" s="14" t="s">
        <v>1280</v>
      </c>
      <c r="I162" s="14" t="s">
        <v>1280</v>
      </c>
      <c r="J162" s="133">
        <v>1</v>
      </c>
      <c r="K162" s="14" t="str">
        <f t="shared" si="12"/>
        <v>DISTRIBUTOR</v>
      </c>
      <c r="L162" s="14" t="s">
        <v>37</v>
      </c>
      <c r="M162" s="133">
        <v>1</v>
      </c>
      <c r="N162" s="14" t="str">
        <f t="shared" si="10"/>
        <v>In Carton</v>
      </c>
      <c r="O162" s="14" t="str">
        <f t="shared" si="11"/>
        <v>Carton</v>
      </c>
      <c r="P162" s="133">
        <f t="shared" si="7"/>
        <v>1</v>
      </c>
      <c r="Q162" s="14" t="str">
        <f t="shared" si="8"/>
        <v>large</v>
      </c>
      <c r="R162" s="14">
        <v>1</v>
      </c>
      <c r="S162" s="134">
        <f>1600*60</f>
        <v>96000</v>
      </c>
      <c r="T162" s="135">
        <f t="shared" si="9"/>
        <v>86486.486486486479</v>
      </c>
      <c r="U162" s="220">
        <v>78000</v>
      </c>
      <c r="V162" s="220">
        <f>T162-(T162*11%)</f>
        <v>76972.972972972959</v>
      </c>
    </row>
    <row r="163" spans="1:22" ht="22.5" customHeight="1">
      <c r="A163" s="109"/>
      <c r="B163" s="109"/>
      <c r="C163" s="14">
        <v>57</v>
      </c>
      <c r="D163" s="131">
        <v>1002.001</v>
      </c>
      <c r="E163" s="132" t="s">
        <v>1275</v>
      </c>
      <c r="F163" s="14" t="s">
        <v>1279</v>
      </c>
      <c r="G163" s="14" t="s">
        <v>1279</v>
      </c>
      <c r="H163" s="14" t="s">
        <v>1280</v>
      </c>
      <c r="I163" s="14" t="s">
        <v>1280</v>
      </c>
      <c r="J163" s="133">
        <v>1</v>
      </c>
      <c r="K163" s="14" t="str">
        <f t="shared" si="12"/>
        <v>DISTRIBUTOR</v>
      </c>
      <c r="L163" s="14" t="s">
        <v>37</v>
      </c>
      <c r="M163" s="133">
        <v>3</v>
      </c>
      <c r="N163" s="14" t="str">
        <f t="shared" si="10"/>
        <v>In Pack</v>
      </c>
      <c r="O163" s="14" t="str">
        <f t="shared" si="11"/>
        <v>Pack</v>
      </c>
      <c r="P163" s="133">
        <f t="shared" si="7"/>
        <v>2</v>
      </c>
      <c r="Q163" s="14">
        <f t="shared" si="8"/>
        <v>0</v>
      </c>
      <c r="R163" s="14">
        <v>60</v>
      </c>
      <c r="S163" s="134">
        <f>S162/60</f>
        <v>1600</v>
      </c>
      <c r="T163" s="135">
        <f t="shared" si="9"/>
        <v>1441.4414414414414</v>
      </c>
      <c r="U163" s="220">
        <v>7800</v>
      </c>
      <c r="V163" s="220">
        <v>7679</v>
      </c>
    </row>
    <row r="164" spans="1:22" ht="22.5" customHeight="1">
      <c r="A164" s="109"/>
      <c r="B164" s="109"/>
      <c r="C164" s="14">
        <v>57</v>
      </c>
      <c r="D164" s="131">
        <v>1002.001</v>
      </c>
      <c r="E164" s="132" t="s">
        <v>1275</v>
      </c>
      <c r="F164" s="14" t="s">
        <v>1279</v>
      </c>
      <c r="G164" s="14" t="s">
        <v>1279</v>
      </c>
      <c r="H164" s="14" t="s">
        <v>1280</v>
      </c>
      <c r="I164" s="14" t="s">
        <v>1280</v>
      </c>
      <c r="J164" s="133">
        <v>1</v>
      </c>
      <c r="K164" s="14" t="str">
        <f t="shared" si="12"/>
        <v>DISTRIBUTOR</v>
      </c>
      <c r="L164" s="14" t="s">
        <v>37</v>
      </c>
      <c r="M164" s="133">
        <v>9</v>
      </c>
      <c r="N164" s="14" t="str">
        <f t="shared" si="10"/>
        <v>In Pcs</v>
      </c>
      <c r="O164" s="14" t="str">
        <f t="shared" si="11"/>
        <v>Pcs</v>
      </c>
      <c r="P164" s="133">
        <f t="shared" si="7"/>
        <v>4</v>
      </c>
      <c r="Q164" s="14" t="str">
        <f t="shared" si="8"/>
        <v>small</v>
      </c>
      <c r="R164" s="14">
        <v>300</v>
      </c>
      <c r="S164" s="134">
        <f>S163/5</f>
        <v>320</v>
      </c>
      <c r="T164" s="135">
        <f t="shared" si="9"/>
        <v>288.28828828828824</v>
      </c>
      <c r="U164" s="220">
        <v>780</v>
      </c>
      <c r="V164" s="220">
        <v>256</v>
      </c>
    </row>
    <row r="165" spans="1:22" ht="22.5" customHeight="1">
      <c r="A165" s="109"/>
      <c r="B165" s="109"/>
      <c r="C165" s="14">
        <v>58</v>
      </c>
      <c r="D165" s="131">
        <v>1002.002</v>
      </c>
      <c r="E165" s="132" t="s">
        <v>1276</v>
      </c>
      <c r="F165" s="14" t="s">
        <v>1279</v>
      </c>
      <c r="G165" s="14" t="s">
        <v>1279</v>
      </c>
      <c r="H165" s="14" t="s">
        <v>1280</v>
      </c>
      <c r="I165" s="14" t="s">
        <v>1280</v>
      </c>
      <c r="J165" s="133">
        <v>1</v>
      </c>
      <c r="K165" s="14" t="str">
        <f t="shared" si="12"/>
        <v>DISTRIBUTOR</v>
      </c>
      <c r="L165" s="14" t="s">
        <v>37</v>
      </c>
      <c r="M165" s="133">
        <v>1</v>
      </c>
      <c r="N165" s="14" t="str">
        <f t="shared" si="10"/>
        <v>In Carton</v>
      </c>
      <c r="O165" s="14" t="str">
        <f t="shared" si="11"/>
        <v>Carton</v>
      </c>
      <c r="P165" s="133">
        <f t="shared" si="7"/>
        <v>1</v>
      </c>
      <c r="Q165" s="14" t="str">
        <f t="shared" si="8"/>
        <v>large</v>
      </c>
      <c r="R165" s="14">
        <v>1</v>
      </c>
      <c r="S165" s="134">
        <f>1600*60</f>
        <v>96000</v>
      </c>
      <c r="T165" s="135">
        <f t="shared" si="9"/>
        <v>86486.486486486479</v>
      </c>
      <c r="U165" s="220">
        <v>78000</v>
      </c>
      <c r="V165" s="220">
        <f>T165-(T165*11%)</f>
        <v>76972.972972972959</v>
      </c>
    </row>
    <row r="166" spans="1:22" ht="22.5" customHeight="1">
      <c r="A166" s="109"/>
      <c r="B166" s="109"/>
      <c r="C166" s="14">
        <v>58</v>
      </c>
      <c r="D166" s="131">
        <v>1002.002</v>
      </c>
      <c r="E166" s="132" t="s">
        <v>1276</v>
      </c>
      <c r="F166" s="14" t="s">
        <v>1279</v>
      </c>
      <c r="G166" s="14" t="s">
        <v>1279</v>
      </c>
      <c r="H166" s="14" t="s">
        <v>1280</v>
      </c>
      <c r="I166" s="14" t="s">
        <v>1280</v>
      </c>
      <c r="J166" s="133">
        <v>1</v>
      </c>
      <c r="K166" s="14" t="str">
        <f t="shared" si="12"/>
        <v>DISTRIBUTOR</v>
      </c>
      <c r="L166" s="14" t="s">
        <v>37</v>
      </c>
      <c r="M166" s="133">
        <v>3</v>
      </c>
      <c r="N166" s="14" t="str">
        <f t="shared" si="10"/>
        <v>In Pack</v>
      </c>
      <c r="O166" s="14" t="str">
        <f t="shared" si="11"/>
        <v>Pack</v>
      </c>
      <c r="P166" s="133">
        <f t="shared" si="7"/>
        <v>2</v>
      </c>
      <c r="Q166" s="14">
        <f t="shared" si="8"/>
        <v>0</v>
      </c>
      <c r="R166" s="14">
        <v>60</v>
      </c>
      <c r="S166" s="134">
        <f>S165/60</f>
        <v>1600</v>
      </c>
      <c r="T166" s="135">
        <f t="shared" si="9"/>
        <v>1441.4414414414414</v>
      </c>
      <c r="U166" s="220">
        <v>7800</v>
      </c>
      <c r="V166" s="220">
        <v>7679</v>
      </c>
    </row>
    <row r="167" spans="1:22" ht="22.5" customHeight="1">
      <c r="A167" s="109"/>
      <c r="B167" s="109"/>
      <c r="C167" s="14">
        <v>58</v>
      </c>
      <c r="D167" s="131">
        <v>1002.002</v>
      </c>
      <c r="E167" s="132" t="s">
        <v>1276</v>
      </c>
      <c r="F167" s="14" t="s">
        <v>1279</v>
      </c>
      <c r="G167" s="14" t="s">
        <v>1279</v>
      </c>
      <c r="H167" s="14" t="s">
        <v>1280</v>
      </c>
      <c r="I167" s="14" t="s">
        <v>1280</v>
      </c>
      <c r="J167" s="133">
        <v>1</v>
      </c>
      <c r="K167" s="14" t="str">
        <f t="shared" si="12"/>
        <v>DISTRIBUTOR</v>
      </c>
      <c r="L167" s="14" t="s">
        <v>37</v>
      </c>
      <c r="M167" s="133">
        <v>9</v>
      </c>
      <c r="N167" s="14" t="str">
        <f t="shared" si="10"/>
        <v>In Pcs</v>
      </c>
      <c r="O167" s="14" t="str">
        <f t="shared" si="11"/>
        <v>Pcs</v>
      </c>
      <c r="P167" s="133">
        <f t="shared" si="7"/>
        <v>4</v>
      </c>
      <c r="Q167" s="14" t="str">
        <f t="shared" si="8"/>
        <v>small</v>
      </c>
      <c r="R167" s="14">
        <v>300</v>
      </c>
      <c r="S167" s="134">
        <f>S166/5</f>
        <v>320</v>
      </c>
      <c r="T167" s="135">
        <f t="shared" si="9"/>
        <v>288.28828828828824</v>
      </c>
      <c r="U167" s="220">
        <v>780</v>
      </c>
      <c r="V167" s="220">
        <v>256</v>
      </c>
    </row>
    <row r="168" spans="1:22" ht="22.5" customHeight="1">
      <c r="A168" s="109"/>
      <c r="B168" s="109"/>
      <c r="C168" s="14">
        <v>59</v>
      </c>
      <c r="D168" s="131">
        <v>1002.003</v>
      </c>
      <c r="E168" s="132" t="s">
        <v>1277</v>
      </c>
      <c r="F168" s="14" t="s">
        <v>1279</v>
      </c>
      <c r="G168" s="14" t="s">
        <v>1279</v>
      </c>
      <c r="H168" s="14" t="s">
        <v>1280</v>
      </c>
      <c r="I168" s="14" t="s">
        <v>1280</v>
      </c>
      <c r="J168" s="133">
        <v>1</v>
      </c>
      <c r="K168" s="14" t="str">
        <f t="shared" si="12"/>
        <v>DISTRIBUTOR</v>
      </c>
      <c r="L168" s="14" t="s">
        <v>37</v>
      </c>
      <c r="M168" s="133">
        <v>1</v>
      </c>
      <c r="N168" s="14" t="str">
        <f t="shared" si="10"/>
        <v>In Carton</v>
      </c>
      <c r="O168" s="14" t="str">
        <f t="shared" si="11"/>
        <v>Carton</v>
      </c>
      <c r="P168" s="133">
        <f t="shared" si="7"/>
        <v>1</v>
      </c>
      <c r="Q168" s="14" t="str">
        <f t="shared" si="8"/>
        <v>large</v>
      </c>
      <c r="R168" s="14">
        <v>1</v>
      </c>
      <c r="S168" s="134">
        <f>30750*4</f>
        <v>123000</v>
      </c>
      <c r="T168" s="135">
        <f t="shared" si="9"/>
        <v>110810.8108108108</v>
      </c>
      <c r="U168" s="220">
        <v>100000</v>
      </c>
      <c r="V168" s="220">
        <f>U168-(U168*11%)</f>
        <v>89000</v>
      </c>
    </row>
    <row r="169" spans="1:22" ht="22.5" customHeight="1">
      <c r="A169" s="109"/>
      <c r="B169" s="109"/>
      <c r="C169" s="14">
        <v>59</v>
      </c>
      <c r="D169" s="131">
        <v>1002.003</v>
      </c>
      <c r="E169" s="132" t="s">
        <v>1277</v>
      </c>
      <c r="F169" s="14" t="s">
        <v>1279</v>
      </c>
      <c r="G169" s="14" t="s">
        <v>1279</v>
      </c>
      <c r="H169" s="14" t="s">
        <v>1280</v>
      </c>
      <c r="I169" s="14" t="s">
        <v>1280</v>
      </c>
      <c r="J169" s="133">
        <v>1</v>
      </c>
      <c r="K169" s="14" t="str">
        <f t="shared" si="12"/>
        <v>DISTRIBUTOR</v>
      </c>
      <c r="L169" s="14" t="s">
        <v>37</v>
      </c>
      <c r="M169" s="133">
        <v>3</v>
      </c>
      <c r="N169" s="14" t="str">
        <f t="shared" si="10"/>
        <v>In Pack</v>
      </c>
      <c r="O169" s="14" t="str">
        <f t="shared" si="11"/>
        <v>Pack</v>
      </c>
      <c r="P169" s="133">
        <f t="shared" si="7"/>
        <v>2</v>
      </c>
      <c r="Q169" s="14">
        <f t="shared" si="8"/>
        <v>0</v>
      </c>
      <c r="R169" s="14">
        <v>4</v>
      </c>
      <c r="S169" s="134">
        <f>S168/4</f>
        <v>30750</v>
      </c>
      <c r="T169" s="135">
        <f t="shared" si="9"/>
        <v>27702.7027027027</v>
      </c>
      <c r="U169" s="220">
        <v>25000</v>
      </c>
      <c r="V169" s="220">
        <v>22250</v>
      </c>
    </row>
    <row r="170" spans="1:22" ht="22.5" customHeight="1">
      <c r="A170" s="109"/>
      <c r="B170" s="109"/>
      <c r="C170" s="14">
        <v>59</v>
      </c>
      <c r="D170" s="131">
        <v>1002.003</v>
      </c>
      <c r="E170" s="132" t="s">
        <v>1277</v>
      </c>
      <c r="F170" s="14" t="s">
        <v>1279</v>
      </c>
      <c r="G170" s="14" t="s">
        <v>1279</v>
      </c>
      <c r="H170" s="14" t="s">
        <v>1280</v>
      </c>
      <c r="I170" s="14" t="s">
        <v>1280</v>
      </c>
      <c r="J170" s="133">
        <v>1</v>
      </c>
      <c r="K170" s="14" t="str">
        <f t="shared" si="12"/>
        <v>DISTRIBUTOR</v>
      </c>
      <c r="L170" s="14" t="s">
        <v>37</v>
      </c>
      <c r="M170" s="133">
        <v>9</v>
      </c>
      <c r="N170" s="14" t="str">
        <f t="shared" si="10"/>
        <v>In Pcs</v>
      </c>
      <c r="O170" s="14" t="str">
        <f t="shared" si="11"/>
        <v>Pcs</v>
      </c>
      <c r="P170" s="133">
        <f t="shared" si="7"/>
        <v>4</v>
      </c>
      <c r="Q170" s="14" t="str">
        <f t="shared" si="8"/>
        <v>small</v>
      </c>
      <c r="R170" s="14">
        <v>400</v>
      </c>
      <c r="S170" s="136">
        <f>S169/100</f>
        <v>307.5</v>
      </c>
      <c r="T170" s="135">
        <f t="shared" si="9"/>
        <v>277.02702702702697</v>
      </c>
      <c r="U170" s="220">
        <v>250</v>
      </c>
      <c r="V170" s="220">
        <v>222</v>
      </c>
    </row>
    <row r="171" spans="1:22" ht="22.5" customHeight="1">
      <c r="A171" s="109"/>
      <c r="B171" s="109"/>
      <c r="C171" s="14">
        <v>60</v>
      </c>
      <c r="D171" s="131">
        <v>1002.004</v>
      </c>
      <c r="E171" s="132" t="s">
        <v>1278</v>
      </c>
      <c r="F171" s="14" t="s">
        <v>1279</v>
      </c>
      <c r="G171" s="14" t="s">
        <v>1279</v>
      </c>
      <c r="H171" s="14" t="s">
        <v>1280</v>
      </c>
      <c r="I171" s="14" t="s">
        <v>1280</v>
      </c>
      <c r="J171" s="133">
        <v>1</v>
      </c>
      <c r="K171" s="14" t="str">
        <f t="shared" si="12"/>
        <v>DISTRIBUTOR</v>
      </c>
      <c r="L171" s="14" t="s">
        <v>37</v>
      </c>
      <c r="M171" s="133">
        <v>1</v>
      </c>
      <c r="N171" s="14" t="str">
        <f t="shared" si="10"/>
        <v>In Carton</v>
      </c>
      <c r="O171" s="14" t="str">
        <f t="shared" si="11"/>
        <v>Carton</v>
      </c>
      <c r="P171" s="133">
        <f t="shared" si="7"/>
        <v>1</v>
      </c>
      <c r="Q171" s="14" t="str">
        <f t="shared" si="8"/>
        <v>large</v>
      </c>
      <c r="R171" s="14">
        <v>1</v>
      </c>
      <c r="S171" s="134">
        <f>30750*4</f>
        <v>123000</v>
      </c>
      <c r="T171" s="135">
        <f t="shared" si="9"/>
        <v>110810.8108108108</v>
      </c>
      <c r="U171" s="220">
        <v>100000</v>
      </c>
      <c r="V171" s="220">
        <f>U171-(U171*11%)</f>
        <v>89000</v>
      </c>
    </row>
    <row r="172" spans="1:22" ht="22.5" customHeight="1">
      <c r="A172" s="109"/>
      <c r="B172" s="109"/>
      <c r="C172" s="14">
        <v>60</v>
      </c>
      <c r="D172" s="131">
        <v>1002.004</v>
      </c>
      <c r="E172" s="132" t="s">
        <v>1278</v>
      </c>
      <c r="F172" s="14" t="s">
        <v>1279</v>
      </c>
      <c r="G172" s="14" t="s">
        <v>1279</v>
      </c>
      <c r="H172" s="14" t="s">
        <v>1280</v>
      </c>
      <c r="I172" s="14" t="s">
        <v>1280</v>
      </c>
      <c r="J172" s="133">
        <v>1</v>
      </c>
      <c r="K172" s="14" t="str">
        <f t="shared" si="12"/>
        <v>DISTRIBUTOR</v>
      </c>
      <c r="L172" s="14" t="s">
        <v>37</v>
      </c>
      <c r="M172" s="133">
        <v>3</v>
      </c>
      <c r="N172" s="14" t="str">
        <f t="shared" si="10"/>
        <v>In Pack</v>
      </c>
      <c r="O172" s="14" t="str">
        <f t="shared" si="11"/>
        <v>Pack</v>
      </c>
      <c r="P172" s="133">
        <f t="shared" si="7"/>
        <v>2</v>
      </c>
      <c r="Q172" s="14">
        <f t="shared" si="8"/>
        <v>0</v>
      </c>
      <c r="R172" s="14">
        <v>4</v>
      </c>
      <c r="S172" s="134">
        <f>S171/4</f>
        <v>30750</v>
      </c>
      <c r="T172" s="135">
        <f t="shared" si="9"/>
        <v>27702.7027027027</v>
      </c>
      <c r="U172" s="220">
        <v>25000</v>
      </c>
      <c r="V172" s="220">
        <v>22250</v>
      </c>
    </row>
    <row r="173" spans="1:22" ht="22.5" customHeight="1">
      <c r="A173" s="109"/>
      <c r="B173" s="109"/>
      <c r="C173" s="14">
        <v>60</v>
      </c>
      <c r="D173" s="131">
        <v>1002.004</v>
      </c>
      <c r="E173" s="132" t="s">
        <v>1278</v>
      </c>
      <c r="F173" s="14" t="s">
        <v>1279</v>
      </c>
      <c r="G173" s="14" t="s">
        <v>1279</v>
      </c>
      <c r="H173" s="14" t="s">
        <v>1280</v>
      </c>
      <c r="I173" s="14" t="s">
        <v>1280</v>
      </c>
      <c r="J173" s="133">
        <v>1</v>
      </c>
      <c r="K173" s="14" t="str">
        <f t="shared" si="12"/>
        <v>DISTRIBUTOR</v>
      </c>
      <c r="L173" s="14" t="s">
        <v>37</v>
      </c>
      <c r="M173" s="133">
        <v>9</v>
      </c>
      <c r="N173" s="14" t="str">
        <f t="shared" si="10"/>
        <v>In Pcs</v>
      </c>
      <c r="O173" s="14" t="str">
        <f t="shared" si="11"/>
        <v>Pcs</v>
      </c>
      <c r="P173" s="133">
        <f t="shared" si="7"/>
        <v>4</v>
      </c>
      <c r="Q173" s="14" t="str">
        <f t="shared" si="8"/>
        <v>small</v>
      </c>
      <c r="R173" s="14">
        <v>400</v>
      </c>
      <c r="S173" s="136">
        <f>S172/100</f>
        <v>307.5</v>
      </c>
      <c r="T173" s="135">
        <f t="shared" si="9"/>
        <v>277.02702702702697</v>
      </c>
      <c r="U173" s="220">
        <v>250</v>
      </c>
      <c r="V173" s="220">
        <v>222</v>
      </c>
    </row>
    <row r="174" spans="1:22" ht="22.5" customHeight="1">
      <c r="A174" s="109"/>
      <c r="B174" s="109"/>
      <c r="C174" s="14">
        <v>61</v>
      </c>
      <c r="D174" s="137">
        <v>1002.021</v>
      </c>
      <c r="E174" s="138" t="s">
        <v>1281</v>
      </c>
      <c r="F174" s="14" t="s">
        <v>1279</v>
      </c>
      <c r="G174" s="14" t="s">
        <v>1279</v>
      </c>
      <c r="H174" s="14" t="s">
        <v>1280</v>
      </c>
      <c r="I174" s="14" t="s">
        <v>1280</v>
      </c>
      <c r="J174" s="133">
        <v>1</v>
      </c>
      <c r="K174" s="14" t="str">
        <f t="shared" si="12"/>
        <v>DISTRIBUTOR</v>
      </c>
      <c r="L174" s="14" t="s">
        <v>37</v>
      </c>
      <c r="M174" s="133">
        <v>1</v>
      </c>
      <c r="N174" s="14" t="str">
        <f t="shared" si="10"/>
        <v>In Carton</v>
      </c>
      <c r="O174" s="14" t="str">
        <f t="shared" si="11"/>
        <v>Carton</v>
      </c>
      <c r="P174" s="133">
        <f t="shared" si="7"/>
        <v>1</v>
      </c>
      <c r="Q174" s="14" t="str">
        <f t="shared" si="8"/>
        <v>large</v>
      </c>
      <c r="R174" s="14">
        <v>1</v>
      </c>
      <c r="S174" s="134">
        <f>9600*12</f>
        <v>115200</v>
      </c>
      <c r="T174" s="135">
        <f t="shared" si="9"/>
        <v>103783.78378378377</v>
      </c>
      <c r="U174" s="220">
        <v>93600</v>
      </c>
      <c r="V174" s="220">
        <f>U174-(U174*11%)</f>
        <v>83304</v>
      </c>
    </row>
    <row r="175" spans="1:22" ht="22.5" customHeight="1">
      <c r="A175" s="109"/>
      <c r="B175" s="109"/>
      <c r="C175" s="14">
        <v>61</v>
      </c>
      <c r="D175" s="137">
        <v>1002.021</v>
      </c>
      <c r="E175" s="138" t="s">
        <v>1281</v>
      </c>
      <c r="F175" s="14" t="s">
        <v>1279</v>
      </c>
      <c r="G175" s="14" t="s">
        <v>1279</v>
      </c>
      <c r="H175" s="14" t="s">
        <v>1280</v>
      </c>
      <c r="I175" s="14" t="s">
        <v>1280</v>
      </c>
      <c r="J175" s="133">
        <v>1</v>
      </c>
      <c r="K175" s="14" t="str">
        <f t="shared" si="12"/>
        <v>DISTRIBUTOR</v>
      </c>
      <c r="L175" s="14" t="s">
        <v>37</v>
      </c>
      <c r="M175" s="133">
        <v>3</v>
      </c>
      <c r="N175" s="14" t="str">
        <f t="shared" si="10"/>
        <v>In Pack</v>
      </c>
      <c r="O175" s="14" t="str">
        <f t="shared" si="11"/>
        <v>Pack</v>
      </c>
      <c r="P175" s="133">
        <f t="shared" si="7"/>
        <v>2</v>
      </c>
      <c r="Q175" s="14">
        <f t="shared" si="8"/>
        <v>0</v>
      </c>
      <c r="R175" s="14">
        <v>12</v>
      </c>
      <c r="S175" s="134">
        <f>S174/12</f>
        <v>9600</v>
      </c>
      <c r="T175" s="135">
        <f t="shared" si="9"/>
        <v>8648.6486486486483</v>
      </c>
      <c r="U175" s="220">
        <v>7800</v>
      </c>
      <c r="V175" s="220">
        <v>6942</v>
      </c>
    </row>
    <row r="176" spans="1:22" ht="22.5" customHeight="1">
      <c r="A176" s="109"/>
      <c r="B176" s="109"/>
      <c r="C176" s="14">
        <v>61</v>
      </c>
      <c r="D176" s="137">
        <v>1002.021</v>
      </c>
      <c r="E176" s="138" t="s">
        <v>1281</v>
      </c>
      <c r="F176" s="14" t="s">
        <v>1279</v>
      </c>
      <c r="G176" s="14" t="s">
        <v>1279</v>
      </c>
      <c r="H176" s="14" t="s">
        <v>1280</v>
      </c>
      <c r="I176" s="14" t="s">
        <v>1280</v>
      </c>
      <c r="J176" s="133">
        <v>1</v>
      </c>
      <c r="K176" s="14" t="str">
        <f t="shared" si="12"/>
        <v>DISTRIBUTOR</v>
      </c>
      <c r="L176" s="14" t="s">
        <v>37</v>
      </c>
      <c r="M176" s="133">
        <v>9</v>
      </c>
      <c r="N176" s="14" t="str">
        <f t="shared" si="10"/>
        <v>In Pcs</v>
      </c>
      <c r="O176" s="14" t="str">
        <f t="shared" si="11"/>
        <v>Pcs</v>
      </c>
      <c r="P176" s="133">
        <f t="shared" si="7"/>
        <v>4</v>
      </c>
      <c r="Q176" s="14" t="str">
        <f t="shared" si="8"/>
        <v>small</v>
      </c>
      <c r="R176" s="14">
        <v>144</v>
      </c>
      <c r="S176" s="134">
        <f>S175/12</f>
        <v>800</v>
      </c>
      <c r="T176" s="135">
        <f t="shared" si="9"/>
        <v>720.72072072072069</v>
      </c>
      <c r="U176" s="220">
        <v>650</v>
      </c>
      <c r="V176" s="220">
        <v>578</v>
      </c>
    </row>
    <row r="177" spans="1:22" ht="22.5" customHeight="1">
      <c r="A177" s="109"/>
      <c r="B177" s="109"/>
      <c r="C177" s="14">
        <v>62</v>
      </c>
      <c r="D177" s="214">
        <v>1002.005</v>
      </c>
      <c r="E177" s="139" t="s">
        <v>1442</v>
      </c>
      <c r="F177" s="14" t="s">
        <v>1279</v>
      </c>
      <c r="G177" s="14" t="s">
        <v>1279</v>
      </c>
      <c r="H177" s="14" t="s">
        <v>1280</v>
      </c>
      <c r="I177" s="14" t="s">
        <v>1280</v>
      </c>
      <c r="J177" s="133">
        <v>1</v>
      </c>
      <c r="K177" s="14" t="str">
        <f t="shared" si="12"/>
        <v>DISTRIBUTOR</v>
      </c>
      <c r="L177" s="14" t="s">
        <v>37</v>
      </c>
      <c r="M177" s="133">
        <v>1</v>
      </c>
      <c r="N177" s="14" t="str">
        <f t="shared" si="10"/>
        <v>In Carton</v>
      </c>
      <c r="O177" s="14" t="str">
        <f t="shared" si="11"/>
        <v>Carton</v>
      </c>
      <c r="P177" s="133">
        <f t="shared" si="7"/>
        <v>1</v>
      </c>
      <c r="Q177" s="14" t="str">
        <f t="shared" si="8"/>
        <v>large</v>
      </c>
      <c r="R177" s="14">
        <v>1</v>
      </c>
      <c r="S177" s="134">
        <f>16000*6</f>
        <v>96000</v>
      </c>
      <c r="T177" s="135">
        <f t="shared" si="9"/>
        <v>86486.486486486479</v>
      </c>
      <c r="U177" s="220">
        <v>78000</v>
      </c>
      <c r="V177" s="220">
        <f>U177-(U177*11%)</f>
        <v>69420</v>
      </c>
    </row>
    <row r="178" spans="1:22" ht="22.5" customHeight="1">
      <c r="A178" s="109"/>
      <c r="B178" s="109"/>
      <c r="C178" s="14">
        <v>62</v>
      </c>
      <c r="D178" s="214">
        <v>1002.005</v>
      </c>
      <c r="E178" s="139" t="s">
        <v>1442</v>
      </c>
      <c r="F178" s="14" t="s">
        <v>1279</v>
      </c>
      <c r="G178" s="14" t="s">
        <v>1279</v>
      </c>
      <c r="H178" s="14" t="s">
        <v>1280</v>
      </c>
      <c r="I178" s="14" t="s">
        <v>1280</v>
      </c>
      <c r="J178" s="133">
        <v>1</v>
      </c>
      <c r="K178" s="14" t="str">
        <f t="shared" si="12"/>
        <v>DISTRIBUTOR</v>
      </c>
      <c r="L178" s="14" t="s">
        <v>37</v>
      </c>
      <c r="M178" s="133">
        <v>3</v>
      </c>
      <c r="N178" s="14" t="str">
        <f t="shared" si="10"/>
        <v>In Pack</v>
      </c>
      <c r="O178" s="14" t="str">
        <f t="shared" si="11"/>
        <v>Pack</v>
      </c>
      <c r="P178" s="133">
        <f t="shared" si="7"/>
        <v>2</v>
      </c>
      <c r="Q178" s="14">
        <f t="shared" si="8"/>
        <v>0</v>
      </c>
      <c r="R178" s="14">
        <v>6</v>
      </c>
      <c r="S178" s="134">
        <f>S177/6</f>
        <v>16000</v>
      </c>
      <c r="T178" s="135">
        <f t="shared" si="9"/>
        <v>14414.414414414414</v>
      </c>
      <c r="U178" s="220">
        <v>13000</v>
      </c>
      <c r="V178" s="220">
        <v>11570</v>
      </c>
    </row>
    <row r="179" spans="1:22" ht="22.5" customHeight="1">
      <c r="A179" s="109"/>
      <c r="B179" s="109"/>
      <c r="C179" s="14">
        <v>62</v>
      </c>
      <c r="D179" s="214">
        <v>1002.005</v>
      </c>
      <c r="E179" s="139" t="s">
        <v>1442</v>
      </c>
      <c r="F179" s="14" t="s">
        <v>1279</v>
      </c>
      <c r="G179" s="14" t="s">
        <v>1279</v>
      </c>
      <c r="H179" s="14" t="s">
        <v>1280</v>
      </c>
      <c r="I179" s="14" t="s">
        <v>1280</v>
      </c>
      <c r="J179" s="133">
        <v>1</v>
      </c>
      <c r="K179" s="14" t="str">
        <f t="shared" si="12"/>
        <v>DISTRIBUTOR</v>
      </c>
      <c r="L179" s="14" t="s">
        <v>37</v>
      </c>
      <c r="M179" s="133">
        <v>9</v>
      </c>
      <c r="N179" s="14" t="str">
        <f t="shared" si="10"/>
        <v>In Pcs</v>
      </c>
      <c r="O179" s="14" t="str">
        <f t="shared" si="11"/>
        <v>Pcs</v>
      </c>
      <c r="P179" s="133">
        <f t="shared" si="7"/>
        <v>4</v>
      </c>
      <c r="Q179" s="14" t="str">
        <f t="shared" si="8"/>
        <v>small</v>
      </c>
      <c r="R179" s="14">
        <v>60</v>
      </c>
      <c r="S179" s="134">
        <f>S178/60</f>
        <v>266.66666666666669</v>
      </c>
      <c r="T179" s="135">
        <v>1414</v>
      </c>
      <c r="U179" s="220">
        <v>1300</v>
      </c>
      <c r="V179" s="220">
        <v>1157</v>
      </c>
    </row>
    <row r="180" spans="1:22" ht="22.5" customHeight="1">
      <c r="A180" s="109"/>
      <c r="B180" s="109"/>
      <c r="C180" s="14">
        <v>63</v>
      </c>
      <c r="D180" s="214">
        <v>1002.006</v>
      </c>
      <c r="E180" s="139" t="s">
        <v>1443</v>
      </c>
      <c r="F180" s="14" t="s">
        <v>1279</v>
      </c>
      <c r="G180" s="14" t="s">
        <v>1279</v>
      </c>
      <c r="H180" s="14" t="s">
        <v>1280</v>
      </c>
      <c r="I180" s="14" t="s">
        <v>1280</v>
      </c>
      <c r="J180" s="133">
        <v>1</v>
      </c>
      <c r="K180" s="14" t="str">
        <f t="shared" si="12"/>
        <v>DISTRIBUTOR</v>
      </c>
      <c r="L180" s="14" t="s">
        <v>37</v>
      </c>
      <c r="M180" s="133">
        <v>1</v>
      </c>
      <c r="N180" s="14" t="str">
        <f t="shared" si="10"/>
        <v>In Carton</v>
      </c>
      <c r="O180" s="14" t="str">
        <f t="shared" si="11"/>
        <v>Carton</v>
      </c>
      <c r="P180" s="133">
        <f t="shared" si="7"/>
        <v>1</v>
      </c>
      <c r="Q180" s="14" t="str">
        <f t="shared" si="8"/>
        <v>large</v>
      </c>
      <c r="R180" s="14">
        <v>1</v>
      </c>
      <c r="S180" s="134">
        <f>16000*6</f>
        <v>96000</v>
      </c>
      <c r="T180" s="135">
        <f t="shared" si="9"/>
        <v>86486.486486486479</v>
      </c>
      <c r="U180" s="220">
        <v>78000</v>
      </c>
      <c r="V180" s="220">
        <f>U180-(U180*11%)</f>
        <v>69420</v>
      </c>
    </row>
    <row r="181" spans="1:22" ht="22.5" customHeight="1">
      <c r="A181" s="109"/>
      <c r="B181" s="109"/>
      <c r="C181" s="14">
        <v>63</v>
      </c>
      <c r="D181" s="214">
        <v>1002.006</v>
      </c>
      <c r="E181" s="139" t="s">
        <v>1443</v>
      </c>
      <c r="F181" s="14" t="s">
        <v>1279</v>
      </c>
      <c r="G181" s="14" t="s">
        <v>1279</v>
      </c>
      <c r="H181" s="14" t="s">
        <v>1280</v>
      </c>
      <c r="I181" s="14" t="s">
        <v>1280</v>
      </c>
      <c r="J181" s="133">
        <v>1</v>
      </c>
      <c r="K181" s="14" t="str">
        <f t="shared" si="12"/>
        <v>DISTRIBUTOR</v>
      </c>
      <c r="L181" s="14" t="s">
        <v>37</v>
      </c>
      <c r="M181" s="133">
        <v>3</v>
      </c>
      <c r="N181" s="14" t="str">
        <f t="shared" si="10"/>
        <v>In Pack</v>
      </c>
      <c r="O181" s="14" t="str">
        <f t="shared" si="11"/>
        <v>Pack</v>
      </c>
      <c r="P181" s="133">
        <f t="shared" si="7"/>
        <v>2</v>
      </c>
      <c r="Q181" s="14">
        <f t="shared" si="8"/>
        <v>0</v>
      </c>
      <c r="R181" s="14">
        <v>6</v>
      </c>
      <c r="S181" s="134">
        <f>S180/6</f>
        <v>16000</v>
      </c>
      <c r="T181" s="135">
        <f t="shared" si="9"/>
        <v>14414.414414414414</v>
      </c>
      <c r="U181" s="220">
        <v>13000</v>
      </c>
      <c r="V181" s="220">
        <v>11570</v>
      </c>
    </row>
    <row r="182" spans="1:22" ht="22.5" customHeight="1">
      <c r="A182" s="109"/>
      <c r="B182" s="109"/>
      <c r="C182" s="14">
        <v>63</v>
      </c>
      <c r="D182" s="214">
        <v>1002.006</v>
      </c>
      <c r="E182" s="139" t="s">
        <v>1443</v>
      </c>
      <c r="F182" s="14" t="s">
        <v>1279</v>
      </c>
      <c r="G182" s="14" t="s">
        <v>1279</v>
      </c>
      <c r="H182" s="14" t="s">
        <v>1280</v>
      </c>
      <c r="I182" s="14" t="s">
        <v>1280</v>
      </c>
      <c r="J182" s="133">
        <v>1</v>
      </c>
      <c r="K182" s="14" t="str">
        <f t="shared" si="12"/>
        <v>DISTRIBUTOR</v>
      </c>
      <c r="L182" s="14" t="s">
        <v>37</v>
      </c>
      <c r="M182" s="133">
        <v>9</v>
      </c>
      <c r="N182" s="14" t="str">
        <f t="shared" si="10"/>
        <v>In Pcs</v>
      </c>
      <c r="O182" s="14" t="str">
        <f t="shared" si="11"/>
        <v>Pcs</v>
      </c>
      <c r="P182" s="133">
        <f t="shared" si="7"/>
        <v>4</v>
      </c>
      <c r="Q182" s="14" t="str">
        <f t="shared" si="8"/>
        <v>small</v>
      </c>
      <c r="R182" s="14">
        <v>60</v>
      </c>
      <c r="S182" s="134">
        <f>S181/60</f>
        <v>266.66666666666669</v>
      </c>
      <c r="T182" s="135">
        <v>1414</v>
      </c>
      <c r="U182" s="220">
        <v>1300</v>
      </c>
      <c r="V182" s="220">
        <v>1157</v>
      </c>
    </row>
    <row r="183" spans="1:22" ht="22.5" customHeight="1">
      <c r="A183" s="109"/>
      <c r="B183" s="109"/>
      <c r="C183" s="14">
        <v>64</v>
      </c>
      <c r="D183" s="214">
        <v>1002.008</v>
      </c>
      <c r="E183" s="139" t="s">
        <v>1444</v>
      </c>
      <c r="F183" s="14" t="s">
        <v>1279</v>
      </c>
      <c r="G183" s="14" t="s">
        <v>1279</v>
      </c>
      <c r="H183" s="14" t="s">
        <v>1280</v>
      </c>
      <c r="I183" s="14" t="s">
        <v>1280</v>
      </c>
      <c r="J183" s="133">
        <v>1</v>
      </c>
      <c r="K183" s="14" t="str">
        <f t="shared" si="12"/>
        <v>DISTRIBUTOR</v>
      </c>
      <c r="L183" s="14" t="s">
        <v>37</v>
      </c>
      <c r="M183" s="133">
        <v>1</v>
      </c>
      <c r="N183" s="14" t="str">
        <f t="shared" si="10"/>
        <v>In Carton</v>
      </c>
      <c r="O183" s="14" t="str">
        <f t="shared" si="11"/>
        <v>Carton</v>
      </c>
      <c r="P183" s="133">
        <f t="shared" si="7"/>
        <v>1</v>
      </c>
      <c r="Q183" s="14" t="str">
        <f t="shared" si="8"/>
        <v>large</v>
      </c>
      <c r="R183" s="14">
        <v>1</v>
      </c>
      <c r="S183" s="134">
        <f>16000*6</f>
        <v>96000</v>
      </c>
      <c r="T183" s="135">
        <f t="shared" si="9"/>
        <v>86486.486486486479</v>
      </c>
      <c r="U183" s="220">
        <v>78000</v>
      </c>
      <c r="V183" s="220">
        <f>U183-(U183*11%)</f>
        <v>69420</v>
      </c>
    </row>
    <row r="184" spans="1:22" ht="22.5" customHeight="1">
      <c r="A184" s="109"/>
      <c r="B184" s="109"/>
      <c r="C184" s="14">
        <v>64</v>
      </c>
      <c r="D184" s="214">
        <v>1002.008</v>
      </c>
      <c r="E184" s="139" t="s">
        <v>1444</v>
      </c>
      <c r="F184" s="14" t="s">
        <v>1279</v>
      </c>
      <c r="G184" s="14" t="s">
        <v>1279</v>
      </c>
      <c r="H184" s="14" t="s">
        <v>1280</v>
      </c>
      <c r="I184" s="14" t="s">
        <v>1280</v>
      </c>
      <c r="J184" s="133">
        <v>1</v>
      </c>
      <c r="K184" s="14" t="str">
        <f t="shared" si="12"/>
        <v>DISTRIBUTOR</v>
      </c>
      <c r="L184" s="14" t="s">
        <v>37</v>
      </c>
      <c r="M184" s="133">
        <v>3</v>
      </c>
      <c r="N184" s="14" t="str">
        <f t="shared" si="10"/>
        <v>In Pack</v>
      </c>
      <c r="O184" s="14" t="str">
        <f t="shared" si="11"/>
        <v>Pack</v>
      </c>
      <c r="P184" s="133">
        <f t="shared" si="7"/>
        <v>2</v>
      </c>
      <c r="Q184" s="14">
        <f t="shared" si="8"/>
        <v>0</v>
      </c>
      <c r="R184" s="14">
        <v>6</v>
      </c>
      <c r="S184" s="134">
        <f>S183/6</f>
        <v>16000</v>
      </c>
      <c r="T184" s="135">
        <f t="shared" si="9"/>
        <v>14414.414414414414</v>
      </c>
      <c r="U184" s="220">
        <v>13000</v>
      </c>
      <c r="V184" s="220">
        <v>11570</v>
      </c>
    </row>
    <row r="185" spans="1:22" ht="22.5" customHeight="1">
      <c r="A185" s="109"/>
      <c r="B185" s="109"/>
      <c r="C185" s="14">
        <v>64</v>
      </c>
      <c r="D185" s="214">
        <v>1002.008</v>
      </c>
      <c r="E185" s="139" t="s">
        <v>1444</v>
      </c>
      <c r="F185" s="14" t="s">
        <v>1279</v>
      </c>
      <c r="G185" s="14" t="s">
        <v>1279</v>
      </c>
      <c r="H185" s="14" t="s">
        <v>1280</v>
      </c>
      <c r="I185" s="14" t="s">
        <v>1280</v>
      </c>
      <c r="J185" s="133">
        <v>1</v>
      </c>
      <c r="K185" s="14" t="str">
        <f t="shared" si="12"/>
        <v>DISTRIBUTOR</v>
      </c>
      <c r="L185" s="14" t="s">
        <v>37</v>
      </c>
      <c r="M185" s="133">
        <v>9</v>
      </c>
      <c r="N185" s="14" t="str">
        <f t="shared" si="10"/>
        <v>In Pcs</v>
      </c>
      <c r="O185" s="14" t="str">
        <f t="shared" si="11"/>
        <v>Pcs</v>
      </c>
      <c r="P185" s="133">
        <f t="shared" si="7"/>
        <v>4</v>
      </c>
      <c r="Q185" s="14" t="str">
        <f t="shared" si="8"/>
        <v>small</v>
      </c>
      <c r="R185" s="14">
        <v>60</v>
      </c>
      <c r="S185" s="134">
        <f>S184/60</f>
        <v>266.66666666666669</v>
      </c>
      <c r="T185" s="135">
        <v>1414</v>
      </c>
      <c r="U185" s="220">
        <v>1300</v>
      </c>
      <c r="V185" s="220">
        <v>1157</v>
      </c>
    </row>
    <row r="186" spans="1:22" ht="22.5" customHeight="1">
      <c r="A186" s="109"/>
      <c r="B186" s="109"/>
      <c r="C186" s="14">
        <v>65</v>
      </c>
      <c r="D186" s="214">
        <v>1002.0069999999999</v>
      </c>
      <c r="E186" s="139" t="s">
        <v>1445</v>
      </c>
      <c r="F186" s="14" t="s">
        <v>1279</v>
      </c>
      <c r="G186" s="14" t="s">
        <v>1279</v>
      </c>
      <c r="H186" s="14" t="s">
        <v>1280</v>
      </c>
      <c r="I186" s="14" t="s">
        <v>1280</v>
      </c>
      <c r="J186" s="133">
        <v>1</v>
      </c>
      <c r="K186" s="14" t="str">
        <f t="shared" si="12"/>
        <v>DISTRIBUTOR</v>
      </c>
      <c r="L186" s="14" t="s">
        <v>37</v>
      </c>
      <c r="M186" s="133">
        <v>1</v>
      </c>
      <c r="N186" s="14" t="str">
        <f t="shared" si="10"/>
        <v>In Carton</v>
      </c>
      <c r="O186" s="14" t="str">
        <f t="shared" si="11"/>
        <v>Carton</v>
      </c>
      <c r="P186" s="133">
        <f t="shared" si="7"/>
        <v>1</v>
      </c>
      <c r="Q186" s="14" t="str">
        <f t="shared" si="8"/>
        <v>large</v>
      </c>
      <c r="R186" s="14">
        <v>1</v>
      </c>
      <c r="S186" s="134">
        <f>16000*6</f>
        <v>96000</v>
      </c>
      <c r="T186" s="135">
        <f t="shared" si="9"/>
        <v>86486.486486486479</v>
      </c>
      <c r="U186" s="220">
        <v>78000</v>
      </c>
      <c r="V186" s="220">
        <f>U186-(U186*11%)</f>
        <v>69420</v>
      </c>
    </row>
    <row r="187" spans="1:22" ht="22.5" customHeight="1">
      <c r="A187" s="109"/>
      <c r="B187" s="109"/>
      <c r="C187" s="14">
        <v>65</v>
      </c>
      <c r="D187" s="214">
        <v>1002.0069999999999</v>
      </c>
      <c r="E187" s="139" t="s">
        <v>1445</v>
      </c>
      <c r="F187" s="14" t="s">
        <v>1279</v>
      </c>
      <c r="G187" s="14" t="s">
        <v>1279</v>
      </c>
      <c r="H187" s="14" t="s">
        <v>1280</v>
      </c>
      <c r="I187" s="14" t="s">
        <v>1280</v>
      </c>
      <c r="J187" s="133">
        <v>1</v>
      </c>
      <c r="K187" s="14" t="str">
        <f t="shared" si="12"/>
        <v>DISTRIBUTOR</v>
      </c>
      <c r="L187" s="14" t="s">
        <v>37</v>
      </c>
      <c r="M187" s="133">
        <v>3</v>
      </c>
      <c r="N187" s="14" t="str">
        <f t="shared" si="10"/>
        <v>In Pack</v>
      </c>
      <c r="O187" s="14" t="str">
        <f t="shared" si="11"/>
        <v>Pack</v>
      </c>
      <c r="P187" s="133">
        <f t="shared" si="7"/>
        <v>2</v>
      </c>
      <c r="Q187" s="14">
        <f t="shared" si="8"/>
        <v>0</v>
      </c>
      <c r="R187" s="14">
        <v>6</v>
      </c>
      <c r="S187" s="134">
        <f>S186/6</f>
        <v>16000</v>
      </c>
      <c r="T187" s="135">
        <f t="shared" si="9"/>
        <v>14414.414414414414</v>
      </c>
      <c r="U187" s="220">
        <v>13000</v>
      </c>
      <c r="V187" s="220">
        <v>11570</v>
      </c>
    </row>
    <row r="188" spans="1:22" ht="22.5" customHeight="1">
      <c r="A188" s="109"/>
      <c r="B188" s="109"/>
      <c r="C188" s="14">
        <v>65</v>
      </c>
      <c r="D188" s="214">
        <v>1002.0069999999999</v>
      </c>
      <c r="E188" s="139" t="s">
        <v>1445</v>
      </c>
      <c r="F188" s="14" t="s">
        <v>1279</v>
      </c>
      <c r="G188" s="14" t="s">
        <v>1279</v>
      </c>
      <c r="H188" s="14" t="s">
        <v>1280</v>
      </c>
      <c r="I188" s="14" t="s">
        <v>1280</v>
      </c>
      <c r="J188" s="133">
        <v>1</v>
      </c>
      <c r="K188" s="14" t="str">
        <f t="shared" si="12"/>
        <v>DISTRIBUTOR</v>
      </c>
      <c r="L188" s="14" t="s">
        <v>37</v>
      </c>
      <c r="M188" s="133">
        <v>9</v>
      </c>
      <c r="N188" s="14" t="str">
        <f t="shared" si="10"/>
        <v>In Pcs</v>
      </c>
      <c r="O188" s="14" t="str">
        <f t="shared" si="11"/>
        <v>Pcs</v>
      </c>
      <c r="P188" s="133">
        <f t="shared" si="7"/>
        <v>4</v>
      </c>
      <c r="Q188" s="14" t="str">
        <f t="shared" si="8"/>
        <v>small</v>
      </c>
      <c r="R188" s="14">
        <v>60</v>
      </c>
      <c r="S188" s="134">
        <f>S187/60</f>
        <v>266.66666666666669</v>
      </c>
      <c r="T188" s="135">
        <v>1414</v>
      </c>
      <c r="U188" s="220">
        <v>1300</v>
      </c>
      <c r="V188" s="220">
        <v>1157</v>
      </c>
    </row>
    <row r="189" spans="1:22" ht="22.5" customHeight="1">
      <c r="A189" s="109"/>
      <c r="B189" s="109"/>
      <c r="C189" s="140">
        <v>66</v>
      </c>
      <c r="D189" s="140" t="s">
        <v>1282</v>
      </c>
      <c r="E189" s="140" t="s">
        <v>1283</v>
      </c>
      <c r="F189" s="140" t="s">
        <v>1284</v>
      </c>
      <c r="G189" s="140" t="s">
        <v>1284</v>
      </c>
      <c r="H189" s="140"/>
      <c r="I189" s="140" t="s">
        <v>1306</v>
      </c>
      <c r="J189" s="141">
        <v>2</v>
      </c>
      <c r="K189" s="140" t="str">
        <f t="shared" si="12"/>
        <v>SUB DISTRIBUTOR</v>
      </c>
      <c r="L189" s="140" t="s">
        <v>37</v>
      </c>
      <c r="M189" s="141">
        <v>1</v>
      </c>
      <c r="N189" s="140" t="str">
        <f t="shared" si="10"/>
        <v>In Carton</v>
      </c>
      <c r="O189" s="140" t="str">
        <f t="shared" si="11"/>
        <v>Carton</v>
      </c>
      <c r="P189" s="141">
        <f t="shared" si="7"/>
        <v>1</v>
      </c>
      <c r="Q189" s="140" t="str">
        <f t="shared" si="8"/>
        <v>large</v>
      </c>
      <c r="R189" s="140">
        <v>1</v>
      </c>
      <c r="S189" s="142">
        <v>168000</v>
      </c>
      <c r="T189" s="143">
        <f t="shared" si="9"/>
        <v>151351.35135135133</v>
      </c>
      <c r="U189" s="219">
        <v>162472</v>
      </c>
      <c r="V189" s="221">
        <f>U189-(U189*11%)</f>
        <v>144600.07999999999</v>
      </c>
    </row>
    <row r="190" spans="1:22" ht="22.5" customHeight="1">
      <c r="A190" s="109"/>
      <c r="B190" s="109"/>
      <c r="C190" s="140">
        <v>66</v>
      </c>
      <c r="D190" s="140" t="s">
        <v>1282</v>
      </c>
      <c r="E190" s="140" t="s">
        <v>1283</v>
      </c>
      <c r="F190" s="140" t="s">
        <v>1284</v>
      </c>
      <c r="G190" s="140" t="s">
        <v>1284</v>
      </c>
      <c r="H190" s="140"/>
      <c r="I190" s="140" t="s">
        <v>1306</v>
      </c>
      <c r="J190" s="141">
        <v>2</v>
      </c>
      <c r="K190" s="140" t="str">
        <f t="shared" si="12"/>
        <v>SUB DISTRIBUTOR</v>
      </c>
      <c r="L190" s="140" t="s">
        <v>37</v>
      </c>
      <c r="M190" s="141">
        <v>9</v>
      </c>
      <c r="N190" s="140" t="str">
        <f t="shared" si="10"/>
        <v>In Pcs</v>
      </c>
      <c r="O190" s="140" t="str">
        <f t="shared" si="11"/>
        <v>Pcs</v>
      </c>
      <c r="P190" s="141">
        <f t="shared" si="7"/>
        <v>4</v>
      </c>
      <c r="Q190" s="140" t="str">
        <f t="shared" si="8"/>
        <v>small</v>
      </c>
      <c r="R190" s="140">
        <v>24</v>
      </c>
      <c r="S190" s="142">
        <f>S189/24</f>
        <v>7000</v>
      </c>
      <c r="T190" s="143">
        <f t="shared" si="9"/>
        <v>6306.3063063063055</v>
      </c>
      <c r="U190" s="219">
        <v>6769</v>
      </c>
      <c r="V190" s="221">
        <f t="shared" ref="V190:V218" si="14">U190-(U190*11%)</f>
        <v>6024.41</v>
      </c>
    </row>
    <row r="191" spans="1:22" ht="22.5" customHeight="1">
      <c r="A191" s="109"/>
      <c r="B191" s="109"/>
      <c r="C191" s="140">
        <v>67</v>
      </c>
      <c r="D191" s="140" t="s">
        <v>1285</v>
      </c>
      <c r="E191" s="140" t="s">
        <v>1286</v>
      </c>
      <c r="F191" s="140" t="s">
        <v>1287</v>
      </c>
      <c r="G191" s="140" t="s">
        <v>1287</v>
      </c>
      <c r="H191" s="140"/>
      <c r="I191" s="140" t="s">
        <v>1306</v>
      </c>
      <c r="J191" s="141">
        <v>2</v>
      </c>
      <c r="K191" s="140" t="str">
        <f t="shared" si="12"/>
        <v>SUB DISTRIBUTOR</v>
      </c>
      <c r="L191" s="140" t="s">
        <v>37</v>
      </c>
      <c r="M191" s="141">
        <v>1</v>
      </c>
      <c r="N191" s="140" t="str">
        <f t="shared" si="10"/>
        <v>In Carton</v>
      </c>
      <c r="O191" s="140" t="str">
        <f t="shared" si="11"/>
        <v>Carton</v>
      </c>
      <c r="P191" s="141">
        <f t="shared" si="7"/>
        <v>1</v>
      </c>
      <c r="Q191" s="140" t="str">
        <f t="shared" si="8"/>
        <v>large</v>
      </c>
      <c r="R191" s="140">
        <v>1</v>
      </c>
      <c r="S191" s="142">
        <f>19200*6</f>
        <v>115200</v>
      </c>
      <c r="T191" s="143">
        <f t="shared" si="9"/>
        <v>103783.78378378377</v>
      </c>
      <c r="U191" s="219">
        <v>105984</v>
      </c>
      <c r="V191" s="221">
        <f t="shared" si="14"/>
        <v>94325.759999999995</v>
      </c>
    </row>
    <row r="192" spans="1:22" ht="22.5" customHeight="1">
      <c r="A192" s="109"/>
      <c r="B192" s="109"/>
      <c r="C192" s="140">
        <v>67</v>
      </c>
      <c r="D192" s="140" t="s">
        <v>1285</v>
      </c>
      <c r="E192" s="140" t="s">
        <v>1286</v>
      </c>
      <c r="F192" s="140" t="s">
        <v>1287</v>
      </c>
      <c r="G192" s="140" t="s">
        <v>1287</v>
      </c>
      <c r="H192" s="140"/>
      <c r="I192" s="140" t="s">
        <v>1306</v>
      </c>
      <c r="J192" s="141">
        <v>2</v>
      </c>
      <c r="K192" s="140" t="str">
        <f t="shared" si="12"/>
        <v>SUB DISTRIBUTOR</v>
      </c>
      <c r="L192" s="140" t="s">
        <v>37</v>
      </c>
      <c r="M192" s="141">
        <v>3</v>
      </c>
      <c r="N192" s="140" t="str">
        <f t="shared" si="10"/>
        <v>In Pack</v>
      </c>
      <c r="O192" s="140" t="str">
        <f t="shared" si="11"/>
        <v>Pack</v>
      </c>
      <c r="P192" s="141">
        <f t="shared" si="7"/>
        <v>2</v>
      </c>
      <c r="Q192" s="140">
        <f t="shared" si="8"/>
        <v>0</v>
      </c>
      <c r="R192" s="140">
        <v>6</v>
      </c>
      <c r="S192" s="142">
        <f>S191/6</f>
        <v>19200</v>
      </c>
      <c r="T192" s="143">
        <f t="shared" si="9"/>
        <v>17297.297297297297</v>
      </c>
      <c r="U192" s="219">
        <v>17664</v>
      </c>
      <c r="V192" s="221">
        <f t="shared" si="14"/>
        <v>15720.96</v>
      </c>
    </row>
    <row r="193" spans="1:22" ht="22.5" customHeight="1">
      <c r="A193" s="109"/>
      <c r="B193" s="109"/>
      <c r="C193" s="140">
        <v>68</v>
      </c>
      <c r="D193" s="140" t="s">
        <v>1285</v>
      </c>
      <c r="E193" s="140" t="s">
        <v>1286</v>
      </c>
      <c r="F193" s="140" t="s">
        <v>1287</v>
      </c>
      <c r="G193" s="140" t="s">
        <v>1287</v>
      </c>
      <c r="H193" s="140"/>
      <c r="I193" s="140" t="s">
        <v>1306</v>
      </c>
      <c r="J193" s="141">
        <v>2</v>
      </c>
      <c r="K193" s="140" t="str">
        <f t="shared" si="12"/>
        <v>SUB DISTRIBUTOR</v>
      </c>
      <c r="L193" s="140" t="s">
        <v>37</v>
      </c>
      <c r="M193" s="141">
        <v>9</v>
      </c>
      <c r="N193" s="140" t="str">
        <f t="shared" si="10"/>
        <v>In Pcs</v>
      </c>
      <c r="O193" s="140" t="str">
        <f t="shared" si="11"/>
        <v>Pcs</v>
      </c>
      <c r="P193" s="141">
        <f t="shared" si="7"/>
        <v>4</v>
      </c>
      <c r="Q193" s="140" t="str">
        <f t="shared" si="8"/>
        <v>small</v>
      </c>
      <c r="R193" s="140">
        <v>60</v>
      </c>
      <c r="S193" s="142">
        <f>S192/10</f>
        <v>1920</v>
      </c>
      <c r="T193" s="143">
        <f t="shared" si="9"/>
        <v>1729.7297297297296</v>
      </c>
      <c r="U193" s="219">
        <v>1764</v>
      </c>
      <c r="V193" s="221">
        <f t="shared" si="14"/>
        <v>1569.96</v>
      </c>
    </row>
    <row r="194" spans="1:22" ht="22.5" customHeight="1">
      <c r="A194" s="109"/>
      <c r="B194" s="109"/>
      <c r="C194" s="140">
        <v>69</v>
      </c>
      <c r="D194" s="140" t="s">
        <v>1288</v>
      </c>
      <c r="E194" s="140" t="s">
        <v>1289</v>
      </c>
      <c r="F194" s="140" t="s">
        <v>1287</v>
      </c>
      <c r="G194" s="140" t="s">
        <v>1287</v>
      </c>
      <c r="H194" s="140"/>
      <c r="I194" s="140" t="s">
        <v>1306</v>
      </c>
      <c r="J194" s="141">
        <v>2</v>
      </c>
      <c r="K194" s="140" t="str">
        <f t="shared" si="12"/>
        <v>SUB DISTRIBUTOR</v>
      </c>
      <c r="L194" s="140" t="s">
        <v>37</v>
      </c>
      <c r="M194" s="141">
        <v>1</v>
      </c>
      <c r="N194" s="140" t="str">
        <f t="shared" si="10"/>
        <v>In Carton</v>
      </c>
      <c r="O194" s="140" t="str">
        <f t="shared" si="11"/>
        <v>Carton</v>
      </c>
      <c r="P194" s="141">
        <f t="shared" si="7"/>
        <v>1</v>
      </c>
      <c r="Q194" s="140" t="str">
        <f t="shared" si="8"/>
        <v>large</v>
      </c>
      <c r="R194" s="140">
        <v>1</v>
      </c>
      <c r="S194" s="142">
        <f>19200*6</f>
        <v>115200</v>
      </c>
      <c r="T194" s="143">
        <f t="shared" si="9"/>
        <v>103783.78378378377</v>
      </c>
      <c r="U194" s="219">
        <v>105984</v>
      </c>
      <c r="V194" s="221">
        <f t="shared" si="14"/>
        <v>94325.759999999995</v>
      </c>
    </row>
    <row r="195" spans="1:22" ht="22.5" customHeight="1">
      <c r="A195" s="109"/>
      <c r="B195" s="109"/>
      <c r="C195" s="140">
        <v>69</v>
      </c>
      <c r="D195" s="140" t="s">
        <v>1288</v>
      </c>
      <c r="E195" s="140" t="s">
        <v>1289</v>
      </c>
      <c r="F195" s="140" t="s">
        <v>1287</v>
      </c>
      <c r="G195" s="140" t="s">
        <v>1287</v>
      </c>
      <c r="H195" s="140"/>
      <c r="I195" s="140" t="s">
        <v>1306</v>
      </c>
      <c r="J195" s="141">
        <v>2</v>
      </c>
      <c r="K195" s="140" t="str">
        <f t="shared" si="12"/>
        <v>SUB DISTRIBUTOR</v>
      </c>
      <c r="L195" s="140" t="s">
        <v>37</v>
      </c>
      <c r="M195" s="141">
        <v>3</v>
      </c>
      <c r="N195" s="140" t="str">
        <f t="shared" si="10"/>
        <v>In Pack</v>
      </c>
      <c r="O195" s="140" t="str">
        <f t="shared" si="11"/>
        <v>Pack</v>
      </c>
      <c r="P195" s="141">
        <f t="shared" si="7"/>
        <v>2</v>
      </c>
      <c r="Q195" s="140">
        <f t="shared" si="8"/>
        <v>0</v>
      </c>
      <c r="R195" s="140">
        <v>6</v>
      </c>
      <c r="S195" s="142">
        <f>S194/6</f>
        <v>19200</v>
      </c>
      <c r="T195" s="143">
        <f t="shared" si="9"/>
        <v>17297.297297297297</v>
      </c>
      <c r="U195" s="219">
        <v>17664</v>
      </c>
      <c r="V195" s="221">
        <f t="shared" si="14"/>
        <v>15720.96</v>
      </c>
    </row>
    <row r="196" spans="1:22" ht="22.5" customHeight="1">
      <c r="A196" s="109"/>
      <c r="B196" s="109"/>
      <c r="C196" s="140">
        <v>69</v>
      </c>
      <c r="D196" s="140" t="s">
        <v>1288</v>
      </c>
      <c r="E196" s="140" t="s">
        <v>1289</v>
      </c>
      <c r="F196" s="140" t="s">
        <v>1287</v>
      </c>
      <c r="G196" s="140" t="s">
        <v>1287</v>
      </c>
      <c r="H196" s="140"/>
      <c r="I196" s="140" t="s">
        <v>1306</v>
      </c>
      <c r="J196" s="141">
        <v>2</v>
      </c>
      <c r="K196" s="140" t="str">
        <f t="shared" si="12"/>
        <v>SUB DISTRIBUTOR</v>
      </c>
      <c r="L196" s="140" t="s">
        <v>37</v>
      </c>
      <c r="M196" s="141">
        <v>9</v>
      </c>
      <c r="N196" s="140" t="str">
        <f t="shared" si="10"/>
        <v>In Pcs</v>
      </c>
      <c r="O196" s="140" t="str">
        <f t="shared" si="11"/>
        <v>Pcs</v>
      </c>
      <c r="P196" s="141">
        <f t="shared" si="7"/>
        <v>4</v>
      </c>
      <c r="Q196" s="140" t="str">
        <f t="shared" si="8"/>
        <v>small</v>
      </c>
      <c r="R196" s="140">
        <v>60</v>
      </c>
      <c r="S196" s="142">
        <f>S195/10</f>
        <v>1920</v>
      </c>
      <c r="T196" s="143">
        <f t="shared" si="9"/>
        <v>1729.7297297297296</v>
      </c>
      <c r="U196" s="219">
        <v>1764</v>
      </c>
      <c r="V196" s="221">
        <f t="shared" si="14"/>
        <v>1569.96</v>
      </c>
    </row>
    <row r="197" spans="1:22" ht="22.5" customHeight="1">
      <c r="A197" s="109"/>
      <c r="B197" s="109"/>
      <c r="C197" s="140">
        <v>70</v>
      </c>
      <c r="D197" s="140" t="s">
        <v>1290</v>
      </c>
      <c r="E197" s="140" t="s">
        <v>1291</v>
      </c>
      <c r="F197" s="140" t="s">
        <v>1287</v>
      </c>
      <c r="G197" s="140" t="s">
        <v>1287</v>
      </c>
      <c r="H197" s="140"/>
      <c r="I197" s="140" t="s">
        <v>1306</v>
      </c>
      <c r="J197" s="141">
        <v>2</v>
      </c>
      <c r="K197" s="140" t="str">
        <f t="shared" si="12"/>
        <v>SUB DISTRIBUTOR</v>
      </c>
      <c r="L197" s="140" t="s">
        <v>37</v>
      </c>
      <c r="M197" s="141">
        <v>1</v>
      </c>
      <c r="N197" s="140" t="str">
        <f t="shared" si="10"/>
        <v>In Carton</v>
      </c>
      <c r="O197" s="140" t="str">
        <f t="shared" si="11"/>
        <v>Carton</v>
      </c>
      <c r="P197" s="141">
        <f t="shared" si="7"/>
        <v>1</v>
      </c>
      <c r="Q197" s="140" t="str">
        <f t="shared" si="8"/>
        <v>large</v>
      </c>
      <c r="R197" s="140">
        <v>1</v>
      </c>
      <c r="S197" s="142">
        <f>14070*20</f>
        <v>281400</v>
      </c>
      <c r="T197" s="143">
        <f t="shared" si="9"/>
        <v>253513.51351351349</v>
      </c>
      <c r="U197" s="221">
        <v>258897</v>
      </c>
      <c r="V197" s="221">
        <f t="shared" si="14"/>
        <v>230418.33</v>
      </c>
    </row>
    <row r="198" spans="1:22" ht="22.5" customHeight="1">
      <c r="A198" s="109"/>
      <c r="B198" s="109"/>
      <c r="C198" s="140">
        <v>70</v>
      </c>
      <c r="D198" s="140" t="s">
        <v>1290</v>
      </c>
      <c r="E198" s="140" t="s">
        <v>1291</v>
      </c>
      <c r="F198" s="140" t="s">
        <v>1287</v>
      </c>
      <c r="G198" s="140" t="s">
        <v>1287</v>
      </c>
      <c r="H198" s="140"/>
      <c r="I198" s="140" t="s">
        <v>1306</v>
      </c>
      <c r="J198" s="141">
        <v>2</v>
      </c>
      <c r="K198" s="140" t="str">
        <f t="shared" si="12"/>
        <v>SUB DISTRIBUTOR</v>
      </c>
      <c r="L198" s="140" t="s">
        <v>37</v>
      </c>
      <c r="M198" s="141">
        <v>3</v>
      </c>
      <c r="N198" s="140" t="str">
        <f t="shared" si="10"/>
        <v>In Pack</v>
      </c>
      <c r="O198" s="140" t="str">
        <f t="shared" si="11"/>
        <v>Pack</v>
      </c>
      <c r="P198" s="141">
        <f t="shared" si="7"/>
        <v>2</v>
      </c>
      <c r="Q198" s="140">
        <f t="shared" si="8"/>
        <v>0</v>
      </c>
      <c r="R198" s="140">
        <v>20</v>
      </c>
      <c r="S198" s="142">
        <f>S197/20</f>
        <v>14070</v>
      </c>
      <c r="T198" s="143">
        <f t="shared" si="9"/>
        <v>12675.675675675675</v>
      </c>
      <c r="U198" s="221">
        <v>12944</v>
      </c>
      <c r="V198" s="221">
        <f t="shared" si="14"/>
        <v>11520.16</v>
      </c>
    </row>
    <row r="199" spans="1:22" ht="22.5" customHeight="1">
      <c r="A199" s="109"/>
      <c r="B199" s="109"/>
      <c r="C199" s="140">
        <v>70</v>
      </c>
      <c r="D199" s="140" t="s">
        <v>1292</v>
      </c>
      <c r="E199" s="140" t="s">
        <v>1293</v>
      </c>
      <c r="F199" s="140" t="s">
        <v>1287</v>
      </c>
      <c r="G199" s="140" t="s">
        <v>1287</v>
      </c>
      <c r="H199" s="140"/>
      <c r="I199" s="140" t="s">
        <v>1306</v>
      </c>
      <c r="J199" s="141">
        <v>2</v>
      </c>
      <c r="K199" s="140" t="str">
        <f t="shared" si="12"/>
        <v>SUB DISTRIBUTOR</v>
      </c>
      <c r="L199" s="140" t="s">
        <v>37</v>
      </c>
      <c r="M199" s="141">
        <v>1</v>
      </c>
      <c r="N199" s="140" t="str">
        <f t="shared" si="10"/>
        <v>In Carton</v>
      </c>
      <c r="O199" s="140" t="str">
        <f t="shared" si="11"/>
        <v>Carton</v>
      </c>
      <c r="P199" s="141">
        <f t="shared" si="7"/>
        <v>1</v>
      </c>
      <c r="Q199" s="140" t="str">
        <f t="shared" si="8"/>
        <v>large</v>
      </c>
      <c r="R199" s="140">
        <v>1</v>
      </c>
      <c r="S199" s="142">
        <f>18725*20</f>
        <v>374500</v>
      </c>
      <c r="T199" s="143">
        <f t="shared" si="9"/>
        <v>337387.38738738734</v>
      </c>
      <c r="U199" s="221">
        <v>344540</v>
      </c>
      <c r="V199" s="221">
        <f t="shared" si="14"/>
        <v>306640.59999999998</v>
      </c>
    </row>
    <row r="200" spans="1:22" ht="22.5" customHeight="1">
      <c r="A200" s="109"/>
      <c r="B200" s="109"/>
      <c r="C200" s="140">
        <v>70</v>
      </c>
      <c r="D200" s="140" t="s">
        <v>1292</v>
      </c>
      <c r="E200" s="140" t="s">
        <v>1293</v>
      </c>
      <c r="F200" s="140" t="s">
        <v>1287</v>
      </c>
      <c r="G200" s="140" t="s">
        <v>1287</v>
      </c>
      <c r="H200" s="140"/>
      <c r="I200" s="140" t="s">
        <v>1306</v>
      </c>
      <c r="J200" s="141">
        <v>2</v>
      </c>
      <c r="K200" s="140" t="str">
        <f t="shared" si="12"/>
        <v>SUB DISTRIBUTOR</v>
      </c>
      <c r="L200" s="140" t="s">
        <v>37</v>
      </c>
      <c r="M200" s="141">
        <v>3</v>
      </c>
      <c r="N200" s="140" t="str">
        <f t="shared" si="10"/>
        <v>In Pack</v>
      </c>
      <c r="O200" s="140" t="str">
        <f t="shared" si="11"/>
        <v>Pack</v>
      </c>
      <c r="P200" s="141">
        <f t="shared" si="7"/>
        <v>2</v>
      </c>
      <c r="Q200" s="140">
        <f t="shared" si="8"/>
        <v>0</v>
      </c>
      <c r="R200" s="140">
        <v>20</v>
      </c>
      <c r="S200" s="142">
        <f>S199/20</f>
        <v>18725</v>
      </c>
      <c r="T200" s="143">
        <f t="shared" si="9"/>
        <v>16869.369369369368</v>
      </c>
      <c r="U200" s="221">
        <v>17227</v>
      </c>
      <c r="V200" s="221">
        <f t="shared" si="14"/>
        <v>15332.03</v>
      </c>
    </row>
    <row r="201" spans="1:22" ht="22.5" customHeight="1">
      <c r="A201" s="109"/>
      <c r="B201" s="109"/>
      <c r="C201" s="140">
        <v>71</v>
      </c>
      <c r="D201" s="140" t="s">
        <v>1294</v>
      </c>
      <c r="E201" s="140" t="s">
        <v>1295</v>
      </c>
      <c r="F201" s="140" t="s">
        <v>1287</v>
      </c>
      <c r="G201" s="140" t="s">
        <v>1287</v>
      </c>
      <c r="H201" s="140"/>
      <c r="I201" s="140" t="s">
        <v>1306</v>
      </c>
      <c r="J201" s="141">
        <v>2</v>
      </c>
      <c r="K201" s="140" t="str">
        <f t="shared" si="12"/>
        <v>SUB DISTRIBUTOR</v>
      </c>
      <c r="L201" s="140" t="s">
        <v>37</v>
      </c>
      <c r="M201" s="141">
        <v>1</v>
      </c>
      <c r="N201" s="140" t="str">
        <f t="shared" si="10"/>
        <v>In Carton</v>
      </c>
      <c r="O201" s="140" t="str">
        <f t="shared" si="11"/>
        <v>Carton</v>
      </c>
      <c r="P201" s="141">
        <f t="shared" si="7"/>
        <v>1</v>
      </c>
      <c r="Q201" s="140" t="str">
        <f t="shared" si="8"/>
        <v>large</v>
      </c>
      <c r="R201" s="140">
        <v>1</v>
      </c>
      <c r="S201" s="142">
        <f>32956*4</f>
        <v>131824</v>
      </c>
      <c r="T201" s="143">
        <f t="shared" si="9"/>
        <v>118760.36036036036</v>
      </c>
      <c r="U201" s="221">
        <v>121278</v>
      </c>
      <c r="V201" s="221">
        <f t="shared" si="14"/>
        <v>107937.42</v>
      </c>
    </row>
    <row r="202" spans="1:22" ht="22.5" customHeight="1">
      <c r="A202" s="109"/>
      <c r="B202" s="109"/>
      <c r="C202" s="140">
        <v>71</v>
      </c>
      <c r="D202" s="140" t="s">
        <v>1294</v>
      </c>
      <c r="E202" s="140" t="s">
        <v>1295</v>
      </c>
      <c r="F202" s="140" t="s">
        <v>1287</v>
      </c>
      <c r="G202" s="140" t="s">
        <v>1287</v>
      </c>
      <c r="H202" s="140"/>
      <c r="I202" s="140" t="s">
        <v>1306</v>
      </c>
      <c r="J202" s="141">
        <v>2</v>
      </c>
      <c r="K202" s="140" t="str">
        <f t="shared" si="12"/>
        <v>SUB DISTRIBUTOR</v>
      </c>
      <c r="L202" s="140" t="s">
        <v>37</v>
      </c>
      <c r="M202" s="141">
        <v>3</v>
      </c>
      <c r="N202" s="140" t="str">
        <f t="shared" si="10"/>
        <v>In Pack</v>
      </c>
      <c r="O202" s="140" t="str">
        <f t="shared" si="11"/>
        <v>Pack</v>
      </c>
      <c r="P202" s="141">
        <f t="shared" si="7"/>
        <v>2</v>
      </c>
      <c r="Q202" s="140">
        <f t="shared" si="8"/>
        <v>0</v>
      </c>
      <c r="R202" s="140">
        <v>4</v>
      </c>
      <c r="S202" s="142">
        <f>S201/4</f>
        <v>32956</v>
      </c>
      <c r="T202" s="143">
        <f t="shared" si="9"/>
        <v>29690.090090090089</v>
      </c>
      <c r="U202" s="221">
        <v>30319</v>
      </c>
      <c r="V202" s="221">
        <f t="shared" si="14"/>
        <v>26983.91</v>
      </c>
    </row>
    <row r="203" spans="1:22" ht="22.5" customHeight="1">
      <c r="A203" s="109"/>
      <c r="B203" s="109"/>
      <c r="C203" s="140">
        <v>71</v>
      </c>
      <c r="D203" s="140" t="s">
        <v>1294</v>
      </c>
      <c r="E203" s="140" t="s">
        <v>1295</v>
      </c>
      <c r="F203" s="140" t="s">
        <v>1287</v>
      </c>
      <c r="G203" s="140" t="s">
        <v>1287</v>
      </c>
      <c r="H203" s="140"/>
      <c r="I203" s="140" t="s">
        <v>1306</v>
      </c>
      <c r="J203" s="141">
        <v>2</v>
      </c>
      <c r="K203" s="140" t="str">
        <f t="shared" si="12"/>
        <v>SUB DISTRIBUTOR</v>
      </c>
      <c r="L203" s="140" t="s">
        <v>37</v>
      </c>
      <c r="M203" s="141">
        <v>9</v>
      </c>
      <c r="N203" s="140" t="str">
        <f t="shared" si="10"/>
        <v>In Pcs</v>
      </c>
      <c r="O203" s="140" t="str">
        <f t="shared" si="11"/>
        <v>Pcs</v>
      </c>
      <c r="P203" s="141">
        <f t="shared" si="7"/>
        <v>4</v>
      </c>
      <c r="Q203" s="140" t="str">
        <f t="shared" si="8"/>
        <v>small</v>
      </c>
      <c r="R203" s="140">
        <v>32</v>
      </c>
      <c r="S203" s="142">
        <f>S202/8</f>
        <v>4119.5</v>
      </c>
      <c r="T203" s="143">
        <f t="shared" si="9"/>
        <v>3711.2612612612611</v>
      </c>
      <c r="U203" s="221">
        <v>3789</v>
      </c>
      <c r="V203" s="221">
        <f t="shared" si="14"/>
        <v>3372.21</v>
      </c>
    </row>
    <row r="204" spans="1:22" ht="22.5" customHeight="1">
      <c r="A204" s="109"/>
      <c r="B204" s="109"/>
      <c r="C204" s="140">
        <v>72</v>
      </c>
      <c r="D204" s="140" t="s">
        <v>1296</v>
      </c>
      <c r="E204" s="140" t="s">
        <v>1297</v>
      </c>
      <c r="F204" s="140" t="s">
        <v>1287</v>
      </c>
      <c r="G204" s="140" t="s">
        <v>1287</v>
      </c>
      <c r="H204" s="140"/>
      <c r="I204" s="140" t="s">
        <v>1306</v>
      </c>
      <c r="J204" s="141">
        <v>2</v>
      </c>
      <c r="K204" s="140" t="str">
        <f t="shared" si="12"/>
        <v>SUB DISTRIBUTOR</v>
      </c>
      <c r="L204" s="140" t="s">
        <v>37</v>
      </c>
      <c r="M204" s="141">
        <v>1</v>
      </c>
      <c r="N204" s="140" t="str">
        <f t="shared" si="10"/>
        <v>In Carton</v>
      </c>
      <c r="O204" s="140" t="str">
        <f t="shared" si="11"/>
        <v>Carton</v>
      </c>
      <c r="P204" s="141">
        <f t="shared" si="7"/>
        <v>1</v>
      </c>
      <c r="Q204" s="140" t="str">
        <f t="shared" si="8"/>
        <v>large</v>
      </c>
      <c r="R204" s="140">
        <v>1</v>
      </c>
      <c r="S204" s="142">
        <f>32956*4</f>
        <v>131824</v>
      </c>
      <c r="T204" s="143">
        <f t="shared" si="9"/>
        <v>118760.36036036036</v>
      </c>
      <c r="U204" s="221">
        <v>121278</v>
      </c>
      <c r="V204" s="221">
        <f t="shared" si="14"/>
        <v>107937.42</v>
      </c>
    </row>
    <row r="205" spans="1:22" ht="22.5" customHeight="1">
      <c r="A205" s="109"/>
      <c r="B205" s="109"/>
      <c r="C205" s="140">
        <v>72</v>
      </c>
      <c r="D205" s="140" t="s">
        <v>1296</v>
      </c>
      <c r="E205" s="140" t="s">
        <v>1297</v>
      </c>
      <c r="F205" s="140" t="s">
        <v>1287</v>
      </c>
      <c r="G205" s="140" t="s">
        <v>1287</v>
      </c>
      <c r="H205" s="140"/>
      <c r="I205" s="140" t="s">
        <v>1306</v>
      </c>
      <c r="J205" s="141">
        <v>2</v>
      </c>
      <c r="K205" s="140" t="str">
        <f t="shared" si="12"/>
        <v>SUB DISTRIBUTOR</v>
      </c>
      <c r="L205" s="140" t="s">
        <v>37</v>
      </c>
      <c r="M205" s="141">
        <v>3</v>
      </c>
      <c r="N205" s="140" t="str">
        <f t="shared" si="10"/>
        <v>In Pack</v>
      </c>
      <c r="O205" s="140" t="str">
        <f t="shared" si="11"/>
        <v>Pack</v>
      </c>
      <c r="P205" s="141">
        <f t="shared" si="7"/>
        <v>2</v>
      </c>
      <c r="Q205" s="140">
        <f t="shared" si="8"/>
        <v>0</v>
      </c>
      <c r="R205" s="140">
        <v>4</v>
      </c>
      <c r="S205" s="142">
        <f>S204/4</f>
        <v>32956</v>
      </c>
      <c r="T205" s="143">
        <f t="shared" si="9"/>
        <v>29690.090090090089</v>
      </c>
      <c r="U205" s="221">
        <v>30319</v>
      </c>
      <c r="V205" s="221">
        <f t="shared" si="14"/>
        <v>26983.91</v>
      </c>
    </row>
    <row r="206" spans="1:22" ht="22.5" customHeight="1">
      <c r="A206" s="109"/>
      <c r="B206" s="109"/>
      <c r="C206" s="140">
        <v>72</v>
      </c>
      <c r="D206" s="140" t="s">
        <v>1296</v>
      </c>
      <c r="E206" s="140" t="s">
        <v>1297</v>
      </c>
      <c r="F206" s="140" t="s">
        <v>1287</v>
      </c>
      <c r="G206" s="140" t="s">
        <v>1287</v>
      </c>
      <c r="H206" s="140"/>
      <c r="I206" s="140" t="s">
        <v>1306</v>
      </c>
      <c r="J206" s="141">
        <v>2</v>
      </c>
      <c r="K206" s="140" t="str">
        <f t="shared" si="12"/>
        <v>SUB DISTRIBUTOR</v>
      </c>
      <c r="L206" s="140" t="s">
        <v>37</v>
      </c>
      <c r="M206" s="141">
        <v>9</v>
      </c>
      <c r="N206" s="140" t="str">
        <f t="shared" si="10"/>
        <v>In Pcs</v>
      </c>
      <c r="O206" s="140" t="str">
        <f t="shared" si="11"/>
        <v>Pcs</v>
      </c>
      <c r="P206" s="141">
        <f t="shared" si="7"/>
        <v>4</v>
      </c>
      <c r="Q206" s="140" t="str">
        <f t="shared" si="8"/>
        <v>small</v>
      </c>
      <c r="R206" s="140">
        <v>32</v>
      </c>
      <c r="S206" s="142">
        <f>S205/8</f>
        <v>4119.5</v>
      </c>
      <c r="T206" s="143">
        <f t="shared" si="9"/>
        <v>3711.2612612612611</v>
      </c>
      <c r="U206" s="221">
        <v>3789</v>
      </c>
      <c r="V206" s="221">
        <f t="shared" si="14"/>
        <v>3372.21</v>
      </c>
    </row>
    <row r="207" spans="1:22" ht="22.5" customHeight="1">
      <c r="A207" s="109"/>
      <c r="B207" s="109"/>
      <c r="C207" s="140">
        <v>73</v>
      </c>
      <c r="D207" s="140" t="s">
        <v>1298</v>
      </c>
      <c r="E207" s="140" t="s">
        <v>1299</v>
      </c>
      <c r="F207" s="140" t="s">
        <v>1287</v>
      </c>
      <c r="G207" s="140" t="s">
        <v>1287</v>
      </c>
      <c r="H207" s="140"/>
      <c r="I207" s="140" t="s">
        <v>1306</v>
      </c>
      <c r="J207" s="141">
        <v>2</v>
      </c>
      <c r="K207" s="140" t="str">
        <f t="shared" si="12"/>
        <v>SUB DISTRIBUTOR</v>
      </c>
      <c r="L207" s="140" t="s">
        <v>37</v>
      </c>
      <c r="M207" s="141">
        <v>1</v>
      </c>
      <c r="N207" s="140" t="str">
        <f t="shared" si="10"/>
        <v>In Carton</v>
      </c>
      <c r="O207" s="140" t="str">
        <f t="shared" si="11"/>
        <v>Carton</v>
      </c>
      <c r="P207" s="141">
        <f t="shared" si="7"/>
        <v>1</v>
      </c>
      <c r="Q207" s="140" t="str">
        <f t="shared" si="8"/>
        <v>large</v>
      </c>
      <c r="R207" s="140">
        <v>1</v>
      </c>
      <c r="S207" s="142">
        <f>32956*4</f>
        <v>131824</v>
      </c>
      <c r="T207" s="143">
        <f t="shared" si="9"/>
        <v>118760.36036036036</v>
      </c>
      <c r="U207" s="221">
        <v>121278</v>
      </c>
      <c r="V207" s="221">
        <f t="shared" si="14"/>
        <v>107937.42</v>
      </c>
    </row>
    <row r="208" spans="1:22" ht="22.5" customHeight="1">
      <c r="A208" s="109"/>
      <c r="B208" s="109"/>
      <c r="C208" s="140">
        <v>73</v>
      </c>
      <c r="D208" s="140" t="s">
        <v>1298</v>
      </c>
      <c r="E208" s="140" t="s">
        <v>1299</v>
      </c>
      <c r="F208" s="140" t="s">
        <v>1287</v>
      </c>
      <c r="G208" s="140" t="s">
        <v>1287</v>
      </c>
      <c r="H208" s="140"/>
      <c r="I208" s="140" t="s">
        <v>1306</v>
      </c>
      <c r="J208" s="141">
        <v>2</v>
      </c>
      <c r="K208" s="140" t="str">
        <f t="shared" si="12"/>
        <v>SUB DISTRIBUTOR</v>
      </c>
      <c r="L208" s="140" t="s">
        <v>37</v>
      </c>
      <c r="M208" s="141">
        <v>3</v>
      </c>
      <c r="N208" s="140" t="str">
        <f t="shared" si="10"/>
        <v>In Pack</v>
      </c>
      <c r="O208" s="140" t="str">
        <f t="shared" si="11"/>
        <v>Pack</v>
      </c>
      <c r="P208" s="141">
        <f t="shared" si="7"/>
        <v>2</v>
      </c>
      <c r="Q208" s="140">
        <f t="shared" si="8"/>
        <v>0</v>
      </c>
      <c r="R208" s="140">
        <v>4</v>
      </c>
      <c r="S208" s="142">
        <f>S207/4</f>
        <v>32956</v>
      </c>
      <c r="T208" s="143">
        <f t="shared" si="9"/>
        <v>29690.090090090089</v>
      </c>
      <c r="U208" s="221">
        <v>30319</v>
      </c>
      <c r="V208" s="221">
        <f t="shared" si="14"/>
        <v>26983.91</v>
      </c>
    </row>
    <row r="209" spans="1:22" ht="22.5" customHeight="1">
      <c r="A209" s="109"/>
      <c r="B209" s="109"/>
      <c r="C209" s="140">
        <v>73</v>
      </c>
      <c r="D209" s="140" t="s">
        <v>1298</v>
      </c>
      <c r="E209" s="140" t="s">
        <v>1299</v>
      </c>
      <c r="F209" s="140" t="s">
        <v>1287</v>
      </c>
      <c r="G209" s="140" t="s">
        <v>1287</v>
      </c>
      <c r="H209" s="140"/>
      <c r="I209" s="140" t="s">
        <v>1306</v>
      </c>
      <c r="J209" s="141">
        <v>2</v>
      </c>
      <c r="K209" s="140" t="str">
        <f t="shared" si="12"/>
        <v>SUB DISTRIBUTOR</v>
      </c>
      <c r="L209" s="140" t="s">
        <v>37</v>
      </c>
      <c r="M209" s="141">
        <v>9</v>
      </c>
      <c r="N209" s="140" t="str">
        <f t="shared" si="10"/>
        <v>In Pcs</v>
      </c>
      <c r="O209" s="140" t="str">
        <f t="shared" si="11"/>
        <v>Pcs</v>
      </c>
      <c r="P209" s="141">
        <f t="shared" si="7"/>
        <v>4</v>
      </c>
      <c r="Q209" s="140" t="str">
        <f t="shared" si="8"/>
        <v>small</v>
      </c>
      <c r="R209" s="140">
        <v>32</v>
      </c>
      <c r="S209" s="142">
        <f>S208/8</f>
        <v>4119.5</v>
      </c>
      <c r="T209" s="143">
        <f t="shared" si="9"/>
        <v>3711.2612612612611</v>
      </c>
      <c r="U209" s="221">
        <v>3789</v>
      </c>
      <c r="V209" s="221">
        <f t="shared" si="14"/>
        <v>3372.21</v>
      </c>
    </row>
    <row r="210" spans="1:22" ht="22.5" customHeight="1">
      <c r="A210" s="109"/>
      <c r="B210" s="109"/>
      <c r="C210" s="140">
        <v>74</v>
      </c>
      <c r="D210" s="140" t="s">
        <v>1300</v>
      </c>
      <c r="E210" s="140" t="s">
        <v>1301</v>
      </c>
      <c r="F210" s="140" t="s">
        <v>1287</v>
      </c>
      <c r="G210" s="140" t="s">
        <v>1287</v>
      </c>
      <c r="H210" s="140"/>
      <c r="I210" s="140" t="s">
        <v>1306</v>
      </c>
      <c r="J210" s="141">
        <v>2</v>
      </c>
      <c r="K210" s="140" t="str">
        <f t="shared" si="12"/>
        <v>SUB DISTRIBUTOR</v>
      </c>
      <c r="L210" s="140" t="s">
        <v>37</v>
      </c>
      <c r="M210" s="141">
        <v>1</v>
      </c>
      <c r="N210" s="140" t="str">
        <f t="shared" si="10"/>
        <v>In Carton</v>
      </c>
      <c r="O210" s="140" t="str">
        <f t="shared" si="11"/>
        <v>Carton</v>
      </c>
      <c r="P210" s="141">
        <f t="shared" si="7"/>
        <v>1</v>
      </c>
      <c r="Q210" s="140" t="str">
        <f t="shared" si="8"/>
        <v>large</v>
      </c>
      <c r="R210" s="140">
        <v>1</v>
      </c>
      <c r="S210" s="142">
        <f>9000*9</f>
        <v>81000</v>
      </c>
      <c r="T210" s="143">
        <f t="shared" si="9"/>
        <v>72972.972972972973</v>
      </c>
      <c r="U210" s="221">
        <v>74520</v>
      </c>
      <c r="V210" s="221">
        <f t="shared" si="14"/>
        <v>66322.8</v>
      </c>
    </row>
    <row r="211" spans="1:22" ht="22.5" customHeight="1">
      <c r="A211" s="109"/>
      <c r="B211" s="109"/>
      <c r="C211" s="140">
        <v>74</v>
      </c>
      <c r="D211" s="140" t="s">
        <v>1300</v>
      </c>
      <c r="E211" s="140" t="s">
        <v>1301</v>
      </c>
      <c r="F211" s="140" t="s">
        <v>1287</v>
      </c>
      <c r="G211" s="140" t="s">
        <v>1287</v>
      </c>
      <c r="H211" s="140"/>
      <c r="I211" s="140" t="s">
        <v>1306</v>
      </c>
      <c r="J211" s="141">
        <v>2</v>
      </c>
      <c r="K211" s="140" t="str">
        <f t="shared" si="12"/>
        <v>SUB DISTRIBUTOR</v>
      </c>
      <c r="L211" s="140" t="s">
        <v>37</v>
      </c>
      <c r="M211" s="141">
        <v>3</v>
      </c>
      <c r="N211" s="140" t="str">
        <f t="shared" si="10"/>
        <v>In Pack</v>
      </c>
      <c r="O211" s="140" t="str">
        <f t="shared" si="11"/>
        <v>Pack</v>
      </c>
      <c r="P211" s="141">
        <f t="shared" si="7"/>
        <v>2</v>
      </c>
      <c r="Q211" s="140">
        <f t="shared" si="8"/>
        <v>0</v>
      </c>
      <c r="R211" s="140">
        <v>9</v>
      </c>
      <c r="S211" s="142">
        <f>S210/9</f>
        <v>9000</v>
      </c>
      <c r="T211" s="143">
        <f t="shared" si="9"/>
        <v>8108.1081081081074</v>
      </c>
      <c r="U211" s="221">
        <v>8280</v>
      </c>
      <c r="V211" s="221">
        <f t="shared" si="14"/>
        <v>7369.2</v>
      </c>
    </row>
    <row r="212" spans="1:22" ht="22.5" customHeight="1">
      <c r="A212" s="109"/>
      <c r="B212" s="109"/>
      <c r="C212" s="140">
        <v>74</v>
      </c>
      <c r="D212" s="140" t="s">
        <v>1300</v>
      </c>
      <c r="E212" s="140" t="s">
        <v>1301</v>
      </c>
      <c r="F212" s="140" t="s">
        <v>1287</v>
      </c>
      <c r="G212" s="140" t="s">
        <v>1287</v>
      </c>
      <c r="H212" s="140"/>
      <c r="I212" s="140" t="s">
        <v>1306</v>
      </c>
      <c r="J212" s="141">
        <v>2</v>
      </c>
      <c r="K212" s="140" t="str">
        <f t="shared" si="12"/>
        <v>SUB DISTRIBUTOR</v>
      </c>
      <c r="L212" s="140" t="s">
        <v>37</v>
      </c>
      <c r="M212" s="141">
        <v>9</v>
      </c>
      <c r="N212" s="140" t="str">
        <f t="shared" si="10"/>
        <v>In Pcs</v>
      </c>
      <c r="O212" s="140" t="str">
        <f t="shared" si="11"/>
        <v>Pcs</v>
      </c>
      <c r="P212" s="141">
        <f t="shared" si="7"/>
        <v>4</v>
      </c>
      <c r="Q212" s="140" t="str">
        <f t="shared" si="8"/>
        <v>small</v>
      </c>
      <c r="R212" s="140">
        <v>36</v>
      </c>
      <c r="S212" s="142">
        <f>S211/4</f>
        <v>2250</v>
      </c>
      <c r="T212" s="143">
        <f t="shared" si="9"/>
        <v>2027.0270270270269</v>
      </c>
      <c r="U212" s="221">
        <v>2070</v>
      </c>
      <c r="V212" s="221">
        <f t="shared" si="14"/>
        <v>1842.3</v>
      </c>
    </row>
    <row r="213" spans="1:22" ht="22.5" customHeight="1">
      <c r="A213" s="109"/>
      <c r="B213" s="109"/>
      <c r="C213" s="140">
        <v>75</v>
      </c>
      <c r="D213" s="140" t="s">
        <v>1302</v>
      </c>
      <c r="E213" s="140" t="s">
        <v>1303</v>
      </c>
      <c r="F213" s="140" t="s">
        <v>1287</v>
      </c>
      <c r="G213" s="140" t="s">
        <v>1287</v>
      </c>
      <c r="H213" s="140"/>
      <c r="I213" s="140" t="s">
        <v>1306</v>
      </c>
      <c r="J213" s="141">
        <v>2</v>
      </c>
      <c r="K213" s="140" t="str">
        <f t="shared" si="12"/>
        <v>SUB DISTRIBUTOR</v>
      </c>
      <c r="L213" s="140" t="s">
        <v>37</v>
      </c>
      <c r="M213" s="141">
        <v>1</v>
      </c>
      <c r="N213" s="140" t="str">
        <f t="shared" si="10"/>
        <v>In Carton</v>
      </c>
      <c r="O213" s="140" t="str">
        <f t="shared" si="11"/>
        <v>Carton</v>
      </c>
      <c r="P213" s="141">
        <f t="shared" si="7"/>
        <v>1</v>
      </c>
      <c r="Q213" s="140" t="str">
        <f t="shared" si="8"/>
        <v>large</v>
      </c>
      <c r="R213" s="140">
        <v>1</v>
      </c>
      <c r="S213" s="142">
        <f>9000*9</f>
        <v>81000</v>
      </c>
      <c r="T213" s="143">
        <f t="shared" si="9"/>
        <v>72972.972972972973</v>
      </c>
      <c r="U213" s="221">
        <v>74520</v>
      </c>
      <c r="V213" s="221">
        <f t="shared" si="14"/>
        <v>66322.8</v>
      </c>
    </row>
    <row r="214" spans="1:22" ht="22.5" customHeight="1">
      <c r="A214" s="109"/>
      <c r="B214" s="109"/>
      <c r="C214" s="140">
        <v>75</v>
      </c>
      <c r="D214" s="140" t="s">
        <v>1302</v>
      </c>
      <c r="E214" s="140" t="s">
        <v>1303</v>
      </c>
      <c r="F214" s="140" t="s">
        <v>1287</v>
      </c>
      <c r="G214" s="140" t="s">
        <v>1287</v>
      </c>
      <c r="H214" s="140"/>
      <c r="I214" s="140" t="s">
        <v>1306</v>
      </c>
      <c r="J214" s="141">
        <v>2</v>
      </c>
      <c r="K214" s="140" t="str">
        <f t="shared" si="12"/>
        <v>SUB DISTRIBUTOR</v>
      </c>
      <c r="L214" s="140" t="s">
        <v>37</v>
      </c>
      <c r="M214" s="141">
        <v>3</v>
      </c>
      <c r="N214" s="140" t="str">
        <f t="shared" si="10"/>
        <v>In Pack</v>
      </c>
      <c r="O214" s="140" t="str">
        <f t="shared" si="11"/>
        <v>Pack</v>
      </c>
      <c r="P214" s="141">
        <f t="shared" si="7"/>
        <v>2</v>
      </c>
      <c r="Q214" s="140">
        <f t="shared" si="8"/>
        <v>0</v>
      </c>
      <c r="R214" s="140">
        <v>9</v>
      </c>
      <c r="S214" s="142">
        <f>S213/9</f>
        <v>9000</v>
      </c>
      <c r="T214" s="143">
        <f t="shared" si="9"/>
        <v>8108.1081081081074</v>
      </c>
      <c r="U214" s="221">
        <v>8280</v>
      </c>
      <c r="V214" s="221">
        <f t="shared" si="14"/>
        <v>7369.2</v>
      </c>
    </row>
    <row r="215" spans="1:22" ht="22.5" customHeight="1">
      <c r="A215" s="109"/>
      <c r="B215" s="109"/>
      <c r="C215" s="140">
        <v>75</v>
      </c>
      <c r="D215" s="140" t="s">
        <v>1302</v>
      </c>
      <c r="E215" s="140" t="s">
        <v>1303</v>
      </c>
      <c r="F215" s="140" t="s">
        <v>1287</v>
      </c>
      <c r="G215" s="140" t="s">
        <v>1287</v>
      </c>
      <c r="H215" s="140"/>
      <c r="I215" s="140" t="s">
        <v>1306</v>
      </c>
      <c r="J215" s="141">
        <v>2</v>
      </c>
      <c r="K215" s="140" t="str">
        <f t="shared" si="12"/>
        <v>SUB DISTRIBUTOR</v>
      </c>
      <c r="L215" s="140" t="s">
        <v>37</v>
      </c>
      <c r="M215" s="141">
        <v>9</v>
      </c>
      <c r="N215" s="140" t="str">
        <f t="shared" si="10"/>
        <v>In Pcs</v>
      </c>
      <c r="O215" s="140" t="str">
        <f t="shared" si="11"/>
        <v>Pcs</v>
      </c>
      <c r="P215" s="141">
        <f t="shared" si="7"/>
        <v>4</v>
      </c>
      <c r="Q215" s="140" t="str">
        <f t="shared" si="8"/>
        <v>small</v>
      </c>
      <c r="R215" s="140">
        <v>36</v>
      </c>
      <c r="S215" s="142">
        <f>S214/4</f>
        <v>2250</v>
      </c>
      <c r="T215" s="143">
        <f t="shared" si="9"/>
        <v>2027.0270270270269</v>
      </c>
      <c r="U215" s="221">
        <v>2070</v>
      </c>
      <c r="V215" s="221">
        <f t="shared" si="14"/>
        <v>1842.3</v>
      </c>
    </row>
    <row r="216" spans="1:22" ht="22.5" customHeight="1">
      <c r="A216" s="109"/>
      <c r="B216" s="109"/>
      <c r="C216" s="140">
        <v>76</v>
      </c>
      <c r="D216" s="140" t="s">
        <v>1304</v>
      </c>
      <c r="E216" s="140" t="s">
        <v>1305</v>
      </c>
      <c r="F216" s="140" t="s">
        <v>1287</v>
      </c>
      <c r="G216" s="140" t="s">
        <v>1287</v>
      </c>
      <c r="H216" s="140"/>
      <c r="I216" s="140" t="s">
        <v>1306</v>
      </c>
      <c r="J216" s="141">
        <v>2</v>
      </c>
      <c r="K216" s="140" t="str">
        <f t="shared" si="12"/>
        <v>SUB DISTRIBUTOR</v>
      </c>
      <c r="L216" s="140" t="s">
        <v>37</v>
      </c>
      <c r="M216" s="141">
        <v>1</v>
      </c>
      <c r="N216" s="140" t="str">
        <f t="shared" si="10"/>
        <v>In Carton</v>
      </c>
      <c r="O216" s="140" t="str">
        <f t="shared" si="11"/>
        <v>Carton</v>
      </c>
      <c r="P216" s="141">
        <f t="shared" si="7"/>
        <v>1</v>
      </c>
      <c r="Q216" s="140" t="str">
        <f t="shared" si="8"/>
        <v>large</v>
      </c>
      <c r="R216" s="140">
        <v>1</v>
      </c>
      <c r="S216" s="142">
        <f>9000*9</f>
        <v>81000</v>
      </c>
      <c r="T216" s="143">
        <f t="shared" si="9"/>
        <v>72972.972972972973</v>
      </c>
      <c r="U216" s="221">
        <v>92000</v>
      </c>
      <c r="V216" s="221">
        <f t="shared" si="14"/>
        <v>81880</v>
      </c>
    </row>
    <row r="217" spans="1:22" ht="22.5" customHeight="1">
      <c r="A217" s="109"/>
      <c r="B217" s="109"/>
      <c r="C217" s="140">
        <v>76</v>
      </c>
      <c r="D217" s="140" t="s">
        <v>1304</v>
      </c>
      <c r="E217" s="140" t="s">
        <v>1305</v>
      </c>
      <c r="F217" s="140" t="s">
        <v>1287</v>
      </c>
      <c r="G217" s="140" t="s">
        <v>1287</v>
      </c>
      <c r="H217" s="140"/>
      <c r="I217" s="140" t="s">
        <v>1306</v>
      </c>
      <c r="J217" s="141">
        <v>2</v>
      </c>
      <c r="K217" s="140" t="str">
        <f t="shared" si="12"/>
        <v>SUB DISTRIBUTOR</v>
      </c>
      <c r="L217" s="140" t="s">
        <v>37</v>
      </c>
      <c r="M217" s="141">
        <v>3</v>
      </c>
      <c r="N217" s="140" t="str">
        <f t="shared" si="10"/>
        <v>In Pack</v>
      </c>
      <c r="O217" s="140" t="str">
        <f t="shared" si="11"/>
        <v>Pack</v>
      </c>
      <c r="P217" s="141">
        <f t="shared" si="7"/>
        <v>2</v>
      </c>
      <c r="Q217" s="140">
        <f t="shared" si="8"/>
        <v>0</v>
      </c>
      <c r="R217" s="140">
        <v>9</v>
      </c>
      <c r="S217" s="142">
        <f>S216/9</f>
        <v>9000</v>
      </c>
      <c r="T217" s="143">
        <f t="shared" si="9"/>
        <v>8108.1081081081074</v>
      </c>
      <c r="U217" s="221">
        <v>10222</v>
      </c>
      <c r="V217" s="221">
        <f t="shared" si="14"/>
        <v>9097.58</v>
      </c>
    </row>
    <row r="218" spans="1:22" ht="22.5" customHeight="1">
      <c r="A218" s="109"/>
      <c r="B218" s="109"/>
      <c r="C218" s="140">
        <v>76</v>
      </c>
      <c r="D218" s="140" t="s">
        <v>1304</v>
      </c>
      <c r="E218" s="140" t="s">
        <v>1305</v>
      </c>
      <c r="F218" s="140" t="s">
        <v>1287</v>
      </c>
      <c r="G218" s="140" t="s">
        <v>1287</v>
      </c>
      <c r="H218" s="140"/>
      <c r="I218" s="140" t="s">
        <v>1306</v>
      </c>
      <c r="J218" s="141">
        <v>2</v>
      </c>
      <c r="K218" s="140" t="str">
        <f t="shared" si="12"/>
        <v>SUB DISTRIBUTOR</v>
      </c>
      <c r="L218" s="140" t="s">
        <v>37</v>
      </c>
      <c r="M218" s="141">
        <v>9</v>
      </c>
      <c r="N218" s="140" t="str">
        <f t="shared" si="10"/>
        <v>In Pcs</v>
      </c>
      <c r="O218" s="140" t="str">
        <f t="shared" si="11"/>
        <v>Pcs</v>
      </c>
      <c r="P218" s="141">
        <f t="shared" si="7"/>
        <v>4</v>
      </c>
      <c r="Q218" s="140" t="str">
        <f t="shared" si="8"/>
        <v>small</v>
      </c>
      <c r="R218" s="140">
        <v>36</v>
      </c>
      <c r="S218" s="142">
        <f>S217/4</f>
        <v>2250</v>
      </c>
      <c r="T218" s="143">
        <f t="shared" si="9"/>
        <v>2027.0270270270269</v>
      </c>
      <c r="U218" s="221">
        <v>2555</v>
      </c>
      <c r="V218" s="221">
        <f t="shared" si="14"/>
        <v>2273.9499999999998</v>
      </c>
    </row>
    <row r="219" spans="1:22" ht="22.5" customHeight="1">
      <c r="A219" s="109"/>
      <c r="B219" s="109"/>
      <c r="C219" s="144">
        <v>77</v>
      </c>
      <c r="D219" s="144">
        <v>130105006</v>
      </c>
      <c r="E219" s="144" t="s">
        <v>10</v>
      </c>
      <c r="F219" s="144" t="s">
        <v>11</v>
      </c>
      <c r="G219" s="144" t="s">
        <v>11</v>
      </c>
      <c r="H219" s="144" t="s">
        <v>1316</v>
      </c>
      <c r="I219" s="144" t="s">
        <v>1315</v>
      </c>
      <c r="J219" s="145">
        <v>3</v>
      </c>
      <c r="K219" s="144" t="str">
        <f t="shared" si="12"/>
        <v>NON DISTRIBUTOR</v>
      </c>
      <c r="L219" s="144" t="s">
        <v>37</v>
      </c>
      <c r="M219" s="145">
        <v>1</v>
      </c>
      <c r="N219" s="144" t="str">
        <f t="shared" si="10"/>
        <v>In Carton</v>
      </c>
      <c r="O219" s="144" t="str">
        <f t="shared" si="11"/>
        <v>Carton</v>
      </c>
      <c r="P219" s="145">
        <f t="shared" si="7"/>
        <v>1</v>
      </c>
      <c r="Q219" s="144" t="str">
        <f t="shared" si="8"/>
        <v>large</v>
      </c>
      <c r="R219" s="144">
        <v>1</v>
      </c>
      <c r="S219" s="146">
        <f>4143*16</f>
        <v>66288</v>
      </c>
      <c r="T219" s="147">
        <f t="shared" si="9"/>
        <v>59718.918918918913</v>
      </c>
      <c r="U219" s="222">
        <f>V219+(V219*11%)</f>
        <v>61281.99</v>
      </c>
      <c r="V219" s="222">
        <v>55209</v>
      </c>
    </row>
    <row r="220" spans="1:22" ht="22.5" customHeight="1">
      <c r="A220" s="109"/>
      <c r="B220" s="109"/>
      <c r="C220" s="144">
        <v>77</v>
      </c>
      <c r="D220" s="144">
        <v>130105006</v>
      </c>
      <c r="E220" s="144" t="s">
        <v>10</v>
      </c>
      <c r="F220" s="144" t="s">
        <v>11</v>
      </c>
      <c r="G220" s="144" t="s">
        <v>11</v>
      </c>
      <c r="H220" s="144" t="s">
        <v>1316</v>
      </c>
      <c r="I220" s="144" t="s">
        <v>1315</v>
      </c>
      <c r="J220" s="145">
        <v>3</v>
      </c>
      <c r="K220" s="144" t="str">
        <f t="shared" si="12"/>
        <v>NON DISTRIBUTOR</v>
      </c>
      <c r="L220" s="144" t="s">
        <v>37</v>
      </c>
      <c r="M220" s="145">
        <v>3</v>
      </c>
      <c r="N220" s="144" t="str">
        <f t="shared" si="10"/>
        <v>In Pack</v>
      </c>
      <c r="O220" s="144" t="str">
        <f t="shared" si="11"/>
        <v>Pack</v>
      </c>
      <c r="P220" s="145">
        <f t="shared" si="7"/>
        <v>2</v>
      </c>
      <c r="Q220" s="144">
        <f t="shared" si="8"/>
        <v>0</v>
      </c>
      <c r="R220" s="144">
        <v>16</v>
      </c>
      <c r="S220" s="146">
        <f>S219/16</f>
        <v>4143</v>
      </c>
      <c r="T220" s="147">
        <f t="shared" si="9"/>
        <v>3732.4324324324321</v>
      </c>
      <c r="U220" s="222">
        <v>3830</v>
      </c>
      <c r="V220" s="222">
        <v>3450</v>
      </c>
    </row>
    <row r="221" spans="1:22" ht="22.5" customHeight="1">
      <c r="A221" s="109"/>
      <c r="B221" s="109"/>
      <c r="C221" s="144">
        <v>77</v>
      </c>
      <c r="D221" s="144">
        <v>130105006</v>
      </c>
      <c r="E221" s="144" t="s">
        <v>10</v>
      </c>
      <c r="F221" s="144" t="s">
        <v>11</v>
      </c>
      <c r="G221" s="144" t="s">
        <v>11</v>
      </c>
      <c r="H221" s="144" t="s">
        <v>1316</v>
      </c>
      <c r="I221" s="144" t="s">
        <v>1315</v>
      </c>
      <c r="J221" s="145">
        <v>3</v>
      </c>
      <c r="K221" s="144" t="str">
        <f t="shared" si="12"/>
        <v>NON DISTRIBUTOR</v>
      </c>
      <c r="L221" s="144" t="s">
        <v>37</v>
      </c>
      <c r="M221" s="145">
        <v>9</v>
      </c>
      <c r="N221" s="144" t="str">
        <f t="shared" si="10"/>
        <v>In Pcs</v>
      </c>
      <c r="O221" s="144" t="str">
        <f t="shared" si="11"/>
        <v>Pcs</v>
      </c>
      <c r="P221" s="145">
        <f t="shared" si="7"/>
        <v>4</v>
      </c>
      <c r="Q221" s="144" t="str">
        <f t="shared" si="8"/>
        <v>small</v>
      </c>
      <c r="R221" s="144">
        <v>160</v>
      </c>
      <c r="S221" s="146">
        <f>S220/10</f>
        <v>414.3</v>
      </c>
      <c r="T221" s="147">
        <f t="shared" si="9"/>
        <v>373.24324324324323</v>
      </c>
      <c r="U221" s="222">
        <v>383</v>
      </c>
      <c r="V221" s="222">
        <v>345</v>
      </c>
    </row>
    <row r="222" spans="1:22" ht="22.5" customHeight="1">
      <c r="A222" s="109"/>
      <c r="B222" s="109"/>
      <c r="C222" s="144">
        <v>78</v>
      </c>
      <c r="D222" s="144">
        <v>130105002</v>
      </c>
      <c r="E222" s="144" t="s">
        <v>1307</v>
      </c>
      <c r="F222" s="144" t="s">
        <v>11</v>
      </c>
      <c r="G222" s="144" t="s">
        <v>11</v>
      </c>
      <c r="H222" s="144" t="s">
        <v>1316</v>
      </c>
      <c r="I222" s="144" t="s">
        <v>1315</v>
      </c>
      <c r="J222" s="145">
        <v>3</v>
      </c>
      <c r="K222" s="144" t="str">
        <f t="shared" si="12"/>
        <v>NON DISTRIBUTOR</v>
      </c>
      <c r="L222" s="144" t="s">
        <v>37</v>
      </c>
      <c r="M222" s="145">
        <v>1</v>
      </c>
      <c r="N222" s="144" t="str">
        <f t="shared" si="10"/>
        <v>In Carton</v>
      </c>
      <c r="O222" s="144" t="str">
        <f t="shared" si="11"/>
        <v>Carton</v>
      </c>
      <c r="P222" s="145">
        <f t="shared" si="7"/>
        <v>1</v>
      </c>
      <c r="Q222" s="144" t="str">
        <f t="shared" si="8"/>
        <v>large</v>
      </c>
      <c r="R222" s="144">
        <v>1</v>
      </c>
      <c r="S222" s="146">
        <f>4143*16</f>
        <v>66288</v>
      </c>
      <c r="T222" s="147">
        <f t="shared" si="9"/>
        <v>59718.918918918913</v>
      </c>
      <c r="U222" s="222">
        <f>V222+(V222*11%)</f>
        <v>61281.99</v>
      </c>
      <c r="V222" s="222">
        <v>55209</v>
      </c>
    </row>
    <row r="223" spans="1:22" ht="22.5" customHeight="1">
      <c r="A223" s="109"/>
      <c r="B223" s="109"/>
      <c r="C223" s="144">
        <v>78</v>
      </c>
      <c r="D223" s="144">
        <v>130105002</v>
      </c>
      <c r="E223" s="144" t="s">
        <v>1307</v>
      </c>
      <c r="F223" s="144" t="s">
        <v>11</v>
      </c>
      <c r="G223" s="144" t="s">
        <v>11</v>
      </c>
      <c r="H223" s="144" t="s">
        <v>1316</v>
      </c>
      <c r="I223" s="144" t="s">
        <v>1315</v>
      </c>
      <c r="J223" s="145">
        <v>3</v>
      </c>
      <c r="K223" s="144" t="str">
        <f t="shared" si="12"/>
        <v>NON DISTRIBUTOR</v>
      </c>
      <c r="L223" s="144" t="s">
        <v>37</v>
      </c>
      <c r="M223" s="145">
        <v>3</v>
      </c>
      <c r="N223" s="144" t="str">
        <f t="shared" si="10"/>
        <v>In Pack</v>
      </c>
      <c r="O223" s="144" t="str">
        <f t="shared" si="11"/>
        <v>Pack</v>
      </c>
      <c r="P223" s="145">
        <f t="shared" si="7"/>
        <v>2</v>
      </c>
      <c r="Q223" s="144">
        <f t="shared" si="8"/>
        <v>0</v>
      </c>
      <c r="R223" s="144">
        <v>16</v>
      </c>
      <c r="S223" s="146">
        <f>S222/16</f>
        <v>4143</v>
      </c>
      <c r="T223" s="147">
        <f t="shared" si="9"/>
        <v>3732.4324324324321</v>
      </c>
      <c r="U223" s="222">
        <v>3830</v>
      </c>
      <c r="V223" s="222">
        <v>3450</v>
      </c>
    </row>
    <row r="224" spans="1:22" ht="22.5" customHeight="1">
      <c r="A224" s="109"/>
      <c r="B224" s="109"/>
      <c r="C224" s="144">
        <v>78</v>
      </c>
      <c r="D224" s="144">
        <v>130105002</v>
      </c>
      <c r="E224" s="144" t="s">
        <v>1307</v>
      </c>
      <c r="F224" s="144" t="s">
        <v>11</v>
      </c>
      <c r="G224" s="144" t="s">
        <v>11</v>
      </c>
      <c r="H224" s="144" t="s">
        <v>1316</v>
      </c>
      <c r="I224" s="144" t="s">
        <v>1315</v>
      </c>
      <c r="J224" s="145">
        <v>3</v>
      </c>
      <c r="K224" s="144" t="str">
        <f t="shared" si="12"/>
        <v>NON DISTRIBUTOR</v>
      </c>
      <c r="L224" s="144" t="s">
        <v>37</v>
      </c>
      <c r="M224" s="145">
        <v>9</v>
      </c>
      <c r="N224" s="144" t="str">
        <f t="shared" si="10"/>
        <v>In Pcs</v>
      </c>
      <c r="O224" s="144" t="str">
        <f t="shared" si="11"/>
        <v>Pcs</v>
      </c>
      <c r="P224" s="145">
        <f t="shared" si="7"/>
        <v>4</v>
      </c>
      <c r="Q224" s="144" t="str">
        <f t="shared" si="8"/>
        <v>small</v>
      </c>
      <c r="R224" s="144">
        <v>160</v>
      </c>
      <c r="S224" s="146">
        <f>S223/10</f>
        <v>414.3</v>
      </c>
      <c r="T224" s="147">
        <f t="shared" si="9"/>
        <v>373.24324324324323</v>
      </c>
      <c r="U224" s="222">
        <v>383</v>
      </c>
      <c r="V224" s="222">
        <v>345</v>
      </c>
    </row>
    <row r="225" spans="1:22" ht="22.5" customHeight="1">
      <c r="A225" s="109"/>
      <c r="B225" s="109"/>
      <c r="C225" s="144">
        <v>79</v>
      </c>
      <c r="D225" s="144">
        <v>130105005</v>
      </c>
      <c r="E225" s="144" t="s">
        <v>1309</v>
      </c>
      <c r="F225" s="144" t="s">
        <v>11</v>
      </c>
      <c r="G225" s="144" t="s">
        <v>11</v>
      </c>
      <c r="H225" s="144" t="s">
        <v>1316</v>
      </c>
      <c r="I225" s="144" t="s">
        <v>1315</v>
      </c>
      <c r="J225" s="145">
        <v>3</v>
      </c>
      <c r="K225" s="144" t="str">
        <f t="shared" si="12"/>
        <v>NON DISTRIBUTOR</v>
      </c>
      <c r="L225" s="144" t="s">
        <v>37</v>
      </c>
      <c r="M225" s="145">
        <v>1</v>
      </c>
      <c r="N225" s="144" t="str">
        <f t="shared" si="10"/>
        <v>In Carton</v>
      </c>
      <c r="O225" s="144" t="str">
        <f t="shared" si="11"/>
        <v>Carton</v>
      </c>
      <c r="P225" s="145">
        <f t="shared" si="7"/>
        <v>1</v>
      </c>
      <c r="Q225" s="144" t="str">
        <f t="shared" si="8"/>
        <v>large</v>
      </c>
      <c r="R225" s="144">
        <v>1</v>
      </c>
      <c r="S225" s="146">
        <f>4143*16</f>
        <v>66288</v>
      </c>
      <c r="T225" s="147">
        <f t="shared" si="9"/>
        <v>59718.918918918913</v>
      </c>
      <c r="U225" s="222">
        <f>V225+(V225*11%)</f>
        <v>61281.99</v>
      </c>
      <c r="V225" s="222">
        <v>55209</v>
      </c>
    </row>
    <row r="226" spans="1:22" ht="22.5" customHeight="1">
      <c r="A226" s="109"/>
      <c r="B226" s="109"/>
      <c r="C226" s="144">
        <v>79</v>
      </c>
      <c r="D226" s="144">
        <v>130105005</v>
      </c>
      <c r="E226" s="144" t="s">
        <v>1309</v>
      </c>
      <c r="F226" s="144" t="s">
        <v>11</v>
      </c>
      <c r="G226" s="144" t="s">
        <v>11</v>
      </c>
      <c r="H226" s="144" t="s">
        <v>1316</v>
      </c>
      <c r="I226" s="144" t="s">
        <v>1315</v>
      </c>
      <c r="J226" s="145">
        <v>3</v>
      </c>
      <c r="K226" s="144" t="str">
        <f t="shared" si="12"/>
        <v>NON DISTRIBUTOR</v>
      </c>
      <c r="L226" s="144" t="s">
        <v>37</v>
      </c>
      <c r="M226" s="145">
        <v>3</v>
      </c>
      <c r="N226" s="144" t="str">
        <f t="shared" si="10"/>
        <v>In Pack</v>
      </c>
      <c r="O226" s="144" t="str">
        <f t="shared" si="11"/>
        <v>Pack</v>
      </c>
      <c r="P226" s="145">
        <f t="shared" si="7"/>
        <v>2</v>
      </c>
      <c r="Q226" s="144">
        <f t="shared" si="8"/>
        <v>0</v>
      </c>
      <c r="R226" s="144">
        <v>16</v>
      </c>
      <c r="S226" s="146">
        <f>S225/16</f>
        <v>4143</v>
      </c>
      <c r="T226" s="147">
        <f t="shared" si="9"/>
        <v>3732.4324324324321</v>
      </c>
      <c r="U226" s="222">
        <v>3830</v>
      </c>
      <c r="V226" s="222">
        <v>3450</v>
      </c>
    </row>
    <row r="227" spans="1:22" ht="22.5" customHeight="1">
      <c r="A227" s="109"/>
      <c r="B227" s="109"/>
      <c r="C227" s="144">
        <v>79</v>
      </c>
      <c r="D227" s="144">
        <v>130105005</v>
      </c>
      <c r="E227" s="144" t="s">
        <v>1309</v>
      </c>
      <c r="F227" s="144" t="s">
        <v>11</v>
      </c>
      <c r="G227" s="144" t="s">
        <v>11</v>
      </c>
      <c r="H227" s="144" t="s">
        <v>1316</v>
      </c>
      <c r="I227" s="144" t="s">
        <v>1315</v>
      </c>
      <c r="J227" s="145">
        <v>3</v>
      </c>
      <c r="K227" s="144" t="str">
        <f t="shared" si="12"/>
        <v>NON DISTRIBUTOR</v>
      </c>
      <c r="L227" s="144" t="s">
        <v>37</v>
      </c>
      <c r="M227" s="145">
        <v>9</v>
      </c>
      <c r="N227" s="144" t="str">
        <f t="shared" si="10"/>
        <v>In Pcs</v>
      </c>
      <c r="O227" s="144" t="str">
        <f t="shared" si="11"/>
        <v>Pcs</v>
      </c>
      <c r="P227" s="145">
        <f t="shared" si="7"/>
        <v>4</v>
      </c>
      <c r="Q227" s="144" t="str">
        <f t="shared" si="8"/>
        <v>small</v>
      </c>
      <c r="R227" s="144">
        <v>160</v>
      </c>
      <c r="S227" s="146">
        <f>S226/10</f>
        <v>414.3</v>
      </c>
      <c r="T227" s="147">
        <f t="shared" si="9"/>
        <v>373.24324324324323</v>
      </c>
      <c r="U227" s="222">
        <v>383</v>
      </c>
      <c r="V227" s="222">
        <v>345</v>
      </c>
    </row>
    <row r="228" spans="1:22" ht="22.5" customHeight="1">
      <c r="A228" s="109"/>
      <c r="B228" s="109"/>
      <c r="C228" s="144">
        <v>80</v>
      </c>
      <c r="D228" s="144">
        <v>130105001</v>
      </c>
      <c r="E228" s="144" t="s">
        <v>1308</v>
      </c>
      <c r="F228" s="144" t="s">
        <v>11</v>
      </c>
      <c r="G228" s="144" t="s">
        <v>11</v>
      </c>
      <c r="H228" s="144" t="s">
        <v>1316</v>
      </c>
      <c r="I228" s="144" t="s">
        <v>1315</v>
      </c>
      <c r="J228" s="145">
        <v>3</v>
      </c>
      <c r="K228" s="144" t="str">
        <f t="shared" si="12"/>
        <v>NON DISTRIBUTOR</v>
      </c>
      <c r="L228" s="144" t="s">
        <v>37</v>
      </c>
      <c r="M228" s="145">
        <v>1</v>
      </c>
      <c r="N228" s="144" t="str">
        <f t="shared" si="10"/>
        <v>In Carton</v>
      </c>
      <c r="O228" s="144" t="str">
        <f t="shared" si="11"/>
        <v>Carton</v>
      </c>
      <c r="P228" s="145">
        <f t="shared" si="7"/>
        <v>1</v>
      </c>
      <c r="Q228" s="144" t="str">
        <f t="shared" si="8"/>
        <v>large</v>
      </c>
      <c r="R228" s="144">
        <v>1</v>
      </c>
      <c r="S228" s="146">
        <f>4143*16</f>
        <v>66288</v>
      </c>
      <c r="T228" s="147">
        <f t="shared" si="9"/>
        <v>59718.918918918913</v>
      </c>
      <c r="U228" s="222">
        <f>V228+(V228*11%)</f>
        <v>61281.99</v>
      </c>
      <c r="V228" s="222">
        <v>55209</v>
      </c>
    </row>
    <row r="229" spans="1:22" ht="22.5" customHeight="1">
      <c r="A229" s="109"/>
      <c r="B229" s="109"/>
      <c r="C229" s="144">
        <v>80</v>
      </c>
      <c r="D229" s="144">
        <v>130105001</v>
      </c>
      <c r="E229" s="144" t="s">
        <v>1308</v>
      </c>
      <c r="F229" s="144" t="s">
        <v>11</v>
      </c>
      <c r="G229" s="144" t="s">
        <v>11</v>
      </c>
      <c r="H229" s="144" t="s">
        <v>1316</v>
      </c>
      <c r="I229" s="144" t="s">
        <v>1315</v>
      </c>
      <c r="J229" s="145">
        <v>3</v>
      </c>
      <c r="K229" s="144" t="str">
        <f t="shared" si="12"/>
        <v>NON DISTRIBUTOR</v>
      </c>
      <c r="L229" s="144" t="s">
        <v>37</v>
      </c>
      <c r="M229" s="145">
        <v>3</v>
      </c>
      <c r="N229" s="144" t="str">
        <f t="shared" si="10"/>
        <v>In Pack</v>
      </c>
      <c r="O229" s="144" t="str">
        <f t="shared" si="11"/>
        <v>Pack</v>
      </c>
      <c r="P229" s="145">
        <f t="shared" si="7"/>
        <v>2</v>
      </c>
      <c r="Q229" s="144">
        <f t="shared" si="8"/>
        <v>0</v>
      </c>
      <c r="R229" s="144">
        <v>16</v>
      </c>
      <c r="S229" s="146">
        <f>S228/16</f>
        <v>4143</v>
      </c>
      <c r="T229" s="147">
        <f t="shared" si="9"/>
        <v>3732.4324324324321</v>
      </c>
      <c r="U229" s="222">
        <v>3830</v>
      </c>
      <c r="V229" s="222">
        <v>3450</v>
      </c>
    </row>
    <row r="230" spans="1:22" ht="22.5" customHeight="1">
      <c r="A230" s="109"/>
      <c r="B230" s="109"/>
      <c r="C230" s="144">
        <v>80</v>
      </c>
      <c r="D230" s="144">
        <v>130105001</v>
      </c>
      <c r="E230" s="144" t="s">
        <v>1308</v>
      </c>
      <c r="F230" s="144" t="s">
        <v>11</v>
      </c>
      <c r="G230" s="144" t="s">
        <v>11</v>
      </c>
      <c r="H230" s="144" t="s">
        <v>1316</v>
      </c>
      <c r="I230" s="144" t="s">
        <v>1315</v>
      </c>
      <c r="J230" s="145">
        <v>3</v>
      </c>
      <c r="K230" s="144" t="str">
        <f t="shared" si="12"/>
        <v>NON DISTRIBUTOR</v>
      </c>
      <c r="L230" s="144" t="s">
        <v>37</v>
      </c>
      <c r="M230" s="145">
        <v>9</v>
      </c>
      <c r="N230" s="144" t="str">
        <f t="shared" si="10"/>
        <v>In Pcs</v>
      </c>
      <c r="O230" s="144" t="str">
        <f t="shared" si="11"/>
        <v>Pcs</v>
      </c>
      <c r="P230" s="145">
        <f t="shared" si="7"/>
        <v>4</v>
      </c>
      <c r="Q230" s="144" t="str">
        <f t="shared" si="8"/>
        <v>small</v>
      </c>
      <c r="R230" s="144">
        <v>160</v>
      </c>
      <c r="S230" s="146">
        <f>S229/10</f>
        <v>414.3</v>
      </c>
      <c r="T230" s="147">
        <f t="shared" si="9"/>
        <v>373.24324324324323</v>
      </c>
      <c r="U230" s="222">
        <v>383</v>
      </c>
      <c r="V230" s="222">
        <v>345</v>
      </c>
    </row>
    <row r="231" spans="1:22" ht="22.5" customHeight="1">
      <c r="A231" s="109"/>
      <c r="B231" s="109"/>
      <c r="C231" s="144">
        <v>81</v>
      </c>
      <c r="D231" s="144">
        <v>130205204</v>
      </c>
      <c r="E231" s="144" t="s">
        <v>1310</v>
      </c>
      <c r="F231" s="144" t="s">
        <v>11</v>
      </c>
      <c r="G231" s="144" t="s">
        <v>11</v>
      </c>
      <c r="H231" s="144" t="s">
        <v>1316</v>
      </c>
      <c r="I231" s="144" t="s">
        <v>1315</v>
      </c>
      <c r="J231" s="145">
        <v>3</v>
      </c>
      <c r="K231" s="144" t="str">
        <f t="shared" si="12"/>
        <v>NON DISTRIBUTOR</v>
      </c>
      <c r="L231" s="144" t="s">
        <v>37</v>
      </c>
      <c r="M231" s="145">
        <v>1</v>
      </c>
      <c r="N231" s="144" t="str">
        <f t="shared" si="10"/>
        <v>In Carton</v>
      </c>
      <c r="O231" s="144" t="str">
        <f t="shared" si="11"/>
        <v>Carton</v>
      </c>
      <c r="P231" s="145">
        <f t="shared" si="7"/>
        <v>1</v>
      </c>
      <c r="Q231" s="144" t="str">
        <f t="shared" si="8"/>
        <v>large</v>
      </c>
      <c r="R231" s="144">
        <v>1</v>
      </c>
      <c r="S231" s="146">
        <f>8291*12</f>
        <v>99492</v>
      </c>
      <c r="T231" s="147">
        <f t="shared" si="9"/>
        <v>89632.432432432426</v>
      </c>
      <c r="U231" s="222">
        <f>V231+(V231*11%)</f>
        <v>93211.14</v>
      </c>
      <c r="V231" s="222">
        <v>83974</v>
      </c>
    </row>
    <row r="232" spans="1:22" ht="22.5" customHeight="1">
      <c r="A232" s="109"/>
      <c r="B232" s="109"/>
      <c r="C232" s="144">
        <v>81</v>
      </c>
      <c r="D232" s="144">
        <v>130205204</v>
      </c>
      <c r="E232" s="144" t="s">
        <v>1310</v>
      </c>
      <c r="F232" s="144" t="s">
        <v>11</v>
      </c>
      <c r="G232" s="144" t="s">
        <v>11</v>
      </c>
      <c r="H232" s="144" t="s">
        <v>1316</v>
      </c>
      <c r="I232" s="144" t="s">
        <v>1315</v>
      </c>
      <c r="J232" s="145">
        <v>3</v>
      </c>
      <c r="K232" s="144" t="str">
        <f t="shared" si="12"/>
        <v>NON DISTRIBUTOR</v>
      </c>
      <c r="L232" s="144" t="s">
        <v>37</v>
      </c>
      <c r="M232" s="145">
        <v>4</v>
      </c>
      <c r="N232" s="144" t="str">
        <f t="shared" si="10"/>
        <v>In Pack</v>
      </c>
      <c r="O232" s="144" t="str">
        <f t="shared" si="11"/>
        <v>Box</v>
      </c>
      <c r="P232" s="145">
        <f t="shared" si="7"/>
        <v>2</v>
      </c>
      <c r="Q232" s="144">
        <f t="shared" si="8"/>
        <v>0</v>
      </c>
      <c r="R232" s="144">
        <v>12</v>
      </c>
      <c r="S232" s="146">
        <f>S231/12</f>
        <v>8291</v>
      </c>
      <c r="T232" s="147">
        <f t="shared" si="9"/>
        <v>7469.3693693693685</v>
      </c>
      <c r="U232" s="222">
        <v>7767</v>
      </c>
      <c r="V232" s="222">
        <v>6997</v>
      </c>
    </row>
    <row r="233" spans="1:22" ht="22.5" customHeight="1">
      <c r="A233" s="109"/>
      <c r="B233" s="109"/>
      <c r="C233" s="144">
        <v>81</v>
      </c>
      <c r="D233" s="144">
        <v>130205204</v>
      </c>
      <c r="E233" s="144" t="s">
        <v>1310</v>
      </c>
      <c r="F233" s="144" t="s">
        <v>11</v>
      </c>
      <c r="G233" s="144" t="s">
        <v>11</v>
      </c>
      <c r="H233" s="144" t="s">
        <v>1316</v>
      </c>
      <c r="I233" s="144" t="s">
        <v>1315</v>
      </c>
      <c r="J233" s="145">
        <v>3</v>
      </c>
      <c r="K233" s="144" t="str">
        <f t="shared" si="12"/>
        <v>NON DISTRIBUTOR</v>
      </c>
      <c r="L233" s="144" t="s">
        <v>37</v>
      </c>
      <c r="M233" s="145">
        <v>9</v>
      </c>
      <c r="N233" s="144" t="str">
        <f t="shared" si="10"/>
        <v>In Pcs</v>
      </c>
      <c r="O233" s="144" t="str">
        <f t="shared" si="11"/>
        <v>Pcs</v>
      </c>
      <c r="P233" s="145">
        <f t="shared" si="7"/>
        <v>4</v>
      </c>
      <c r="Q233" s="144" t="str">
        <f t="shared" si="8"/>
        <v>small</v>
      </c>
      <c r="R233" s="144">
        <v>240</v>
      </c>
      <c r="S233" s="146">
        <f>S232/20</f>
        <v>414.55</v>
      </c>
      <c r="T233" s="147">
        <f t="shared" si="9"/>
        <v>373.46846846846847</v>
      </c>
      <c r="U233" s="222">
        <v>388</v>
      </c>
      <c r="V233" s="222">
        <v>349</v>
      </c>
    </row>
    <row r="234" spans="1:22" ht="22.5" customHeight="1">
      <c r="A234" s="109"/>
      <c r="B234" s="109"/>
      <c r="C234" s="144">
        <v>82</v>
      </c>
      <c r="D234" s="144">
        <v>130205203</v>
      </c>
      <c r="E234" s="144" t="s">
        <v>1311</v>
      </c>
      <c r="F234" s="144" t="s">
        <v>11</v>
      </c>
      <c r="G234" s="144" t="s">
        <v>11</v>
      </c>
      <c r="H234" s="144" t="s">
        <v>1316</v>
      </c>
      <c r="I234" s="144" t="s">
        <v>1315</v>
      </c>
      <c r="J234" s="145">
        <v>3</v>
      </c>
      <c r="K234" s="144" t="str">
        <f t="shared" si="12"/>
        <v>NON DISTRIBUTOR</v>
      </c>
      <c r="L234" s="144" t="s">
        <v>37</v>
      </c>
      <c r="M234" s="145">
        <v>1</v>
      </c>
      <c r="N234" s="144" t="str">
        <f t="shared" si="10"/>
        <v>In Carton</v>
      </c>
      <c r="O234" s="144" t="str">
        <f t="shared" si="11"/>
        <v>Carton</v>
      </c>
      <c r="P234" s="145">
        <f t="shared" si="7"/>
        <v>1</v>
      </c>
      <c r="Q234" s="144" t="str">
        <f t="shared" si="8"/>
        <v>large</v>
      </c>
      <c r="R234" s="144">
        <v>1</v>
      </c>
      <c r="S234" s="146">
        <f>8291*12</f>
        <v>99492</v>
      </c>
      <c r="T234" s="147">
        <f t="shared" si="9"/>
        <v>89632.432432432426</v>
      </c>
      <c r="U234" s="222">
        <f>V234+(V234*11%)</f>
        <v>93211.14</v>
      </c>
      <c r="V234" s="222">
        <v>83974</v>
      </c>
    </row>
    <row r="235" spans="1:22" ht="22.5" customHeight="1">
      <c r="A235" s="109"/>
      <c r="B235" s="109"/>
      <c r="C235" s="144">
        <v>82</v>
      </c>
      <c r="D235" s="144">
        <v>130205203</v>
      </c>
      <c r="E235" s="144" t="s">
        <v>1311</v>
      </c>
      <c r="F235" s="144" t="s">
        <v>11</v>
      </c>
      <c r="G235" s="144" t="s">
        <v>11</v>
      </c>
      <c r="H235" s="144" t="s">
        <v>1316</v>
      </c>
      <c r="I235" s="144" t="s">
        <v>1315</v>
      </c>
      <c r="J235" s="145">
        <v>3</v>
      </c>
      <c r="K235" s="144" t="str">
        <f t="shared" si="12"/>
        <v>NON DISTRIBUTOR</v>
      </c>
      <c r="L235" s="144" t="s">
        <v>37</v>
      </c>
      <c r="M235" s="145">
        <v>4</v>
      </c>
      <c r="N235" s="144" t="str">
        <f t="shared" si="10"/>
        <v>In Pack</v>
      </c>
      <c r="O235" s="144" t="str">
        <f t="shared" si="11"/>
        <v>Box</v>
      </c>
      <c r="P235" s="145">
        <f t="shared" si="7"/>
        <v>2</v>
      </c>
      <c r="Q235" s="144">
        <f t="shared" si="8"/>
        <v>0</v>
      </c>
      <c r="R235" s="144">
        <v>12</v>
      </c>
      <c r="S235" s="146">
        <f>S234/12</f>
        <v>8291</v>
      </c>
      <c r="T235" s="147">
        <f t="shared" si="9"/>
        <v>7469.3693693693685</v>
      </c>
      <c r="U235" s="222">
        <v>7767</v>
      </c>
      <c r="V235" s="222">
        <v>6997</v>
      </c>
    </row>
    <row r="236" spans="1:22" ht="22.5" customHeight="1">
      <c r="A236" s="109"/>
      <c r="B236" s="109"/>
      <c r="C236" s="144">
        <v>82</v>
      </c>
      <c r="D236" s="144">
        <v>130205203</v>
      </c>
      <c r="E236" s="144" t="s">
        <v>1311</v>
      </c>
      <c r="F236" s="144" t="s">
        <v>11</v>
      </c>
      <c r="G236" s="144" t="s">
        <v>11</v>
      </c>
      <c r="H236" s="144" t="s">
        <v>1316</v>
      </c>
      <c r="I236" s="144" t="s">
        <v>1315</v>
      </c>
      <c r="J236" s="145">
        <v>3</v>
      </c>
      <c r="K236" s="144" t="str">
        <f t="shared" si="12"/>
        <v>NON DISTRIBUTOR</v>
      </c>
      <c r="L236" s="144" t="s">
        <v>37</v>
      </c>
      <c r="M236" s="145">
        <v>9</v>
      </c>
      <c r="N236" s="144" t="str">
        <f t="shared" si="10"/>
        <v>In Pcs</v>
      </c>
      <c r="O236" s="144" t="str">
        <f t="shared" si="11"/>
        <v>Pcs</v>
      </c>
      <c r="P236" s="145">
        <f t="shared" si="7"/>
        <v>4</v>
      </c>
      <c r="Q236" s="144" t="str">
        <f t="shared" si="8"/>
        <v>small</v>
      </c>
      <c r="R236" s="144">
        <v>240</v>
      </c>
      <c r="S236" s="146">
        <f>S235/20</f>
        <v>414.55</v>
      </c>
      <c r="T236" s="147">
        <f t="shared" si="9"/>
        <v>373.46846846846847</v>
      </c>
      <c r="U236" s="222">
        <v>388</v>
      </c>
      <c r="V236" s="222">
        <v>349</v>
      </c>
    </row>
    <row r="237" spans="1:22" ht="22.5" customHeight="1">
      <c r="A237" s="109"/>
      <c r="B237" s="109"/>
      <c r="C237" s="144">
        <v>83</v>
      </c>
      <c r="D237" s="144">
        <v>130205205</v>
      </c>
      <c r="E237" s="144" t="s">
        <v>1312</v>
      </c>
      <c r="F237" s="144" t="s">
        <v>11</v>
      </c>
      <c r="G237" s="144" t="s">
        <v>11</v>
      </c>
      <c r="H237" s="144" t="s">
        <v>1316</v>
      </c>
      <c r="I237" s="144" t="s">
        <v>1315</v>
      </c>
      <c r="J237" s="145">
        <v>3</v>
      </c>
      <c r="K237" s="144" t="str">
        <f t="shared" si="12"/>
        <v>NON DISTRIBUTOR</v>
      </c>
      <c r="L237" s="144" t="s">
        <v>37</v>
      </c>
      <c r="M237" s="145">
        <v>1</v>
      </c>
      <c r="N237" s="144" t="str">
        <f t="shared" si="10"/>
        <v>In Carton</v>
      </c>
      <c r="O237" s="144" t="str">
        <f t="shared" si="11"/>
        <v>Carton</v>
      </c>
      <c r="P237" s="145">
        <f t="shared" si="7"/>
        <v>1</v>
      </c>
      <c r="Q237" s="144" t="str">
        <f t="shared" si="8"/>
        <v>large</v>
      </c>
      <c r="R237" s="144">
        <v>1</v>
      </c>
      <c r="S237" s="146">
        <f>8291*12</f>
        <v>99492</v>
      </c>
      <c r="T237" s="147">
        <f t="shared" si="9"/>
        <v>89632.432432432426</v>
      </c>
      <c r="U237" s="222">
        <f>V237+(V237*11%)</f>
        <v>93211.14</v>
      </c>
      <c r="V237" s="222">
        <v>83974</v>
      </c>
    </row>
    <row r="238" spans="1:22" ht="22.5" customHeight="1">
      <c r="A238" s="109"/>
      <c r="B238" s="109"/>
      <c r="C238" s="144">
        <v>83</v>
      </c>
      <c r="D238" s="144">
        <v>130205205</v>
      </c>
      <c r="E238" s="144" t="s">
        <v>1312</v>
      </c>
      <c r="F238" s="144" t="s">
        <v>11</v>
      </c>
      <c r="G238" s="144" t="s">
        <v>11</v>
      </c>
      <c r="H238" s="144" t="s">
        <v>1316</v>
      </c>
      <c r="I238" s="144" t="s">
        <v>1315</v>
      </c>
      <c r="J238" s="145">
        <v>3</v>
      </c>
      <c r="K238" s="144" t="str">
        <f t="shared" si="12"/>
        <v>NON DISTRIBUTOR</v>
      </c>
      <c r="L238" s="144" t="s">
        <v>37</v>
      </c>
      <c r="M238" s="145">
        <v>4</v>
      </c>
      <c r="N238" s="144" t="str">
        <f t="shared" si="10"/>
        <v>In Pack</v>
      </c>
      <c r="O238" s="144" t="str">
        <f t="shared" si="11"/>
        <v>Box</v>
      </c>
      <c r="P238" s="145">
        <f t="shared" si="7"/>
        <v>2</v>
      </c>
      <c r="Q238" s="144">
        <f t="shared" si="8"/>
        <v>0</v>
      </c>
      <c r="R238" s="144">
        <v>12</v>
      </c>
      <c r="S238" s="146">
        <f>S237/12</f>
        <v>8291</v>
      </c>
      <c r="T238" s="147">
        <f t="shared" si="9"/>
        <v>7469.3693693693685</v>
      </c>
      <c r="U238" s="222">
        <v>7767</v>
      </c>
      <c r="V238" s="222">
        <v>6997</v>
      </c>
    </row>
    <row r="239" spans="1:22" ht="22.5" customHeight="1">
      <c r="A239" s="109"/>
      <c r="B239" s="109"/>
      <c r="C239" s="144">
        <v>83</v>
      </c>
      <c r="D239" s="144">
        <v>130205205</v>
      </c>
      <c r="E239" s="144" t="s">
        <v>1312</v>
      </c>
      <c r="F239" s="144" t="s">
        <v>11</v>
      </c>
      <c r="G239" s="144" t="s">
        <v>11</v>
      </c>
      <c r="H239" s="144" t="s">
        <v>1316</v>
      </c>
      <c r="I239" s="144" t="s">
        <v>1315</v>
      </c>
      <c r="J239" s="145">
        <v>3</v>
      </c>
      <c r="K239" s="144" t="str">
        <f t="shared" si="12"/>
        <v>NON DISTRIBUTOR</v>
      </c>
      <c r="L239" s="144" t="s">
        <v>37</v>
      </c>
      <c r="M239" s="145">
        <v>9</v>
      </c>
      <c r="N239" s="144" t="str">
        <f t="shared" si="10"/>
        <v>In Pcs</v>
      </c>
      <c r="O239" s="144" t="str">
        <f t="shared" si="11"/>
        <v>Pcs</v>
      </c>
      <c r="P239" s="145">
        <f t="shared" si="7"/>
        <v>4</v>
      </c>
      <c r="Q239" s="144" t="str">
        <f t="shared" si="8"/>
        <v>small</v>
      </c>
      <c r="R239" s="144">
        <v>240</v>
      </c>
      <c r="S239" s="146">
        <f>S238/20</f>
        <v>414.55</v>
      </c>
      <c r="T239" s="147">
        <f t="shared" si="9"/>
        <v>373.46846846846847</v>
      </c>
      <c r="U239" s="222">
        <v>388</v>
      </c>
      <c r="V239" s="222">
        <v>349</v>
      </c>
    </row>
    <row r="240" spans="1:22" ht="22.5" customHeight="1">
      <c r="A240" s="109"/>
      <c r="B240" s="109"/>
      <c r="C240" s="144">
        <v>84</v>
      </c>
      <c r="D240" s="144">
        <v>130205201</v>
      </c>
      <c r="E240" s="144" t="s">
        <v>1313</v>
      </c>
      <c r="F240" s="144" t="s">
        <v>11</v>
      </c>
      <c r="G240" s="144" t="s">
        <v>11</v>
      </c>
      <c r="H240" s="144" t="s">
        <v>1316</v>
      </c>
      <c r="I240" s="144" t="s">
        <v>1315</v>
      </c>
      <c r="J240" s="145">
        <v>3</v>
      </c>
      <c r="K240" s="144" t="str">
        <f t="shared" si="12"/>
        <v>NON DISTRIBUTOR</v>
      </c>
      <c r="L240" s="144" t="s">
        <v>37</v>
      </c>
      <c r="M240" s="145">
        <v>1</v>
      </c>
      <c r="N240" s="144" t="str">
        <f t="shared" si="10"/>
        <v>In Carton</v>
      </c>
      <c r="O240" s="144" t="str">
        <f t="shared" si="11"/>
        <v>Carton</v>
      </c>
      <c r="P240" s="145">
        <f t="shared" si="7"/>
        <v>1</v>
      </c>
      <c r="Q240" s="144" t="str">
        <f t="shared" si="8"/>
        <v>large</v>
      </c>
      <c r="R240" s="144">
        <v>1</v>
      </c>
      <c r="S240" s="146">
        <f>8291*12</f>
        <v>99492</v>
      </c>
      <c r="T240" s="147">
        <f t="shared" si="9"/>
        <v>89632.432432432426</v>
      </c>
      <c r="U240" s="222">
        <f>V240+(V240*11%)</f>
        <v>93211.14</v>
      </c>
      <c r="V240" s="222">
        <v>83974</v>
      </c>
    </row>
    <row r="241" spans="1:22" ht="22.5" customHeight="1">
      <c r="A241" s="109"/>
      <c r="B241" s="109"/>
      <c r="C241" s="144">
        <v>84</v>
      </c>
      <c r="D241" s="144">
        <v>130205201</v>
      </c>
      <c r="E241" s="144" t="s">
        <v>1313</v>
      </c>
      <c r="F241" s="144" t="s">
        <v>11</v>
      </c>
      <c r="G241" s="144" t="s">
        <v>11</v>
      </c>
      <c r="H241" s="144" t="s">
        <v>1316</v>
      </c>
      <c r="I241" s="144" t="s">
        <v>1315</v>
      </c>
      <c r="J241" s="145">
        <v>3</v>
      </c>
      <c r="K241" s="144" t="str">
        <f t="shared" si="12"/>
        <v>NON DISTRIBUTOR</v>
      </c>
      <c r="L241" s="144" t="s">
        <v>37</v>
      </c>
      <c r="M241" s="145">
        <v>4</v>
      </c>
      <c r="N241" s="144" t="str">
        <f t="shared" si="10"/>
        <v>In Pack</v>
      </c>
      <c r="O241" s="144" t="str">
        <f t="shared" si="11"/>
        <v>Box</v>
      </c>
      <c r="P241" s="145">
        <f t="shared" si="7"/>
        <v>2</v>
      </c>
      <c r="Q241" s="144">
        <f t="shared" si="8"/>
        <v>0</v>
      </c>
      <c r="R241" s="144">
        <v>12</v>
      </c>
      <c r="S241" s="146">
        <f>S240/12</f>
        <v>8291</v>
      </c>
      <c r="T241" s="147">
        <f t="shared" si="9"/>
        <v>7469.3693693693685</v>
      </c>
      <c r="U241" s="222">
        <v>7767</v>
      </c>
      <c r="V241" s="222">
        <v>6997</v>
      </c>
    </row>
    <row r="242" spans="1:22" ht="22.5" customHeight="1">
      <c r="A242" s="109"/>
      <c r="B242" s="109"/>
      <c r="C242" s="144">
        <v>84</v>
      </c>
      <c r="D242" s="144">
        <v>130205201</v>
      </c>
      <c r="E242" s="144" t="s">
        <v>1313</v>
      </c>
      <c r="F242" s="144" t="s">
        <v>11</v>
      </c>
      <c r="G242" s="144" t="s">
        <v>11</v>
      </c>
      <c r="H242" s="144" t="s">
        <v>1316</v>
      </c>
      <c r="I242" s="144" t="s">
        <v>1315</v>
      </c>
      <c r="J242" s="145">
        <v>3</v>
      </c>
      <c r="K242" s="144" t="str">
        <f t="shared" si="12"/>
        <v>NON DISTRIBUTOR</v>
      </c>
      <c r="L242" s="144" t="s">
        <v>37</v>
      </c>
      <c r="M242" s="145">
        <v>9</v>
      </c>
      <c r="N242" s="144" t="str">
        <f t="shared" si="10"/>
        <v>In Pcs</v>
      </c>
      <c r="O242" s="144" t="str">
        <f t="shared" si="11"/>
        <v>Pcs</v>
      </c>
      <c r="P242" s="145">
        <f t="shared" si="7"/>
        <v>4</v>
      </c>
      <c r="Q242" s="144" t="str">
        <f t="shared" si="8"/>
        <v>small</v>
      </c>
      <c r="R242" s="144">
        <v>240</v>
      </c>
      <c r="S242" s="146">
        <f>S241/20</f>
        <v>414.55</v>
      </c>
      <c r="T242" s="147">
        <f t="shared" si="9"/>
        <v>373.46846846846847</v>
      </c>
      <c r="U242" s="222">
        <v>388</v>
      </c>
      <c r="V242" s="222">
        <v>349</v>
      </c>
    </row>
    <row r="243" spans="1:22" ht="22.5" customHeight="1">
      <c r="A243" s="109"/>
      <c r="B243" s="109"/>
      <c r="C243" s="144">
        <v>85</v>
      </c>
      <c r="D243" s="144">
        <v>130205202</v>
      </c>
      <c r="E243" s="144" t="s">
        <v>1314</v>
      </c>
      <c r="F243" s="144" t="s">
        <v>11</v>
      </c>
      <c r="G243" s="144" t="s">
        <v>11</v>
      </c>
      <c r="H243" s="144" t="s">
        <v>1316</v>
      </c>
      <c r="I243" s="144" t="s">
        <v>1315</v>
      </c>
      <c r="J243" s="145">
        <v>3</v>
      </c>
      <c r="K243" s="144" t="str">
        <f t="shared" si="12"/>
        <v>NON DISTRIBUTOR</v>
      </c>
      <c r="L243" s="144" t="s">
        <v>37</v>
      </c>
      <c r="M243" s="145">
        <v>1</v>
      </c>
      <c r="N243" s="144" t="str">
        <f t="shared" si="10"/>
        <v>In Carton</v>
      </c>
      <c r="O243" s="144" t="str">
        <f t="shared" si="11"/>
        <v>Carton</v>
      </c>
      <c r="P243" s="145">
        <f t="shared" si="7"/>
        <v>1</v>
      </c>
      <c r="Q243" s="144" t="str">
        <f t="shared" si="8"/>
        <v>large</v>
      </c>
      <c r="R243" s="144">
        <v>1</v>
      </c>
      <c r="S243" s="146">
        <f>8291*12</f>
        <v>99492</v>
      </c>
      <c r="T243" s="147">
        <f t="shared" si="9"/>
        <v>89632.432432432426</v>
      </c>
      <c r="U243" s="222">
        <f>V243+(V243*11%)</f>
        <v>93211.14</v>
      </c>
      <c r="V243" s="222">
        <v>83974</v>
      </c>
    </row>
    <row r="244" spans="1:22" ht="22.5" customHeight="1">
      <c r="A244" s="109"/>
      <c r="B244" s="109"/>
      <c r="C244" s="144">
        <v>85</v>
      </c>
      <c r="D244" s="144">
        <v>130205203</v>
      </c>
      <c r="E244" s="144" t="s">
        <v>1314</v>
      </c>
      <c r="F244" s="144" t="s">
        <v>11</v>
      </c>
      <c r="G244" s="144" t="s">
        <v>11</v>
      </c>
      <c r="H244" s="144" t="s">
        <v>1316</v>
      </c>
      <c r="I244" s="144" t="s">
        <v>1315</v>
      </c>
      <c r="J244" s="145">
        <v>3</v>
      </c>
      <c r="K244" s="144" t="str">
        <f t="shared" si="12"/>
        <v>NON DISTRIBUTOR</v>
      </c>
      <c r="L244" s="144" t="s">
        <v>37</v>
      </c>
      <c r="M244" s="145">
        <v>4</v>
      </c>
      <c r="N244" s="144" t="str">
        <f t="shared" si="10"/>
        <v>In Pack</v>
      </c>
      <c r="O244" s="144" t="str">
        <f t="shared" si="11"/>
        <v>Box</v>
      </c>
      <c r="P244" s="145">
        <f t="shared" si="7"/>
        <v>2</v>
      </c>
      <c r="Q244" s="144">
        <f t="shared" si="8"/>
        <v>0</v>
      </c>
      <c r="R244" s="144">
        <v>12</v>
      </c>
      <c r="S244" s="146">
        <f>S243/12</f>
        <v>8291</v>
      </c>
      <c r="T244" s="147">
        <f t="shared" si="9"/>
        <v>7469.3693693693685</v>
      </c>
      <c r="U244" s="222">
        <v>7767</v>
      </c>
      <c r="V244" s="222">
        <v>6997</v>
      </c>
    </row>
    <row r="245" spans="1:22" ht="22.5" customHeight="1">
      <c r="A245" s="109"/>
      <c r="B245" s="109"/>
      <c r="C245" s="144">
        <v>85</v>
      </c>
      <c r="D245" s="144">
        <v>130205204</v>
      </c>
      <c r="E245" s="144" t="s">
        <v>1314</v>
      </c>
      <c r="F245" s="144" t="s">
        <v>11</v>
      </c>
      <c r="G245" s="144" t="s">
        <v>11</v>
      </c>
      <c r="H245" s="144" t="s">
        <v>1316</v>
      </c>
      <c r="I245" s="144" t="s">
        <v>1315</v>
      </c>
      <c r="J245" s="145">
        <v>3</v>
      </c>
      <c r="K245" s="144" t="str">
        <f t="shared" si="12"/>
        <v>NON DISTRIBUTOR</v>
      </c>
      <c r="L245" s="144" t="s">
        <v>37</v>
      </c>
      <c r="M245" s="145">
        <v>9</v>
      </c>
      <c r="N245" s="144" t="str">
        <f t="shared" si="10"/>
        <v>In Pcs</v>
      </c>
      <c r="O245" s="144" t="str">
        <f t="shared" si="11"/>
        <v>Pcs</v>
      </c>
      <c r="P245" s="145">
        <f t="shared" si="7"/>
        <v>4</v>
      </c>
      <c r="Q245" s="144" t="str">
        <f t="shared" si="8"/>
        <v>small</v>
      </c>
      <c r="R245" s="144">
        <v>240</v>
      </c>
      <c r="S245" s="146">
        <f>S244/20</f>
        <v>414.55</v>
      </c>
      <c r="T245" s="147">
        <f t="shared" si="9"/>
        <v>373.46846846846847</v>
      </c>
      <c r="U245" s="222">
        <v>388</v>
      </c>
      <c r="V245" s="222">
        <v>349</v>
      </c>
    </row>
    <row r="246" spans="1:22" ht="22.5" customHeight="1">
      <c r="A246" s="109"/>
      <c r="B246" s="109"/>
      <c r="C246" s="148">
        <v>86</v>
      </c>
      <c r="D246" s="148">
        <v>431533</v>
      </c>
      <c r="E246" s="148" t="s">
        <v>1317</v>
      </c>
      <c r="F246" s="148" t="s">
        <v>332</v>
      </c>
      <c r="G246" s="148" t="s">
        <v>332</v>
      </c>
      <c r="H246" s="148"/>
      <c r="I246" s="148" t="s">
        <v>1325</v>
      </c>
      <c r="J246" s="149">
        <v>3</v>
      </c>
      <c r="K246" s="148" t="str">
        <f t="shared" si="12"/>
        <v>NON DISTRIBUTOR</v>
      </c>
      <c r="L246" s="148" t="s">
        <v>37</v>
      </c>
      <c r="M246" s="149">
        <v>1</v>
      </c>
      <c r="N246" s="148" t="str">
        <f t="shared" si="10"/>
        <v>In Carton</v>
      </c>
      <c r="O246" s="148" t="str">
        <f t="shared" si="11"/>
        <v>Carton</v>
      </c>
      <c r="P246" s="149">
        <f t="shared" si="7"/>
        <v>1</v>
      </c>
      <c r="Q246" s="148" t="str">
        <f t="shared" si="8"/>
        <v>large</v>
      </c>
      <c r="R246" s="148">
        <v>1</v>
      </c>
      <c r="S246" s="150">
        <f>15542*6</f>
        <v>93252</v>
      </c>
      <c r="T246" s="151">
        <f t="shared" si="9"/>
        <v>84010.810810810799</v>
      </c>
      <c r="U246" s="223">
        <v>89350</v>
      </c>
      <c r="V246" s="220">
        <f>U246-(U246*11%)</f>
        <v>79521.5</v>
      </c>
    </row>
    <row r="247" spans="1:22" ht="22.5" customHeight="1">
      <c r="A247" s="109"/>
      <c r="B247" s="109"/>
      <c r="C247" s="148">
        <v>86</v>
      </c>
      <c r="D247" s="148">
        <v>431533</v>
      </c>
      <c r="E247" s="148" t="s">
        <v>1317</v>
      </c>
      <c r="F247" s="148" t="s">
        <v>332</v>
      </c>
      <c r="G247" s="148" t="s">
        <v>332</v>
      </c>
      <c r="H247" s="148"/>
      <c r="I247" s="148" t="s">
        <v>1325</v>
      </c>
      <c r="J247" s="149">
        <v>3</v>
      </c>
      <c r="K247" s="148" t="str">
        <f t="shared" si="12"/>
        <v>NON DISTRIBUTOR</v>
      </c>
      <c r="L247" s="148" t="s">
        <v>37</v>
      </c>
      <c r="M247" s="149">
        <v>8</v>
      </c>
      <c r="N247" s="148" t="str">
        <f t="shared" si="10"/>
        <v>In Renceng</v>
      </c>
      <c r="O247" s="148" t="str">
        <f t="shared" si="11"/>
        <v>Renceng</v>
      </c>
      <c r="P247" s="149">
        <f t="shared" si="7"/>
        <v>3</v>
      </c>
      <c r="Q247" s="148">
        <f t="shared" si="8"/>
        <v>0</v>
      </c>
      <c r="R247" s="148">
        <v>6</v>
      </c>
      <c r="S247" s="150">
        <f>S246/6</f>
        <v>15542</v>
      </c>
      <c r="T247" s="151">
        <f t="shared" si="9"/>
        <v>14001.801801801801</v>
      </c>
      <c r="U247" s="223">
        <v>14891</v>
      </c>
      <c r="V247" s="220">
        <f t="shared" ref="V247:V269" si="15">U247-(U247*11%)</f>
        <v>13252.99</v>
      </c>
    </row>
    <row r="248" spans="1:22" ht="22.5" customHeight="1">
      <c r="A248" s="109"/>
      <c r="B248" s="109"/>
      <c r="C248" s="148">
        <v>86</v>
      </c>
      <c r="D248" s="148">
        <v>431533</v>
      </c>
      <c r="E248" s="148" t="s">
        <v>1317</v>
      </c>
      <c r="F248" s="148" t="s">
        <v>332</v>
      </c>
      <c r="G248" s="148" t="s">
        <v>332</v>
      </c>
      <c r="H248" s="148"/>
      <c r="I248" s="148" t="s">
        <v>1325</v>
      </c>
      <c r="J248" s="149">
        <v>3</v>
      </c>
      <c r="K248" s="148" t="str">
        <f t="shared" si="12"/>
        <v>NON DISTRIBUTOR</v>
      </c>
      <c r="L248" s="148" t="s">
        <v>37</v>
      </c>
      <c r="M248" s="149">
        <v>9</v>
      </c>
      <c r="N248" s="148" t="str">
        <f t="shared" si="10"/>
        <v>In Pcs</v>
      </c>
      <c r="O248" s="148" t="str">
        <f t="shared" si="11"/>
        <v>Pcs</v>
      </c>
      <c r="P248" s="149">
        <f t="shared" si="7"/>
        <v>4</v>
      </c>
      <c r="Q248" s="148" t="str">
        <f t="shared" si="8"/>
        <v>small</v>
      </c>
      <c r="R248" s="148">
        <v>60</v>
      </c>
      <c r="S248" s="150">
        <f>S247/10</f>
        <v>1554.2</v>
      </c>
      <c r="T248" s="151">
        <f t="shared" si="9"/>
        <v>1400.1801801801801</v>
      </c>
      <c r="U248" s="223">
        <v>1489</v>
      </c>
      <c r="V248" s="220">
        <f t="shared" si="15"/>
        <v>1325.21</v>
      </c>
    </row>
    <row r="249" spans="1:22" ht="22.5" customHeight="1">
      <c r="A249" s="109"/>
      <c r="B249" s="109"/>
      <c r="C249" s="148">
        <v>87</v>
      </c>
      <c r="D249" s="148">
        <v>431531</v>
      </c>
      <c r="E249" s="148" t="s">
        <v>1318</v>
      </c>
      <c r="F249" s="148" t="s">
        <v>332</v>
      </c>
      <c r="G249" s="148" t="s">
        <v>332</v>
      </c>
      <c r="H249" s="148"/>
      <c r="I249" s="148" t="s">
        <v>1325</v>
      </c>
      <c r="J249" s="149">
        <v>3</v>
      </c>
      <c r="K249" s="148" t="str">
        <f t="shared" si="12"/>
        <v>NON DISTRIBUTOR</v>
      </c>
      <c r="L249" s="148" t="s">
        <v>37</v>
      </c>
      <c r="M249" s="149">
        <v>1</v>
      </c>
      <c r="N249" s="148" t="str">
        <f t="shared" si="10"/>
        <v>In Carton</v>
      </c>
      <c r="O249" s="148" t="str">
        <f t="shared" si="11"/>
        <v>Carton</v>
      </c>
      <c r="P249" s="149">
        <f t="shared" si="7"/>
        <v>1</v>
      </c>
      <c r="Q249" s="148" t="str">
        <f t="shared" si="8"/>
        <v>large</v>
      </c>
      <c r="R249" s="148">
        <v>1</v>
      </c>
      <c r="S249" s="150">
        <f>15542*6</f>
        <v>93252</v>
      </c>
      <c r="T249" s="151">
        <f t="shared" si="9"/>
        <v>84010.810810810799</v>
      </c>
      <c r="U249" s="223">
        <v>89350</v>
      </c>
      <c r="V249" s="220">
        <f t="shared" si="15"/>
        <v>79521.5</v>
      </c>
    </row>
    <row r="250" spans="1:22" ht="22.5" customHeight="1">
      <c r="A250" s="109"/>
      <c r="B250" s="109"/>
      <c r="C250" s="148">
        <v>87</v>
      </c>
      <c r="D250" s="148">
        <v>431531</v>
      </c>
      <c r="E250" s="148" t="s">
        <v>1318</v>
      </c>
      <c r="F250" s="148" t="s">
        <v>332</v>
      </c>
      <c r="G250" s="148" t="s">
        <v>332</v>
      </c>
      <c r="H250" s="148"/>
      <c r="I250" s="148" t="s">
        <v>1325</v>
      </c>
      <c r="J250" s="149">
        <v>3</v>
      </c>
      <c r="K250" s="148" t="str">
        <f t="shared" si="12"/>
        <v>NON DISTRIBUTOR</v>
      </c>
      <c r="L250" s="148" t="s">
        <v>37</v>
      </c>
      <c r="M250" s="149">
        <v>8</v>
      </c>
      <c r="N250" s="148" t="str">
        <f t="shared" si="10"/>
        <v>In Renceng</v>
      </c>
      <c r="O250" s="148" t="str">
        <f t="shared" si="11"/>
        <v>Renceng</v>
      </c>
      <c r="P250" s="149">
        <f t="shared" si="7"/>
        <v>3</v>
      </c>
      <c r="Q250" s="148">
        <f t="shared" si="8"/>
        <v>0</v>
      </c>
      <c r="R250" s="148">
        <v>6</v>
      </c>
      <c r="S250" s="150">
        <f>S249/6</f>
        <v>15542</v>
      </c>
      <c r="T250" s="151">
        <f t="shared" si="9"/>
        <v>14001.801801801801</v>
      </c>
      <c r="U250" s="223">
        <v>14891</v>
      </c>
      <c r="V250" s="220">
        <f t="shared" si="15"/>
        <v>13252.99</v>
      </c>
    </row>
    <row r="251" spans="1:22" ht="22.5" customHeight="1">
      <c r="A251" s="109"/>
      <c r="B251" s="109"/>
      <c r="C251" s="148">
        <v>87</v>
      </c>
      <c r="D251" s="148">
        <v>431531</v>
      </c>
      <c r="E251" s="148" t="s">
        <v>1318</v>
      </c>
      <c r="F251" s="148" t="s">
        <v>332</v>
      </c>
      <c r="G251" s="148" t="s">
        <v>332</v>
      </c>
      <c r="H251" s="148"/>
      <c r="I251" s="148" t="s">
        <v>1325</v>
      </c>
      <c r="J251" s="149">
        <v>3</v>
      </c>
      <c r="K251" s="148" t="str">
        <f t="shared" si="12"/>
        <v>NON DISTRIBUTOR</v>
      </c>
      <c r="L251" s="148" t="s">
        <v>37</v>
      </c>
      <c r="M251" s="149">
        <v>9</v>
      </c>
      <c r="N251" s="148" t="str">
        <f t="shared" si="10"/>
        <v>In Pcs</v>
      </c>
      <c r="O251" s="148" t="str">
        <f t="shared" si="11"/>
        <v>Pcs</v>
      </c>
      <c r="P251" s="149">
        <f t="shared" si="7"/>
        <v>4</v>
      </c>
      <c r="Q251" s="148" t="str">
        <f t="shared" si="8"/>
        <v>small</v>
      </c>
      <c r="R251" s="148">
        <v>60</v>
      </c>
      <c r="S251" s="150">
        <f>S250/10</f>
        <v>1554.2</v>
      </c>
      <c r="T251" s="151">
        <f t="shared" si="9"/>
        <v>1400.1801801801801</v>
      </c>
      <c r="U251" s="223">
        <v>1489</v>
      </c>
      <c r="V251" s="220">
        <f t="shared" si="15"/>
        <v>1325.21</v>
      </c>
    </row>
    <row r="252" spans="1:22" ht="22.5" customHeight="1">
      <c r="A252" s="109"/>
      <c r="B252" s="109"/>
      <c r="C252" s="148">
        <v>88</v>
      </c>
      <c r="D252" s="148">
        <v>437689</v>
      </c>
      <c r="E252" s="148" t="s">
        <v>1319</v>
      </c>
      <c r="F252" s="148" t="s">
        <v>332</v>
      </c>
      <c r="G252" s="148" t="s">
        <v>332</v>
      </c>
      <c r="H252" s="148"/>
      <c r="I252" s="148" t="s">
        <v>1325</v>
      </c>
      <c r="J252" s="149">
        <v>3</v>
      </c>
      <c r="K252" s="148" t="str">
        <f t="shared" si="12"/>
        <v>NON DISTRIBUTOR</v>
      </c>
      <c r="L252" s="148" t="s">
        <v>37</v>
      </c>
      <c r="M252" s="149">
        <v>1</v>
      </c>
      <c r="N252" s="148" t="str">
        <f t="shared" si="10"/>
        <v>In Carton</v>
      </c>
      <c r="O252" s="148" t="str">
        <f t="shared" si="11"/>
        <v>Carton</v>
      </c>
      <c r="P252" s="149">
        <f t="shared" si="7"/>
        <v>1</v>
      </c>
      <c r="Q252" s="148" t="str">
        <f t="shared" si="8"/>
        <v>large</v>
      </c>
      <c r="R252" s="148">
        <v>1</v>
      </c>
      <c r="S252" s="150">
        <f>15542*6</f>
        <v>93252</v>
      </c>
      <c r="T252" s="151">
        <f t="shared" si="9"/>
        <v>84010.810810810799</v>
      </c>
      <c r="U252" s="223">
        <v>89350</v>
      </c>
      <c r="V252" s="220">
        <f t="shared" si="15"/>
        <v>79521.5</v>
      </c>
    </row>
    <row r="253" spans="1:22" ht="22.5" customHeight="1">
      <c r="A253" s="109"/>
      <c r="B253" s="109"/>
      <c r="C253" s="148">
        <v>88</v>
      </c>
      <c r="D253" s="148">
        <v>437689</v>
      </c>
      <c r="E253" s="148" t="s">
        <v>1319</v>
      </c>
      <c r="F253" s="148" t="s">
        <v>332</v>
      </c>
      <c r="G253" s="148" t="s">
        <v>332</v>
      </c>
      <c r="H253" s="148"/>
      <c r="I253" s="148" t="s">
        <v>1325</v>
      </c>
      <c r="J253" s="149">
        <v>3</v>
      </c>
      <c r="K253" s="148" t="str">
        <f t="shared" si="12"/>
        <v>NON DISTRIBUTOR</v>
      </c>
      <c r="L253" s="148" t="s">
        <v>37</v>
      </c>
      <c r="M253" s="149">
        <v>8</v>
      </c>
      <c r="N253" s="148" t="str">
        <f t="shared" si="10"/>
        <v>In Renceng</v>
      </c>
      <c r="O253" s="148" t="str">
        <f t="shared" si="11"/>
        <v>Renceng</v>
      </c>
      <c r="P253" s="149">
        <f t="shared" si="7"/>
        <v>3</v>
      </c>
      <c r="Q253" s="148">
        <f t="shared" si="8"/>
        <v>0</v>
      </c>
      <c r="R253" s="148">
        <v>6</v>
      </c>
      <c r="S253" s="150">
        <f>S252/6</f>
        <v>15542</v>
      </c>
      <c r="T253" s="151">
        <f t="shared" si="9"/>
        <v>14001.801801801801</v>
      </c>
      <c r="U253" s="223">
        <v>14891</v>
      </c>
      <c r="V253" s="220">
        <f t="shared" si="15"/>
        <v>13252.99</v>
      </c>
    </row>
    <row r="254" spans="1:22" ht="22.5" customHeight="1">
      <c r="A254" s="109"/>
      <c r="B254" s="109"/>
      <c r="C254" s="148">
        <v>88</v>
      </c>
      <c r="D254" s="148">
        <v>437689</v>
      </c>
      <c r="E254" s="148" t="s">
        <v>1319</v>
      </c>
      <c r="F254" s="148" t="s">
        <v>332</v>
      </c>
      <c r="G254" s="148" t="s">
        <v>332</v>
      </c>
      <c r="H254" s="148"/>
      <c r="I254" s="148" t="s">
        <v>1325</v>
      </c>
      <c r="J254" s="149">
        <v>3</v>
      </c>
      <c r="K254" s="148" t="str">
        <f t="shared" si="12"/>
        <v>NON DISTRIBUTOR</v>
      </c>
      <c r="L254" s="148" t="s">
        <v>37</v>
      </c>
      <c r="M254" s="149">
        <v>9</v>
      </c>
      <c r="N254" s="148" t="str">
        <f t="shared" si="10"/>
        <v>In Pcs</v>
      </c>
      <c r="O254" s="148" t="str">
        <f t="shared" si="11"/>
        <v>Pcs</v>
      </c>
      <c r="P254" s="149">
        <f t="shared" si="7"/>
        <v>4</v>
      </c>
      <c r="Q254" s="148" t="str">
        <f t="shared" si="8"/>
        <v>small</v>
      </c>
      <c r="R254" s="148">
        <v>60</v>
      </c>
      <c r="S254" s="150">
        <f>S253/10</f>
        <v>1554.2</v>
      </c>
      <c r="T254" s="151">
        <f t="shared" si="9"/>
        <v>1400.1801801801801</v>
      </c>
      <c r="U254" s="223">
        <v>1489</v>
      </c>
      <c r="V254" s="220">
        <f t="shared" si="15"/>
        <v>1325.21</v>
      </c>
    </row>
    <row r="255" spans="1:22" ht="22.5" customHeight="1">
      <c r="A255" s="109"/>
      <c r="B255" s="109"/>
      <c r="C255" s="148">
        <v>89</v>
      </c>
      <c r="D255" s="148">
        <v>431532</v>
      </c>
      <c r="E255" s="148" t="s">
        <v>1320</v>
      </c>
      <c r="F255" s="148" t="s">
        <v>332</v>
      </c>
      <c r="G255" s="148" t="s">
        <v>332</v>
      </c>
      <c r="H255" s="148"/>
      <c r="I255" s="148" t="s">
        <v>1325</v>
      </c>
      <c r="J255" s="149">
        <v>3</v>
      </c>
      <c r="K255" s="148" t="str">
        <f>IFERROR(VLOOKUP($J255,$J$10:$K$13,2,0),"")</f>
        <v>NON DISTRIBUTOR</v>
      </c>
      <c r="L255" s="148" t="s">
        <v>37</v>
      </c>
      <c r="M255" s="149">
        <v>1</v>
      </c>
      <c r="N255" s="148" t="str">
        <f>IFERROR(VLOOKUP($M255,$M$3:$Q$14,2,0),"")</f>
        <v>In Carton</v>
      </c>
      <c r="O255" s="148" t="str">
        <f>IFERROR(VLOOKUP($M255,$M$3:$Q$14,3,0),"")</f>
        <v>Carton</v>
      </c>
      <c r="P255" s="149">
        <f>IFERROR(VLOOKUP($M255,$M$3:$Q$14,4,0),"")</f>
        <v>1</v>
      </c>
      <c r="Q255" s="148" t="str">
        <f>IFERROR(VLOOKUP($M255,$M$3:$Q$14,5,0),"")</f>
        <v>large</v>
      </c>
      <c r="R255" s="148">
        <v>1</v>
      </c>
      <c r="S255" s="150">
        <f>15542*6</f>
        <v>93252</v>
      </c>
      <c r="T255" s="151">
        <f t="shared" si="9"/>
        <v>84010.810810810799</v>
      </c>
      <c r="U255" s="223">
        <v>89350</v>
      </c>
      <c r="V255" s="220">
        <f t="shared" si="15"/>
        <v>79521.5</v>
      </c>
    </row>
    <row r="256" spans="1:22" ht="22.5" customHeight="1">
      <c r="A256" s="109"/>
      <c r="B256" s="109"/>
      <c r="C256" s="148">
        <v>89</v>
      </c>
      <c r="D256" s="148">
        <v>431532</v>
      </c>
      <c r="E256" s="148" t="s">
        <v>1320</v>
      </c>
      <c r="F256" s="148" t="s">
        <v>332</v>
      </c>
      <c r="G256" s="148" t="s">
        <v>332</v>
      </c>
      <c r="H256" s="148"/>
      <c r="I256" s="148" t="s">
        <v>1325</v>
      </c>
      <c r="J256" s="149">
        <v>3</v>
      </c>
      <c r="K256" s="148" t="str">
        <f>IFERROR(VLOOKUP($J256,$J$10:$K$13,2,0),"")</f>
        <v>NON DISTRIBUTOR</v>
      </c>
      <c r="L256" s="148" t="s">
        <v>37</v>
      </c>
      <c r="M256" s="149">
        <v>8</v>
      </c>
      <c r="N256" s="148" t="str">
        <f>IFERROR(VLOOKUP($M256,$M$3:$Q$14,2,0),"")</f>
        <v>In Renceng</v>
      </c>
      <c r="O256" s="148" t="str">
        <f>IFERROR(VLOOKUP($M256,$M$3:$Q$14,3,0),"")</f>
        <v>Renceng</v>
      </c>
      <c r="P256" s="149">
        <f>IFERROR(VLOOKUP($M256,$M$3:$Q$14,4,0),"")</f>
        <v>3</v>
      </c>
      <c r="Q256" s="148">
        <f>IFERROR(VLOOKUP($M256,$M$3:$Q$14,5,0),"")</f>
        <v>0</v>
      </c>
      <c r="R256" s="148">
        <v>6</v>
      </c>
      <c r="S256" s="150">
        <f>S255/6</f>
        <v>15542</v>
      </c>
      <c r="T256" s="151">
        <f t="shared" si="9"/>
        <v>14001.801801801801</v>
      </c>
      <c r="U256" s="223">
        <v>14891</v>
      </c>
      <c r="V256" s="220">
        <f t="shared" si="15"/>
        <v>13252.99</v>
      </c>
    </row>
    <row r="257" spans="1:22" ht="22.5" customHeight="1">
      <c r="A257" s="109"/>
      <c r="B257" s="109"/>
      <c r="C257" s="148">
        <v>89</v>
      </c>
      <c r="D257" s="148">
        <v>431532</v>
      </c>
      <c r="E257" s="148" t="s">
        <v>1320</v>
      </c>
      <c r="F257" s="148" t="s">
        <v>332</v>
      </c>
      <c r="G257" s="148" t="s">
        <v>332</v>
      </c>
      <c r="H257" s="148"/>
      <c r="I257" s="148" t="s">
        <v>1325</v>
      </c>
      <c r="J257" s="149">
        <v>3</v>
      </c>
      <c r="K257" s="148" t="str">
        <f>IFERROR(VLOOKUP($J257,$J$10:$K$13,2,0),"")</f>
        <v>NON DISTRIBUTOR</v>
      </c>
      <c r="L257" s="148" t="s">
        <v>37</v>
      </c>
      <c r="M257" s="149">
        <v>9</v>
      </c>
      <c r="N257" s="148" t="str">
        <f>IFERROR(VLOOKUP($M257,$M$3:$Q$14,2,0),"")</f>
        <v>In Pcs</v>
      </c>
      <c r="O257" s="148" t="str">
        <f>IFERROR(VLOOKUP($M257,$M$3:$Q$14,3,0),"")</f>
        <v>Pcs</v>
      </c>
      <c r="P257" s="149">
        <f>IFERROR(VLOOKUP($M257,$M$3:$Q$14,4,0),"")</f>
        <v>4</v>
      </c>
      <c r="Q257" s="148" t="str">
        <f>IFERROR(VLOOKUP($M257,$M$3:$Q$14,5,0),"")</f>
        <v>small</v>
      </c>
      <c r="R257" s="148">
        <v>60</v>
      </c>
      <c r="S257" s="150">
        <f>S256/10</f>
        <v>1554.2</v>
      </c>
      <c r="T257" s="151">
        <f t="shared" si="9"/>
        <v>1400.1801801801801</v>
      </c>
      <c r="U257" s="223">
        <v>1489</v>
      </c>
      <c r="V257" s="220">
        <f t="shared" si="15"/>
        <v>1325.21</v>
      </c>
    </row>
    <row r="258" spans="1:22" ht="22.5" customHeight="1">
      <c r="A258" s="109"/>
      <c r="B258" s="109"/>
      <c r="C258" s="148">
        <v>90</v>
      </c>
      <c r="D258" s="148">
        <v>431530</v>
      </c>
      <c r="E258" s="148" t="s">
        <v>1321</v>
      </c>
      <c r="F258" s="148" t="s">
        <v>332</v>
      </c>
      <c r="G258" s="148" t="s">
        <v>332</v>
      </c>
      <c r="H258" s="148"/>
      <c r="I258" s="148" t="s">
        <v>1325</v>
      </c>
      <c r="J258" s="149">
        <v>3</v>
      </c>
      <c r="K258" s="148" t="str">
        <f t="shared" si="12"/>
        <v>NON DISTRIBUTOR</v>
      </c>
      <c r="L258" s="148" t="s">
        <v>37</v>
      </c>
      <c r="M258" s="149">
        <v>1</v>
      </c>
      <c r="N258" s="148" t="str">
        <f t="shared" si="10"/>
        <v>In Carton</v>
      </c>
      <c r="O258" s="148" t="str">
        <f t="shared" si="11"/>
        <v>Carton</v>
      </c>
      <c r="P258" s="149">
        <f t="shared" si="7"/>
        <v>1</v>
      </c>
      <c r="Q258" s="148" t="str">
        <f t="shared" si="8"/>
        <v>large</v>
      </c>
      <c r="R258" s="148">
        <v>1</v>
      </c>
      <c r="S258" s="150">
        <f>15542*6</f>
        <v>93252</v>
      </c>
      <c r="T258" s="151">
        <f t="shared" si="9"/>
        <v>84010.810810810799</v>
      </c>
      <c r="U258" s="223">
        <v>89350</v>
      </c>
      <c r="V258" s="220">
        <f t="shared" si="15"/>
        <v>79521.5</v>
      </c>
    </row>
    <row r="259" spans="1:22" ht="22.5" customHeight="1">
      <c r="A259" s="109"/>
      <c r="B259" s="109"/>
      <c r="C259" s="148">
        <v>90</v>
      </c>
      <c r="D259" s="148">
        <v>431530</v>
      </c>
      <c r="E259" s="148" t="s">
        <v>1321</v>
      </c>
      <c r="F259" s="148" t="s">
        <v>332</v>
      </c>
      <c r="G259" s="148" t="s">
        <v>332</v>
      </c>
      <c r="H259" s="148"/>
      <c r="I259" s="148" t="s">
        <v>1325</v>
      </c>
      <c r="J259" s="149">
        <v>3</v>
      </c>
      <c r="K259" s="148" t="str">
        <f t="shared" si="12"/>
        <v>NON DISTRIBUTOR</v>
      </c>
      <c r="L259" s="148" t="s">
        <v>37</v>
      </c>
      <c r="M259" s="149">
        <v>8</v>
      </c>
      <c r="N259" s="148" t="str">
        <f t="shared" si="10"/>
        <v>In Renceng</v>
      </c>
      <c r="O259" s="148" t="str">
        <f t="shared" si="11"/>
        <v>Renceng</v>
      </c>
      <c r="P259" s="149">
        <f t="shared" si="7"/>
        <v>3</v>
      </c>
      <c r="Q259" s="148">
        <f t="shared" si="8"/>
        <v>0</v>
      </c>
      <c r="R259" s="148">
        <v>6</v>
      </c>
      <c r="S259" s="150">
        <f>S258/6</f>
        <v>15542</v>
      </c>
      <c r="T259" s="151">
        <f t="shared" si="9"/>
        <v>14001.801801801801</v>
      </c>
      <c r="U259" s="223">
        <v>14891</v>
      </c>
      <c r="V259" s="220">
        <f t="shared" si="15"/>
        <v>13252.99</v>
      </c>
    </row>
    <row r="260" spans="1:22" ht="22.5" customHeight="1">
      <c r="A260" s="109"/>
      <c r="B260" s="109"/>
      <c r="C260" s="148">
        <v>90</v>
      </c>
      <c r="D260" s="148">
        <v>431530</v>
      </c>
      <c r="E260" s="148" t="s">
        <v>1321</v>
      </c>
      <c r="F260" s="148" t="s">
        <v>332</v>
      </c>
      <c r="G260" s="148" t="s">
        <v>332</v>
      </c>
      <c r="H260" s="148"/>
      <c r="I260" s="148" t="s">
        <v>1325</v>
      </c>
      <c r="J260" s="149">
        <v>3</v>
      </c>
      <c r="K260" s="148" t="str">
        <f t="shared" si="12"/>
        <v>NON DISTRIBUTOR</v>
      </c>
      <c r="L260" s="148" t="s">
        <v>37</v>
      </c>
      <c r="M260" s="149">
        <v>9</v>
      </c>
      <c r="N260" s="148" t="str">
        <f t="shared" si="10"/>
        <v>In Pcs</v>
      </c>
      <c r="O260" s="148" t="str">
        <f t="shared" si="11"/>
        <v>Pcs</v>
      </c>
      <c r="P260" s="149">
        <f t="shared" si="7"/>
        <v>4</v>
      </c>
      <c r="Q260" s="148" t="str">
        <f t="shared" si="8"/>
        <v>small</v>
      </c>
      <c r="R260" s="148">
        <v>60</v>
      </c>
      <c r="S260" s="150">
        <f>S259/10</f>
        <v>1554.2</v>
      </c>
      <c r="T260" s="151">
        <f t="shared" si="9"/>
        <v>1400.1801801801801</v>
      </c>
      <c r="U260" s="223">
        <v>1489</v>
      </c>
      <c r="V260" s="220">
        <f t="shared" si="15"/>
        <v>1325.21</v>
      </c>
    </row>
    <row r="261" spans="1:22" ht="22.5" customHeight="1">
      <c r="A261" s="109"/>
      <c r="B261" s="109"/>
      <c r="C261" s="148">
        <v>91</v>
      </c>
      <c r="D261" s="148">
        <v>419710</v>
      </c>
      <c r="E261" s="148" t="s">
        <v>1322</v>
      </c>
      <c r="F261" s="148" t="s">
        <v>332</v>
      </c>
      <c r="G261" s="148" t="s">
        <v>332</v>
      </c>
      <c r="H261" s="148"/>
      <c r="I261" s="148" t="s">
        <v>1325</v>
      </c>
      <c r="J261" s="149">
        <v>3</v>
      </c>
      <c r="K261" s="148" t="str">
        <f t="shared" si="12"/>
        <v>NON DISTRIBUTOR</v>
      </c>
      <c r="L261" s="148" t="s">
        <v>37</v>
      </c>
      <c r="M261" s="149">
        <v>1</v>
      </c>
      <c r="N261" s="148" t="str">
        <f t="shared" si="10"/>
        <v>In Carton</v>
      </c>
      <c r="O261" s="148" t="str">
        <f t="shared" si="11"/>
        <v>Carton</v>
      </c>
      <c r="P261" s="149">
        <f t="shared" si="7"/>
        <v>1</v>
      </c>
      <c r="Q261" s="148" t="str">
        <f t="shared" si="8"/>
        <v>large</v>
      </c>
      <c r="R261" s="148">
        <v>1</v>
      </c>
      <c r="S261" s="150">
        <f>17000*6</f>
        <v>102000</v>
      </c>
      <c r="T261" s="151">
        <f t="shared" si="9"/>
        <v>91891.891891891879</v>
      </c>
      <c r="U261" s="223">
        <v>97500</v>
      </c>
      <c r="V261" s="223">
        <f t="shared" si="15"/>
        <v>86775</v>
      </c>
    </row>
    <row r="262" spans="1:22" ht="22.5" customHeight="1">
      <c r="A262" s="109"/>
      <c r="B262" s="109"/>
      <c r="C262" s="148">
        <v>91</v>
      </c>
      <c r="D262" s="148">
        <v>419710</v>
      </c>
      <c r="E262" s="148" t="s">
        <v>1322</v>
      </c>
      <c r="F262" s="148" t="s">
        <v>332</v>
      </c>
      <c r="G262" s="148" t="s">
        <v>332</v>
      </c>
      <c r="H262" s="148"/>
      <c r="I262" s="148" t="s">
        <v>1325</v>
      </c>
      <c r="J262" s="149">
        <v>3</v>
      </c>
      <c r="K262" s="148" t="str">
        <f t="shared" si="12"/>
        <v>NON DISTRIBUTOR</v>
      </c>
      <c r="L262" s="148" t="s">
        <v>37</v>
      </c>
      <c r="M262" s="149">
        <v>8</v>
      </c>
      <c r="N262" s="148" t="str">
        <f t="shared" si="10"/>
        <v>In Renceng</v>
      </c>
      <c r="O262" s="148" t="str">
        <f t="shared" si="11"/>
        <v>Renceng</v>
      </c>
      <c r="P262" s="149">
        <f t="shared" si="7"/>
        <v>3</v>
      </c>
      <c r="Q262" s="148">
        <f t="shared" si="8"/>
        <v>0</v>
      </c>
      <c r="R262" s="148">
        <v>6</v>
      </c>
      <c r="S262" s="150">
        <f>S261/6</f>
        <v>17000</v>
      </c>
      <c r="T262" s="151">
        <f t="shared" si="9"/>
        <v>15315.315315315314</v>
      </c>
      <c r="U262" s="223">
        <v>16250</v>
      </c>
      <c r="V262" s="223">
        <f t="shared" si="15"/>
        <v>14462.5</v>
      </c>
    </row>
    <row r="263" spans="1:22" ht="22.5" customHeight="1">
      <c r="A263" s="109"/>
      <c r="B263" s="109"/>
      <c r="C263" s="148">
        <v>91</v>
      </c>
      <c r="D263" s="148">
        <v>419710</v>
      </c>
      <c r="E263" s="148" t="s">
        <v>1322</v>
      </c>
      <c r="F263" s="148" t="s">
        <v>332</v>
      </c>
      <c r="G263" s="148" t="s">
        <v>332</v>
      </c>
      <c r="H263" s="148"/>
      <c r="I263" s="148" t="s">
        <v>1325</v>
      </c>
      <c r="J263" s="149">
        <v>3</v>
      </c>
      <c r="K263" s="148" t="str">
        <f t="shared" si="12"/>
        <v>NON DISTRIBUTOR</v>
      </c>
      <c r="L263" s="148" t="s">
        <v>37</v>
      </c>
      <c r="M263" s="149">
        <v>9</v>
      </c>
      <c r="N263" s="148" t="str">
        <f t="shared" si="10"/>
        <v>In Pcs</v>
      </c>
      <c r="O263" s="148" t="str">
        <f t="shared" si="11"/>
        <v>Pcs</v>
      </c>
      <c r="P263" s="149">
        <f t="shared" si="7"/>
        <v>4</v>
      </c>
      <c r="Q263" s="148" t="str">
        <f t="shared" si="8"/>
        <v>small</v>
      </c>
      <c r="R263" s="148">
        <v>60</v>
      </c>
      <c r="S263" s="150">
        <f>S262/10</f>
        <v>1700</v>
      </c>
      <c r="T263" s="151">
        <f t="shared" si="9"/>
        <v>1531.5315315315313</v>
      </c>
      <c r="U263" s="223">
        <v>1625</v>
      </c>
      <c r="V263" s="223">
        <f t="shared" si="15"/>
        <v>1446.25</v>
      </c>
    </row>
    <row r="264" spans="1:22" ht="22.5" customHeight="1">
      <c r="A264" s="109"/>
      <c r="B264" s="109"/>
      <c r="C264" s="148">
        <v>92</v>
      </c>
      <c r="D264" s="148">
        <v>400582</v>
      </c>
      <c r="E264" s="148" t="s">
        <v>1323</v>
      </c>
      <c r="F264" s="148" t="s">
        <v>332</v>
      </c>
      <c r="G264" s="148" t="s">
        <v>332</v>
      </c>
      <c r="H264" s="148"/>
      <c r="I264" s="148" t="s">
        <v>1325</v>
      </c>
      <c r="J264" s="149">
        <v>3</v>
      </c>
      <c r="K264" s="148" t="str">
        <f t="shared" si="12"/>
        <v>NON DISTRIBUTOR</v>
      </c>
      <c r="L264" s="148" t="s">
        <v>37</v>
      </c>
      <c r="M264" s="149">
        <v>1</v>
      </c>
      <c r="N264" s="148" t="str">
        <f t="shared" si="10"/>
        <v>In Carton</v>
      </c>
      <c r="O264" s="148" t="str">
        <f t="shared" si="11"/>
        <v>Carton</v>
      </c>
      <c r="P264" s="149">
        <f t="shared" si="7"/>
        <v>1</v>
      </c>
      <c r="Q264" s="148" t="str">
        <f t="shared" si="8"/>
        <v>large</v>
      </c>
      <c r="R264" s="148">
        <v>1</v>
      </c>
      <c r="S264" s="150">
        <f>6*17000</f>
        <v>102000</v>
      </c>
      <c r="T264" s="151">
        <f t="shared" si="9"/>
        <v>91891.891891891879</v>
      </c>
      <c r="U264" s="223">
        <v>97500</v>
      </c>
      <c r="V264" s="223">
        <f t="shared" si="15"/>
        <v>86775</v>
      </c>
    </row>
    <row r="265" spans="1:22" ht="22.5" customHeight="1">
      <c r="A265" s="109"/>
      <c r="B265" s="109"/>
      <c r="C265" s="148">
        <v>92</v>
      </c>
      <c r="D265" s="148">
        <v>400582</v>
      </c>
      <c r="E265" s="148" t="s">
        <v>1323</v>
      </c>
      <c r="F265" s="148" t="s">
        <v>332</v>
      </c>
      <c r="G265" s="148" t="s">
        <v>332</v>
      </c>
      <c r="H265" s="148"/>
      <c r="I265" s="148" t="s">
        <v>1325</v>
      </c>
      <c r="J265" s="149">
        <v>3</v>
      </c>
      <c r="K265" s="148" t="str">
        <f t="shared" si="12"/>
        <v>NON DISTRIBUTOR</v>
      </c>
      <c r="L265" s="148" t="s">
        <v>37</v>
      </c>
      <c r="M265" s="149">
        <v>8</v>
      </c>
      <c r="N265" s="148" t="str">
        <f t="shared" si="10"/>
        <v>In Renceng</v>
      </c>
      <c r="O265" s="148" t="str">
        <f t="shared" si="11"/>
        <v>Renceng</v>
      </c>
      <c r="P265" s="149">
        <f t="shared" si="7"/>
        <v>3</v>
      </c>
      <c r="Q265" s="148">
        <f t="shared" si="8"/>
        <v>0</v>
      </c>
      <c r="R265" s="148">
        <v>6</v>
      </c>
      <c r="S265" s="150">
        <f>S264/6</f>
        <v>17000</v>
      </c>
      <c r="T265" s="151">
        <f t="shared" si="9"/>
        <v>15315.315315315314</v>
      </c>
      <c r="U265" s="223">
        <v>16250</v>
      </c>
      <c r="V265" s="223">
        <f t="shared" si="15"/>
        <v>14462.5</v>
      </c>
    </row>
    <row r="266" spans="1:22" ht="22.5" customHeight="1">
      <c r="A266" s="109"/>
      <c r="B266" s="109"/>
      <c r="C266" s="148">
        <v>92</v>
      </c>
      <c r="D266" s="148">
        <v>400582</v>
      </c>
      <c r="E266" s="148" t="s">
        <v>1323</v>
      </c>
      <c r="F266" s="148" t="s">
        <v>332</v>
      </c>
      <c r="G266" s="148" t="s">
        <v>332</v>
      </c>
      <c r="H266" s="148"/>
      <c r="I266" s="148" t="s">
        <v>1325</v>
      </c>
      <c r="J266" s="149">
        <v>3</v>
      </c>
      <c r="K266" s="148" t="str">
        <f t="shared" si="12"/>
        <v>NON DISTRIBUTOR</v>
      </c>
      <c r="L266" s="148" t="s">
        <v>37</v>
      </c>
      <c r="M266" s="149">
        <v>9</v>
      </c>
      <c r="N266" s="148" t="str">
        <f t="shared" si="10"/>
        <v>In Pcs</v>
      </c>
      <c r="O266" s="148" t="str">
        <f t="shared" si="11"/>
        <v>Pcs</v>
      </c>
      <c r="P266" s="149">
        <f t="shared" si="7"/>
        <v>4</v>
      </c>
      <c r="Q266" s="148" t="str">
        <f t="shared" si="8"/>
        <v>small</v>
      </c>
      <c r="R266" s="148">
        <v>60</v>
      </c>
      <c r="S266" s="150">
        <f>S265/10</f>
        <v>1700</v>
      </c>
      <c r="T266" s="151">
        <f t="shared" si="9"/>
        <v>1531.5315315315313</v>
      </c>
      <c r="U266" s="223">
        <v>1625</v>
      </c>
      <c r="V266" s="223">
        <f t="shared" si="15"/>
        <v>1446.25</v>
      </c>
    </row>
    <row r="267" spans="1:22" ht="22.5" customHeight="1">
      <c r="A267" s="109"/>
      <c r="B267" s="109"/>
      <c r="C267" s="148">
        <v>93</v>
      </c>
      <c r="D267" s="148">
        <v>436739</v>
      </c>
      <c r="E267" s="148" t="s">
        <v>1324</v>
      </c>
      <c r="F267" s="148" t="s">
        <v>332</v>
      </c>
      <c r="G267" s="148" t="s">
        <v>332</v>
      </c>
      <c r="H267" s="148"/>
      <c r="I267" s="148" t="s">
        <v>1325</v>
      </c>
      <c r="J267" s="149">
        <v>3</v>
      </c>
      <c r="K267" s="148" t="str">
        <f t="shared" si="12"/>
        <v>NON DISTRIBUTOR</v>
      </c>
      <c r="L267" s="148" t="s">
        <v>37</v>
      </c>
      <c r="M267" s="149">
        <v>1</v>
      </c>
      <c r="N267" s="148" t="str">
        <f t="shared" si="10"/>
        <v>In Carton</v>
      </c>
      <c r="O267" s="148" t="str">
        <f t="shared" si="11"/>
        <v>Carton</v>
      </c>
      <c r="P267" s="149">
        <f t="shared" si="7"/>
        <v>1</v>
      </c>
      <c r="Q267" s="148" t="str">
        <f t="shared" si="8"/>
        <v>large</v>
      </c>
      <c r="R267" s="148">
        <v>1</v>
      </c>
      <c r="S267" s="150">
        <f>16542*6</f>
        <v>99252</v>
      </c>
      <c r="T267" s="151">
        <f t="shared" si="9"/>
        <v>89416.216216216213</v>
      </c>
      <c r="U267" s="223">
        <v>97500</v>
      </c>
      <c r="V267" s="223">
        <f t="shared" si="15"/>
        <v>86775</v>
      </c>
    </row>
    <row r="268" spans="1:22" ht="22.5" customHeight="1">
      <c r="A268" s="109"/>
      <c r="B268" s="109"/>
      <c r="C268" s="148">
        <v>93</v>
      </c>
      <c r="D268" s="148">
        <v>436740</v>
      </c>
      <c r="E268" s="148" t="s">
        <v>1417</v>
      </c>
      <c r="F268" s="148" t="s">
        <v>332</v>
      </c>
      <c r="G268" s="148" t="s">
        <v>332</v>
      </c>
      <c r="H268" s="148"/>
      <c r="I268" s="148" t="s">
        <v>1325</v>
      </c>
      <c r="J268" s="149">
        <v>3</v>
      </c>
      <c r="K268" s="148" t="str">
        <f t="shared" si="12"/>
        <v>NON DISTRIBUTOR</v>
      </c>
      <c r="L268" s="148" t="s">
        <v>37</v>
      </c>
      <c r="M268" s="149">
        <v>8</v>
      </c>
      <c r="N268" s="148" t="str">
        <f t="shared" si="10"/>
        <v>In Renceng</v>
      </c>
      <c r="O268" s="148" t="str">
        <f t="shared" si="11"/>
        <v>Renceng</v>
      </c>
      <c r="P268" s="149">
        <f t="shared" si="7"/>
        <v>3</v>
      </c>
      <c r="Q268" s="148">
        <f t="shared" si="8"/>
        <v>0</v>
      </c>
      <c r="R268" s="148">
        <v>6</v>
      </c>
      <c r="S268" s="150">
        <f>S267/6</f>
        <v>16542</v>
      </c>
      <c r="T268" s="151">
        <f t="shared" si="9"/>
        <v>14902.702702702702</v>
      </c>
      <c r="U268" s="223">
        <v>16250</v>
      </c>
      <c r="V268" s="223">
        <f t="shared" si="15"/>
        <v>14462.5</v>
      </c>
    </row>
    <row r="269" spans="1:22" ht="22.5" customHeight="1">
      <c r="A269" s="109"/>
      <c r="B269" s="109"/>
      <c r="C269" s="148">
        <v>93</v>
      </c>
      <c r="D269" s="148">
        <v>436741</v>
      </c>
      <c r="E269" s="148" t="s">
        <v>1418</v>
      </c>
      <c r="F269" s="148" t="s">
        <v>332</v>
      </c>
      <c r="G269" s="148" t="s">
        <v>332</v>
      </c>
      <c r="H269" s="148"/>
      <c r="I269" s="148" t="s">
        <v>1325</v>
      </c>
      <c r="J269" s="149">
        <v>3</v>
      </c>
      <c r="K269" s="148" t="str">
        <f t="shared" si="12"/>
        <v>NON DISTRIBUTOR</v>
      </c>
      <c r="L269" s="148" t="s">
        <v>37</v>
      </c>
      <c r="M269" s="149">
        <v>9</v>
      </c>
      <c r="N269" s="148" t="str">
        <f t="shared" si="10"/>
        <v>In Pcs</v>
      </c>
      <c r="O269" s="148" t="str">
        <f t="shared" si="11"/>
        <v>Pcs</v>
      </c>
      <c r="P269" s="149">
        <f t="shared" si="7"/>
        <v>4</v>
      </c>
      <c r="Q269" s="148" t="str">
        <f t="shared" si="8"/>
        <v>small</v>
      </c>
      <c r="R269" s="148">
        <v>60</v>
      </c>
      <c r="S269" s="150">
        <f>S268/10</f>
        <v>1654.2</v>
      </c>
      <c r="T269" s="151">
        <f t="shared" si="9"/>
        <v>1490.2702702702702</v>
      </c>
      <c r="U269" s="223">
        <v>1625</v>
      </c>
      <c r="V269" s="223">
        <f t="shared" si="15"/>
        <v>1446.25</v>
      </c>
    </row>
    <row r="270" spans="1:22" ht="22.5" customHeight="1">
      <c r="A270" s="109"/>
      <c r="B270" s="109"/>
      <c r="C270" s="152">
        <v>94</v>
      </c>
      <c r="D270" s="152">
        <v>915314</v>
      </c>
      <c r="E270" s="152" t="s">
        <v>1326</v>
      </c>
      <c r="F270" s="152" t="s">
        <v>207</v>
      </c>
      <c r="G270" s="152" t="s">
        <v>207</v>
      </c>
      <c r="H270" s="152"/>
      <c r="I270" s="152" t="s">
        <v>1333</v>
      </c>
      <c r="J270" s="153">
        <v>3</v>
      </c>
      <c r="K270" s="152" t="str">
        <f t="shared" ref="K270:K390" si="16">IFERROR(VLOOKUP($J270,$J$10:$K$13,2,0),"")</f>
        <v>NON DISTRIBUTOR</v>
      </c>
      <c r="L270" s="152" t="s">
        <v>37</v>
      </c>
      <c r="M270" s="153">
        <v>1</v>
      </c>
      <c r="N270" s="152" t="str">
        <f t="shared" si="10"/>
        <v>In Carton</v>
      </c>
      <c r="O270" s="152" t="str">
        <f t="shared" si="11"/>
        <v>Carton</v>
      </c>
      <c r="P270" s="153">
        <f t="shared" ref="P270:P409" si="17">IFERROR(VLOOKUP($M270,$M$3:$Q$14,4,0),"")</f>
        <v>1</v>
      </c>
      <c r="Q270" s="152" t="str">
        <f t="shared" ref="Q270:Q409" si="18">IFERROR(VLOOKUP($M270,$M$3:$Q$14,5,0),"")</f>
        <v>large</v>
      </c>
      <c r="R270" s="152">
        <v>1</v>
      </c>
      <c r="S270" s="154">
        <f>17000*6</f>
        <v>102000</v>
      </c>
      <c r="T270" s="155">
        <f t="shared" ref="T270:T407" si="19">S270/1.11</f>
        <v>91891.891891891879</v>
      </c>
      <c r="U270" s="222">
        <f>V270+(V270*11%)</f>
        <v>95134.77</v>
      </c>
      <c r="V270" s="224">
        <v>85707</v>
      </c>
    </row>
    <row r="271" spans="1:22" ht="22.5" customHeight="1">
      <c r="A271" s="109"/>
      <c r="B271" s="109"/>
      <c r="C271" s="152">
        <v>94</v>
      </c>
      <c r="D271" s="152">
        <v>915314</v>
      </c>
      <c r="E271" s="152" t="s">
        <v>1326</v>
      </c>
      <c r="F271" s="152" t="s">
        <v>207</v>
      </c>
      <c r="G271" s="152" t="s">
        <v>207</v>
      </c>
      <c r="H271" s="152"/>
      <c r="I271" s="152" t="s">
        <v>1333</v>
      </c>
      <c r="J271" s="153">
        <v>3</v>
      </c>
      <c r="K271" s="152" t="str">
        <f t="shared" si="16"/>
        <v>NON DISTRIBUTOR</v>
      </c>
      <c r="L271" s="152" t="s">
        <v>37</v>
      </c>
      <c r="M271" s="153">
        <v>4</v>
      </c>
      <c r="N271" s="152" t="str">
        <f t="shared" si="10"/>
        <v>In Pack</v>
      </c>
      <c r="O271" s="152" t="str">
        <f t="shared" si="11"/>
        <v>Box</v>
      </c>
      <c r="P271" s="153">
        <f t="shared" si="17"/>
        <v>2</v>
      </c>
      <c r="Q271" s="152">
        <f t="shared" si="18"/>
        <v>0</v>
      </c>
      <c r="R271" s="152">
        <v>6</v>
      </c>
      <c r="S271" s="154">
        <f>S270/6</f>
        <v>17000</v>
      </c>
      <c r="T271" s="155">
        <f t="shared" si="19"/>
        <v>15315.315315315314</v>
      </c>
      <c r="U271" s="224">
        <v>15855</v>
      </c>
      <c r="V271" s="224">
        <v>15642</v>
      </c>
    </row>
    <row r="272" spans="1:22" ht="22.5" customHeight="1">
      <c r="A272" s="109"/>
      <c r="B272" s="109"/>
      <c r="C272" s="152">
        <v>94</v>
      </c>
      <c r="D272" s="152">
        <v>915314</v>
      </c>
      <c r="E272" s="152" t="s">
        <v>1326</v>
      </c>
      <c r="F272" s="152" t="s">
        <v>207</v>
      </c>
      <c r="G272" s="152" t="s">
        <v>207</v>
      </c>
      <c r="H272" s="152"/>
      <c r="I272" s="152" t="s">
        <v>1333</v>
      </c>
      <c r="J272" s="153">
        <v>3</v>
      </c>
      <c r="K272" s="152" t="str">
        <f t="shared" si="16"/>
        <v>NON DISTRIBUTOR</v>
      </c>
      <c r="L272" s="152" t="s">
        <v>37</v>
      </c>
      <c r="M272" s="153">
        <v>9</v>
      </c>
      <c r="N272" s="152" t="str">
        <f t="shared" si="10"/>
        <v>In Pcs</v>
      </c>
      <c r="O272" s="152" t="str">
        <f t="shared" si="11"/>
        <v>Pcs</v>
      </c>
      <c r="P272" s="153">
        <f t="shared" si="17"/>
        <v>4</v>
      </c>
      <c r="Q272" s="152" t="str">
        <f t="shared" si="18"/>
        <v>small</v>
      </c>
      <c r="R272" s="152">
        <v>120</v>
      </c>
      <c r="S272" s="154">
        <f>S271/20</f>
        <v>850</v>
      </c>
      <c r="T272" s="155">
        <f t="shared" si="19"/>
        <v>765.76576576576565</v>
      </c>
      <c r="U272" s="224">
        <v>792</v>
      </c>
      <c r="V272" s="224">
        <v>782</v>
      </c>
    </row>
    <row r="273" spans="1:22" ht="22.5" customHeight="1">
      <c r="A273" s="109"/>
      <c r="B273" s="109"/>
      <c r="C273" s="152">
        <v>95</v>
      </c>
      <c r="D273" s="152">
        <v>915315</v>
      </c>
      <c r="E273" s="152" t="s">
        <v>1327</v>
      </c>
      <c r="F273" s="152" t="s">
        <v>207</v>
      </c>
      <c r="G273" s="152" t="s">
        <v>207</v>
      </c>
      <c r="H273" s="152"/>
      <c r="I273" s="152" t="s">
        <v>1333</v>
      </c>
      <c r="J273" s="153">
        <v>3</v>
      </c>
      <c r="K273" s="152" t="str">
        <f t="shared" si="16"/>
        <v>NON DISTRIBUTOR</v>
      </c>
      <c r="L273" s="152" t="s">
        <v>37</v>
      </c>
      <c r="M273" s="153">
        <v>1</v>
      </c>
      <c r="N273" s="152" t="str">
        <f t="shared" si="10"/>
        <v>In Carton</v>
      </c>
      <c r="O273" s="152" t="str">
        <f t="shared" si="11"/>
        <v>Carton</v>
      </c>
      <c r="P273" s="153">
        <f t="shared" si="17"/>
        <v>1</v>
      </c>
      <c r="Q273" s="152" t="str">
        <f t="shared" si="18"/>
        <v>large</v>
      </c>
      <c r="R273" s="152">
        <v>1</v>
      </c>
      <c r="S273" s="154">
        <f>17000*6</f>
        <v>102000</v>
      </c>
      <c r="T273" s="155">
        <f t="shared" si="19"/>
        <v>91891.891891891879</v>
      </c>
      <c r="U273" s="222">
        <f>V273+(V273*11%)</f>
        <v>95134.77</v>
      </c>
      <c r="V273" s="224">
        <v>85707</v>
      </c>
    </row>
    <row r="274" spans="1:22" ht="22.5" customHeight="1">
      <c r="A274" s="109"/>
      <c r="B274" s="109"/>
      <c r="C274" s="152">
        <v>95</v>
      </c>
      <c r="D274" s="152">
        <v>915315</v>
      </c>
      <c r="E274" s="152" t="s">
        <v>1327</v>
      </c>
      <c r="F274" s="152" t="s">
        <v>207</v>
      </c>
      <c r="G274" s="152" t="s">
        <v>207</v>
      </c>
      <c r="H274" s="152"/>
      <c r="I274" s="152" t="s">
        <v>1333</v>
      </c>
      <c r="J274" s="153">
        <v>3</v>
      </c>
      <c r="K274" s="152" t="str">
        <f t="shared" si="16"/>
        <v>NON DISTRIBUTOR</v>
      </c>
      <c r="L274" s="152" t="s">
        <v>37</v>
      </c>
      <c r="M274" s="153">
        <v>4</v>
      </c>
      <c r="N274" s="152" t="str">
        <f t="shared" si="10"/>
        <v>In Pack</v>
      </c>
      <c r="O274" s="152" t="str">
        <f t="shared" si="11"/>
        <v>Box</v>
      </c>
      <c r="P274" s="153">
        <f t="shared" si="17"/>
        <v>2</v>
      </c>
      <c r="Q274" s="152">
        <f t="shared" si="18"/>
        <v>0</v>
      </c>
      <c r="R274" s="152">
        <v>6</v>
      </c>
      <c r="S274" s="154">
        <f>S273/6</f>
        <v>17000</v>
      </c>
      <c r="T274" s="155">
        <f t="shared" si="19"/>
        <v>15315.315315315314</v>
      </c>
      <c r="U274" s="224">
        <v>15855</v>
      </c>
      <c r="V274" s="224">
        <v>15642</v>
      </c>
    </row>
    <row r="275" spans="1:22" ht="22.5" customHeight="1">
      <c r="A275" s="109"/>
      <c r="B275" s="109"/>
      <c r="C275" s="152">
        <v>95</v>
      </c>
      <c r="D275" s="152">
        <v>915315</v>
      </c>
      <c r="E275" s="152" t="s">
        <v>1327</v>
      </c>
      <c r="F275" s="152" t="s">
        <v>207</v>
      </c>
      <c r="G275" s="152" t="s">
        <v>207</v>
      </c>
      <c r="H275" s="152"/>
      <c r="I275" s="152" t="s">
        <v>1333</v>
      </c>
      <c r="J275" s="153">
        <v>3</v>
      </c>
      <c r="K275" s="152" t="str">
        <f t="shared" si="16"/>
        <v>NON DISTRIBUTOR</v>
      </c>
      <c r="L275" s="152" t="s">
        <v>37</v>
      </c>
      <c r="M275" s="153">
        <v>9</v>
      </c>
      <c r="N275" s="152" t="str">
        <f t="shared" si="10"/>
        <v>In Pcs</v>
      </c>
      <c r="O275" s="152" t="str">
        <f t="shared" si="11"/>
        <v>Pcs</v>
      </c>
      <c r="P275" s="153">
        <f t="shared" si="17"/>
        <v>4</v>
      </c>
      <c r="Q275" s="152" t="str">
        <f t="shared" si="18"/>
        <v>small</v>
      </c>
      <c r="R275" s="152">
        <v>120</v>
      </c>
      <c r="S275" s="154">
        <f>S274/20</f>
        <v>850</v>
      </c>
      <c r="T275" s="155">
        <f t="shared" si="19"/>
        <v>765.76576576576565</v>
      </c>
      <c r="U275" s="224">
        <v>792</v>
      </c>
      <c r="V275" s="224">
        <v>782</v>
      </c>
    </row>
    <row r="276" spans="1:22" ht="22.5" customHeight="1">
      <c r="A276" s="109"/>
      <c r="B276" s="109"/>
      <c r="C276" s="152">
        <v>96</v>
      </c>
      <c r="D276" s="152">
        <v>915316</v>
      </c>
      <c r="E276" s="152" t="s">
        <v>1328</v>
      </c>
      <c r="F276" s="152" t="s">
        <v>207</v>
      </c>
      <c r="G276" s="152" t="s">
        <v>207</v>
      </c>
      <c r="H276" s="152"/>
      <c r="I276" s="152" t="s">
        <v>1333</v>
      </c>
      <c r="J276" s="153">
        <v>3</v>
      </c>
      <c r="K276" s="152" t="str">
        <f t="shared" si="16"/>
        <v>NON DISTRIBUTOR</v>
      </c>
      <c r="L276" s="152" t="s">
        <v>37</v>
      </c>
      <c r="M276" s="153">
        <v>1</v>
      </c>
      <c r="N276" s="152" t="str">
        <f t="shared" si="10"/>
        <v>In Carton</v>
      </c>
      <c r="O276" s="152" t="str">
        <f t="shared" si="11"/>
        <v>Carton</v>
      </c>
      <c r="P276" s="153">
        <f t="shared" si="17"/>
        <v>1</v>
      </c>
      <c r="Q276" s="152" t="str">
        <f t="shared" si="18"/>
        <v>large</v>
      </c>
      <c r="R276" s="152">
        <v>1</v>
      </c>
      <c r="S276" s="154">
        <f>17000*6</f>
        <v>102000</v>
      </c>
      <c r="T276" s="155">
        <f t="shared" si="19"/>
        <v>91891.891891891879</v>
      </c>
      <c r="U276" s="222">
        <f>V276+(V276*11%)</f>
        <v>95134.77</v>
      </c>
      <c r="V276" s="224">
        <v>85707</v>
      </c>
    </row>
    <row r="277" spans="1:22" ht="22.5" customHeight="1">
      <c r="A277" s="109"/>
      <c r="B277" s="109"/>
      <c r="C277" s="152">
        <v>96</v>
      </c>
      <c r="D277" s="152">
        <v>915316</v>
      </c>
      <c r="E277" s="152" t="s">
        <v>1328</v>
      </c>
      <c r="F277" s="152" t="s">
        <v>207</v>
      </c>
      <c r="G277" s="152" t="s">
        <v>207</v>
      </c>
      <c r="H277" s="152"/>
      <c r="I277" s="152" t="s">
        <v>1333</v>
      </c>
      <c r="J277" s="153">
        <v>3</v>
      </c>
      <c r="K277" s="152" t="str">
        <f t="shared" si="16"/>
        <v>NON DISTRIBUTOR</v>
      </c>
      <c r="L277" s="152" t="s">
        <v>37</v>
      </c>
      <c r="M277" s="153">
        <v>4</v>
      </c>
      <c r="N277" s="152" t="str">
        <f t="shared" si="10"/>
        <v>In Pack</v>
      </c>
      <c r="O277" s="152" t="str">
        <f t="shared" si="11"/>
        <v>Box</v>
      </c>
      <c r="P277" s="153">
        <f t="shared" si="17"/>
        <v>2</v>
      </c>
      <c r="Q277" s="152">
        <f t="shared" si="18"/>
        <v>0</v>
      </c>
      <c r="R277" s="152">
        <v>6</v>
      </c>
      <c r="S277" s="154">
        <f>S276/6</f>
        <v>17000</v>
      </c>
      <c r="T277" s="155">
        <f t="shared" si="19"/>
        <v>15315.315315315314</v>
      </c>
      <c r="U277" s="224">
        <v>15855</v>
      </c>
      <c r="V277" s="224">
        <v>15642</v>
      </c>
    </row>
    <row r="278" spans="1:22" ht="22.5" customHeight="1">
      <c r="A278" s="109"/>
      <c r="B278" s="109"/>
      <c r="C278" s="152">
        <v>96</v>
      </c>
      <c r="D278" s="152">
        <v>915316</v>
      </c>
      <c r="E278" s="152" t="s">
        <v>1328</v>
      </c>
      <c r="F278" s="152" t="s">
        <v>207</v>
      </c>
      <c r="G278" s="152" t="s">
        <v>207</v>
      </c>
      <c r="H278" s="152"/>
      <c r="I278" s="152" t="s">
        <v>1333</v>
      </c>
      <c r="J278" s="153">
        <v>3</v>
      </c>
      <c r="K278" s="152" t="str">
        <f t="shared" si="16"/>
        <v>NON DISTRIBUTOR</v>
      </c>
      <c r="L278" s="152" t="s">
        <v>37</v>
      </c>
      <c r="M278" s="153">
        <v>9</v>
      </c>
      <c r="N278" s="152" t="str">
        <f t="shared" si="10"/>
        <v>In Pcs</v>
      </c>
      <c r="O278" s="152" t="str">
        <f t="shared" si="11"/>
        <v>Pcs</v>
      </c>
      <c r="P278" s="153">
        <f t="shared" si="17"/>
        <v>4</v>
      </c>
      <c r="Q278" s="152" t="str">
        <f t="shared" si="18"/>
        <v>small</v>
      </c>
      <c r="R278" s="152">
        <v>120</v>
      </c>
      <c r="S278" s="154">
        <f>S277/20</f>
        <v>850</v>
      </c>
      <c r="T278" s="155">
        <f t="shared" si="19"/>
        <v>765.76576576576565</v>
      </c>
      <c r="U278" s="224">
        <v>792</v>
      </c>
      <c r="V278" s="224">
        <v>782</v>
      </c>
    </row>
    <row r="279" spans="1:22" ht="22.5" customHeight="1">
      <c r="A279" s="109"/>
      <c r="B279" s="109"/>
      <c r="C279" s="152">
        <v>97</v>
      </c>
      <c r="D279" s="152">
        <v>931108</v>
      </c>
      <c r="E279" s="152" t="s">
        <v>1329</v>
      </c>
      <c r="F279" s="152" t="s">
        <v>207</v>
      </c>
      <c r="G279" s="152" t="s">
        <v>207</v>
      </c>
      <c r="H279" s="152"/>
      <c r="I279" s="152" t="s">
        <v>1333</v>
      </c>
      <c r="J279" s="153">
        <v>3</v>
      </c>
      <c r="K279" s="152" t="str">
        <f t="shared" si="16"/>
        <v>NON DISTRIBUTOR</v>
      </c>
      <c r="L279" s="152" t="s">
        <v>37</v>
      </c>
      <c r="M279" s="153">
        <v>1</v>
      </c>
      <c r="N279" s="152" t="str">
        <f t="shared" ref="N279:N418" si="20">IFERROR(VLOOKUP($M279,$M$3:$Q$14,2,0),"")</f>
        <v>In Carton</v>
      </c>
      <c r="O279" s="152" t="str">
        <f t="shared" si="11"/>
        <v>Carton</v>
      </c>
      <c r="P279" s="153">
        <f t="shared" si="17"/>
        <v>1</v>
      </c>
      <c r="Q279" s="152" t="str">
        <f t="shared" si="18"/>
        <v>large</v>
      </c>
      <c r="R279" s="152">
        <v>1</v>
      </c>
      <c r="S279" s="154">
        <f>16400*4</f>
        <v>65600</v>
      </c>
      <c r="T279" s="155">
        <f t="shared" si="19"/>
        <v>59099.09909909909</v>
      </c>
      <c r="U279" s="222">
        <f>V279+(V279*11%)</f>
        <v>60361.8</v>
      </c>
      <c r="V279" s="224">
        <v>54380</v>
      </c>
    </row>
    <row r="280" spans="1:22" ht="22.5" customHeight="1">
      <c r="A280" s="109"/>
      <c r="B280" s="109"/>
      <c r="C280" s="152">
        <v>97</v>
      </c>
      <c r="D280" s="152">
        <v>931108</v>
      </c>
      <c r="E280" s="152" t="s">
        <v>1329</v>
      </c>
      <c r="F280" s="152" t="s">
        <v>207</v>
      </c>
      <c r="G280" s="152" t="s">
        <v>207</v>
      </c>
      <c r="H280" s="152"/>
      <c r="I280" s="152" t="s">
        <v>1333</v>
      </c>
      <c r="J280" s="153">
        <v>3</v>
      </c>
      <c r="K280" s="152" t="str">
        <f t="shared" si="16"/>
        <v>NON DISTRIBUTOR</v>
      </c>
      <c r="L280" s="152" t="s">
        <v>37</v>
      </c>
      <c r="M280" s="153">
        <v>8</v>
      </c>
      <c r="N280" s="152" t="str">
        <f t="shared" si="20"/>
        <v>In Renceng</v>
      </c>
      <c r="O280" s="152" t="str">
        <f t="shared" si="11"/>
        <v>Renceng</v>
      </c>
      <c r="P280" s="153">
        <f t="shared" si="17"/>
        <v>3</v>
      </c>
      <c r="Q280" s="152">
        <f t="shared" si="18"/>
        <v>0</v>
      </c>
      <c r="R280" s="152">
        <v>4</v>
      </c>
      <c r="S280" s="154">
        <f>S279/4</f>
        <v>16400</v>
      </c>
      <c r="T280" s="155">
        <f t="shared" si="19"/>
        <v>14774.774774774773</v>
      </c>
      <c r="U280" s="224">
        <v>15090</v>
      </c>
      <c r="V280" s="224">
        <v>13595</v>
      </c>
    </row>
    <row r="281" spans="1:22" ht="22.5" customHeight="1">
      <c r="A281" s="109"/>
      <c r="B281" s="109"/>
      <c r="C281" s="152">
        <v>97</v>
      </c>
      <c r="D281" s="152">
        <v>931108</v>
      </c>
      <c r="E281" s="152" t="s">
        <v>1329</v>
      </c>
      <c r="F281" s="152" t="s">
        <v>207</v>
      </c>
      <c r="G281" s="152" t="s">
        <v>207</v>
      </c>
      <c r="H281" s="152"/>
      <c r="I281" s="152" t="s">
        <v>1333</v>
      </c>
      <c r="J281" s="153">
        <v>3</v>
      </c>
      <c r="K281" s="152" t="str">
        <f t="shared" si="16"/>
        <v>NON DISTRIBUTOR</v>
      </c>
      <c r="L281" s="152" t="s">
        <v>37</v>
      </c>
      <c r="M281" s="153">
        <v>9</v>
      </c>
      <c r="N281" s="152" t="str">
        <f t="shared" si="20"/>
        <v>In Pcs</v>
      </c>
      <c r="O281" s="152" t="str">
        <f t="shared" si="11"/>
        <v>Pcs</v>
      </c>
      <c r="P281" s="153">
        <f t="shared" si="17"/>
        <v>4</v>
      </c>
      <c r="Q281" s="152" t="str">
        <f t="shared" si="18"/>
        <v>small</v>
      </c>
      <c r="R281" s="152">
        <v>40</v>
      </c>
      <c r="S281" s="154">
        <f>S280/10</f>
        <v>1640</v>
      </c>
      <c r="T281" s="155">
        <f t="shared" si="19"/>
        <v>1477.4774774774774</v>
      </c>
      <c r="U281" s="224">
        <v>1509</v>
      </c>
      <c r="V281" s="224">
        <v>1359</v>
      </c>
    </row>
    <row r="282" spans="1:22" ht="22.5" customHeight="1">
      <c r="A282" s="109"/>
      <c r="B282" s="109"/>
      <c r="C282" s="152">
        <v>98</v>
      </c>
      <c r="D282" s="152">
        <v>931109</v>
      </c>
      <c r="E282" s="152" t="s">
        <v>1330</v>
      </c>
      <c r="F282" s="152" t="s">
        <v>207</v>
      </c>
      <c r="G282" s="152" t="s">
        <v>207</v>
      </c>
      <c r="H282" s="152"/>
      <c r="I282" s="152" t="s">
        <v>1333</v>
      </c>
      <c r="J282" s="153">
        <v>3</v>
      </c>
      <c r="K282" s="152" t="str">
        <f t="shared" si="16"/>
        <v>NON DISTRIBUTOR</v>
      </c>
      <c r="L282" s="152" t="s">
        <v>37</v>
      </c>
      <c r="M282" s="153">
        <v>1</v>
      </c>
      <c r="N282" s="152" t="str">
        <f t="shared" si="20"/>
        <v>In Carton</v>
      </c>
      <c r="O282" s="152" t="str">
        <f t="shared" si="11"/>
        <v>Carton</v>
      </c>
      <c r="P282" s="153">
        <f t="shared" si="17"/>
        <v>1</v>
      </c>
      <c r="Q282" s="152" t="str">
        <f t="shared" si="18"/>
        <v>large</v>
      </c>
      <c r="R282" s="152">
        <v>1</v>
      </c>
      <c r="S282" s="154">
        <f>16400*4</f>
        <v>65600</v>
      </c>
      <c r="T282" s="155">
        <f t="shared" si="19"/>
        <v>59099.09909909909</v>
      </c>
      <c r="U282" s="222">
        <f>V282+(V282*11%)</f>
        <v>60361.8</v>
      </c>
      <c r="V282" s="224">
        <v>54380</v>
      </c>
    </row>
    <row r="283" spans="1:22" ht="22.5" customHeight="1">
      <c r="A283" s="109"/>
      <c r="B283" s="109"/>
      <c r="C283" s="152">
        <v>98</v>
      </c>
      <c r="D283" s="152">
        <v>931109</v>
      </c>
      <c r="E283" s="152" t="s">
        <v>1330</v>
      </c>
      <c r="F283" s="152" t="s">
        <v>207</v>
      </c>
      <c r="G283" s="152" t="s">
        <v>207</v>
      </c>
      <c r="H283" s="152"/>
      <c r="I283" s="152" t="s">
        <v>1333</v>
      </c>
      <c r="J283" s="153">
        <v>3</v>
      </c>
      <c r="K283" s="152" t="str">
        <f t="shared" si="16"/>
        <v>NON DISTRIBUTOR</v>
      </c>
      <c r="L283" s="152" t="s">
        <v>37</v>
      </c>
      <c r="M283" s="153">
        <v>8</v>
      </c>
      <c r="N283" s="152" t="str">
        <f t="shared" si="20"/>
        <v>In Renceng</v>
      </c>
      <c r="O283" s="152" t="str">
        <f t="shared" si="11"/>
        <v>Renceng</v>
      </c>
      <c r="P283" s="153">
        <f t="shared" si="17"/>
        <v>3</v>
      </c>
      <c r="Q283" s="152">
        <f t="shared" si="18"/>
        <v>0</v>
      </c>
      <c r="R283" s="152">
        <v>4</v>
      </c>
      <c r="S283" s="154">
        <f>S282/4</f>
        <v>16400</v>
      </c>
      <c r="T283" s="155">
        <f t="shared" si="19"/>
        <v>14774.774774774773</v>
      </c>
      <c r="U283" s="224">
        <v>15090</v>
      </c>
      <c r="V283" s="224">
        <v>13595</v>
      </c>
    </row>
    <row r="284" spans="1:22" ht="22.5" customHeight="1">
      <c r="A284" s="109"/>
      <c r="B284" s="109"/>
      <c r="C284" s="152">
        <v>98</v>
      </c>
      <c r="D284" s="152">
        <v>931109</v>
      </c>
      <c r="E284" s="152" t="s">
        <v>1330</v>
      </c>
      <c r="F284" s="152" t="s">
        <v>207</v>
      </c>
      <c r="G284" s="152" t="s">
        <v>207</v>
      </c>
      <c r="H284" s="152"/>
      <c r="I284" s="152" t="s">
        <v>1333</v>
      </c>
      <c r="J284" s="153">
        <v>3</v>
      </c>
      <c r="K284" s="152" t="str">
        <f t="shared" si="16"/>
        <v>NON DISTRIBUTOR</v>
      </c>
      <c r="L284" s="152" t="s">
        <v>37</v>
      </c>
      <c r="M284" s="153">
        <v>9</v>
      </c>
      <c r="N284" s="152" t="str">
        <f t="shared" si="20"/>
        <v>In Pcs</v>
      </c>
      <c r="O284" s="152" t="str">
        <f t="shared" si="11"/>
        <v>Pcs</v>
      </c>
      <c r="P284" s="153">
        <f t="shared" si="17"/>
        <v>4</v>
      </c>
      <c r="Q284" s="152" t="str">
        <f t="shared" si="18"/>
        <v>small</v>
      </c>
      <c r="R284" s="152">
        <v>40</v>
      </c>
      <c r="S284" s="154">
        <f>S283/10</f>
        <v>1640</v>
      </c>
      <c r="T284" s="155">
        <f t="shared" si="19"/>
        <v>1477.4774774774774</v>
      </c>
      <c r="U284" s="224">
        <v>1509</v>
      </c>
      <c r="V284" s="224">
        <v>1359</v>
      </c>
    </row>
    <row r="285" spans="1:22" ht="22.5" customHeight="1">
      <c r="A285" s="109"/>
      <c r="B285" s="109"/>
      <c r="C285" s="152">
        <v>99</v>
      </c>
      <c r="D285" s="152">
        <v>931115</v>
      </c>
      <c r="E285" s="152" t="s">
        <v>1331</v>
      </c>
      <c r="F285" s="152" t="s">
        <v>207</v>
      </c>
      <c r="G285" s="152" t="s">
        <v>207</v>
      </c>
      <c r="H285" s="152"/>
      <c r="I285" s="152" t="s">
        <v>1333</v>
      </c>
      <c r="J285" s="153">
        <v>3</v>
      </c>
      <c r="K285" s="152" t="str">
        <f t="shared" si="16"/>
        <v>NON DISTRIBUTOR</v>
      </c>
      <c r="L285" s="152" t="s">
        <v>37</v>
      </c>
      <c r="M285" s="153">
        <v>1</v>
      </c>
      <c r="N285" s="152" t="str">
        <f t="shared" si="20"/>
        <v>In Carton</v>
      </c>
      <c r="O285" s="152" t="str">
        <f t="shared" si="11"/>
        <v>Carton</v>
      </c>
      <c r="P285" s="153">
        <f t="shared" si="17"/>
        <v>1</v>
      </c>
      <c r="Q285" s="152" t="str">
        <f t="shared" si="18"/>
        <v>large</v>
      </c>
      <c r="R285" s="152">
        <v>1</v>
      </c>
      <c r="S285" s="154">
        <f>8500*6</f>
        <v>51000</v>
      </c>
      <c r="T285" s="155">
        <f t="shared" si="19"/>
        <v>45945.945945945939</v>
      </c>
      <c r="U285" s="222">
        <f>V285+(V285*11%)</f>
        <v>52681.71</v>
      </c>
      <c r="V285" s="224">
        <v>47461</v>
      </c>
    </row>
    <row r="286" spans="1:22" ht="22.5" customHeight="1">
      <c r="A286" s="109"/>
      <c r="B286" s="109"/>
      <c r="C286" s="152">
        <v>99</v>
      </c>
      <c r="D286" s="152">
        <v>931115</v>
      </c>
      <c r="E286" s="152" t="s">
        <v>1331</v>
      </c>
      <c r="F286" s="152" t="s">
        <v>207</v>
      </c>
      <c r="G286" s="152" t="s">
        <v>207</v>
      </c>
      <c r="H286" s="152"/>
      <c r="I286" s="152" t="s">
        <v>1333</v>
      </c>
      <c r="J286" s="153">
        <v>3</v>
      </c>
      <c r="K286" s="152" t="str">
        <f t="shared" si="16"/>
        <v>NON DISTRIBUTOR</v>
      </c>
      <c r="L286" s="152" t="s">
        <v>37</v>
      </c>
      <c r="M286" s="153">
        <v>8</v>
      </c>
      <c r="N286" s="152" t="str">
        <f t="shared" si="20"/>
        <v>In Renceng</v>
      </c>
      <c r="O286" s="152" t="str">
        <f t="shared" si="11"/>
        <v>Renceng</v>
      </c>
      <c r="P286" s="153">
        <f t="shared" si="17"/>
        <v>3</v>
      </c>
      <c r="Q286" s="152">
        <f t="shared" si="18"/>
        <v>0</v>
      </c>
      <c r="R286" s="152">
        <v>6</v>
      </c>
      <c r="S286" s="154">
        <f>S285/6</f>
        <v>8500</v>
      </c>
      <c r="T286" s="155">
        <f t="shared" si="19"/>
        <v>7657.6576576576572</v>
      </c>
      <c r="U286" s="224">
        <v>8780</v>
      </c>
      <c r="V286" s="224">
        <v>7910</v>
      </c>
    </row>
    <row r="287" spans="1:22" ht="22.5" customHeight="1">
      <c r="A287" s="109"/>
      <c r="B287" s="109"/>
      <c r="C287" s="152">
        <v>99</v>
      </c>
      <c r="D287" s="152">
        <v>931115</v>
      </c>
      <c r="E287" s="152" t="s">
        <v>1331</v>
      </c>
      <c r="F287" s="152" t="s">
        <v>207</v>
      </c>
      <c r="G287" s="152" t="s">
        <v>207</v>
      </c>
      <c r="H287" s="152"/>
      <c r="I287" s="152" t="s">
        <v>1333</v>
      </c>
      <c r="J287" s="153">
        <v>3</v>
      </c>
      <c r="K287" s="152" t="str">
        <f t="shared" si="16"/>
        <v>NON DISTRIBUTOR</v>
      </c>
      <c r="L287" s="152" t="s">
        <v>37</v>
      </c>
      <c r="M287" s="153">
        <v>9</v>
      </c>
      <c r="N287" s="152" t="str">
        <f t="shared" si="20"/>
        <v>In Pcs</v>
      </c>
      <c r="O287" s="152" t="str">
        <f t="shared" si="11"/>
        <v>Pcs</v>
      </c>
      <c r="P287" s="153">
        <f t="shared" si="17"/>
        <v>4</v>
      </c>
      <c r="Q287" s="152" t="str">
        <f t="shared" si="18"/>
        <v>small</v>
      </c>
      <c r="R287" s="152">
        <v>60</v>
      </c>
      <c r="S287" s="154">
        <f>S286/10</f>
        <v>850</v>
      </c>
      <c r="T287" s="155">
        <f t="shared" si="19"/>
        <v>765.76576576576565</v>
      </c>
      <c r="U287" s="224">
        <v>878</v>
      </c>
      <c r="V287" s="224">
        <v>791</v>
      </c>
    </row>
    <row r="288" spans="1:22" ht="22.5" customHeight="1">
      <c r="A288" s="109"/>
      <c r="B288" s="109"/>
      <c r="C288" s="152">
        <v>100</v>
      </c>
      <c r="D288" s="152">
        <v>931211</v>
      </c>
      <c r="E288" s="152" t="s">
        <v>1419</v>
      </c>
      <c r="F288" s="152" t="s">
        <v>207</v>
      </c>
      <c r="G288" s="152" t="s">
        <v>207</v>
      </c>
      <c r="H288" s="152"/>
      <c r="I288" s="152" t="s">
        <v>1333</v>
      </c>
      <c r="J288" s="153">
        <v>3</v>
      </c>
      <c r="K288" s="152" t="str">
        <f t="shared" si="16"/>
        <v>NON DISTRIBUTOR</v>
      </c>
      <c r="L288" s="152" t="s">
        <v>37</v>
      </c>
      <c r="M288" s="153">
        <v>1</v>
      </c>
      <c r="N288" s="152" t="str">
        <f t="shared" si="20"/>
        <v>In Carton</v>
      </c>
      <c r="O288" s="152" t="str">
        <f t="shared" si="11"/>
        <v>Carton</v>
      </c>
      <c r="P288" s="153">
        <f t="shared" si="17"/>
        <v>1</v>
      </c>
      <c r="Q288" s="152" t="str">
        <f t="shared" si="18"/>
        <v>large</v>
      </c>
      <c r="R288" s="152">
        <v>1</v>
      </c>
      <c r="S288" s="154">
        <f>3900*36</f>
        <v>140400</v>
      </c>
      <c r="T288" s="155">
        <f t="shared" si="19"/>
        <v>126486.48648648648</v>
      </c>
      <c r="U288" s="222">
        <f>V288+(V288*11%)</f>
        <v>141205.32</v>
      </c>
      <c r="V288" s="224">
        <v>127212</v>
      </c>
    </row>
    <row r="289" spans="1:22" ht="22.5" customHeight="1">
      <c r="A289" s="109"/>
      <c r="B289" s="109"/>
      <c r="C289" s="152">
        <v>100</v>
      </c>
      <c r="D289" s="152">
        <v>931211</v>
      </c>
      <c r="E289" s="152" t="s">
        <v>1419</v>
      </c>
      <c r="F289" s="152" t="s">
        <v>207</v>
      </c>
      <c r="G289" s="152" t="s">
        <v>207</v>
      </c>
      <c r="H289" s="152"/>
      <c r="I289" s="152" t="s">
        <v>1333</v>
      </c>
      <c r="J289" s="153">
        <v>3</v>
      </c>
      <c r="K289" s="152" t="str">
        <f t="shared" si="16"/>
        <v>NON DISTRIBUTOR</v>
      </c>
      <c r="L289" s="152" t="s">
        <v>37</v>
      </c>
      <c r="M289" s="153">
        <v>9</v>
      </c>
      <c r="N289" s="152" t="str">
        <f t="shared" si="20"/>
        <v>In Pcs</v>
      </c>
      <c r="O289" s="152" t="str">
        <f t="shared" si="11"/>
        <v>Pcs</v>
      </c>
      <c r="P289" s="153">
        <f t="shared" si="17"/>
        <v>4</v>
      </c>
      <c r="Q289" s="152" t="str">
        <f t="shared" si="18"/>
        <v>small</v>
      </c>
      <c r="R289" s="152">
        <v>36</v>
      </c>
      <c r="S289" s="154">
        <f>S288/36</f>
        <v>3900</v>
      </c>
      <c r="T289" s="155">
        <f t="shared" si="19"/>
        <v>3513.5135135135133</v>
      </c>
      <c r="U289" s="224">
        <v>3922</v>
      </c>
      <c r="V289" s="224">
        <v>3533</v>
      </c>
    </row>
    <row r="290" spans="1:22" ht="22.5" customHeight="1">
      <c r="A290" s="109"/>
      <c r="B290" s="109"/>
      <c r="C290" s="16">
        <v>101</v>
      </c>
      <c r="D290" s="16">
        <v>24006</v>
      </c>
      <c r="E290" s="16" t="s">
        <v>1334</v>
      </c>
      <c r="F290" s="16" t="s">
        <v>22</v>
      </c>
      <c r="G290" s="16" t="s">
        <v>22</v>
      </c>
      <c r="H290" s="16" t="s">
        <v>22</v>
      </c>
      <c r="I290" s="16" t="s">
        <v>21</v>
      </c>
      <c r="J290" s="156">
        <v>3</v>
      </c>
      <c r="K290" s="16" t="str">
        <f t="shared" si="16"/>
        <v>NON DISTRIBUTOR</v>
      </c>
      <c r="L290" s="16" t="s">
        <v>37</v>
      </c>
      <c r="M290" s="156">
        <v>1</v>
      </c>
      <c r="N290" s="16" t="str">
        <f t="shared" si="20"/>
        <v>In Carton</v>
      </c>
      <c r="O290" s="16" t="str">
        <f t="shared" si="11"/>
        <v>Carton</v>
      </c>
      <c r="P290" s="156">
        <f t="shared" si="17"/>
        <v>1</v>
      </c>
      <c r="Q290" s="16" t="str">
        <f t="shared" si="18"/>
        <v>large</v>
      </c>
      <c r="R290" s="16">
        <v>1</v>
      </c>
      <c r="S290" s="157">
        <f>9500*16</f>
        <v>152000</v>
      </c>
      <c r="T290" s="158">
        <f t="shared" si="19"/>
        <v>136936.93693693692</v>
      </c>
      <c r="U290" s="222">
        <f>V290+(V290*11%)</f>
        <v>148976.43</v>
      </c>
      <c r="V290" s="225">
        <v>134213</v>
      </c>
    </row>
    <row r="291" spans="1:22" ht="22.5" customHeight="1">
      <c r="A291" s="109"/>
      <c r="B291" s="109"/>
      <c r="C291" s="16">
        <v>101</v>
      </c>
      <c r="D291" s="16">
        <v>24006</v>
      </c>
      <c r="E291" s="16" t="s">
        <v>1334</v>
      </c>
      <c r="F291" s="16" t="s">
        <v>22</v>
      </c>
      <c r="G291" s="16" t="s">
        <v>22</v>
      </c>
      <c r="H291" s="16" t="s">
        <v>22</v>
      </c>
      <c r="I291" s="16" t="s">
        <v>21</v>
      </c>
      <c r="J291" s="156">
        <v>3</v>
      </c>
      <c r="K291" s="16" t="str">
        <f t="shared" si="16"/>
        <v>NON DISTRIBUTOR</v>
      </c>
      <c r="L291" s="16" t="s">
        <v>37</v>
      </c>
      <c r="M291" s="156">
        <v>3</v>
      </c>
      <c r="N291" s="16" t="str">
        <f t="shared" si="20"/>
        <v>In Pack</v>
      </c>
      <c r="O291" s="16" t="str">
        <f t="shared" si="11"/>
        <v>Pack</v>
      </c>
      <c r="P291" s="156">
        <f t="shared" si="17"/>
        <v>2</v>
      </c>
      <c r="Q291" s="16">
        <f t="shared" si="18"/>
        <v>0</v>
      </c>
      <c r="R291" s="16">
        <v>8</v>
      </c>
      <c r="S291" s="157">
        <f>S290/8</f>
        <v>19000</v>
      </c>
      <c r="T291" s="158">
        <f t="shared" si="19"/>
        <v>17117.117117117115</v>
      </c>
      <c r="U291" s="225">
        <v>18622</v>
      </c>
      <c r="V291" s="225">
        <v>16776</v>
      </c>
    </row>
    <row r="292" spans="1:22" ht="22.5" customHeight="1">
      <c r="A292" s="109"/>
      <c r="B292" s="109"/>
      <c r="C292" s="16">
        <v>101</v>
      </c>
      <c r="D292" s="16">
        <v>24006</v>
      </c>
      <c r="E292" s="16" t="s">
        <v>1334</v>
      </c>
      <c r="F292" s="16" t="s">
        <v>22</v>
      </c>
      <c r="G292" s="16" t="s">
        <v>22</v>
      </c>
      <c r="H292" s="16" t="s">
        <v>22</v>
      </c>
      <c r="I292" s="16" t="s">
        <v>21</v>
      </c>
      <c r="J292" s="156">
        <v>3</v>
      </c>
      <c r="K292" s="16" t="str">
        <f t="shared" si="16"/>
        <v>NON DISTRIBUTOR</v>
      </c>
      <c r="L292" s="16" t="s">
        <v>37</v>
      </c>
      <c r="M292" s="156">
        <v>8</v>
      </c>
      <c r="N292" s="16" t="str">
        <f t="shared" si="20"/>
        <v>In Renceng</v>
      </c>
      <c r="O292" s="16" t="str">
        <f t="shared" si="11"/>
        <v>Renceng</v>
      </c>
      <c r="P292" s="156">
        <f t="shared" si="17"/>
        <v>3</v>
      </c>
      <c r="Q292" s="16">
        <f t="shared" si="18"/>
        <v>0</v>
      </c>
      <c r="R292" s="16">
        <v>16</v>
      </c>
      <c r="S292" s="157">
        <f>S291/2</f>
        <v>9500</v>
      </c>
      <c r="T292" s="158">
        <f t="shared" si="19"/>
        <v>8558.5585585585577</v>
      </c>
      <c r="U292" s="225">
        <v>9311</v>
      </c>
      <c r="V292" s="225">
        <v>8388</v>
      </c>
    </row>
    <row r="293" spans="1:22" ht="22.5" customHeight="1">
      <c r="A293" s="109"/>
      <c r="B293" s="109"/>
      <c r="C293" s="16">
        <v>101</v>
      </c>
      <c r="D293" s="16">
        <v>24006</v>
      </c>
      <c r="E293" s="16" t="s">
        <v>1334</v>
      </c>
      <c r="F293" s="16" t="s">
        <v>22</v>
      </c>
      <c r="G293" s="16" t="s">
        <v>22</v>
      </c>
      <c r="H293" s="16" t="s">
        <v>22</v>
      </c>
      <c r="I293" s="16" t="s">
        <v>21</v>
      </c>
      <c r="J293" s="156">
        <v>3</v>
      </c>
      <c r="K293" s="16" t="str">
        <f t="shared" si="16"/>
        <v>NON DISTRIBUTOR</v>
      </c>
      <c r="L293" s="16" t="s">
        <v>37</v>
      </c>
      <c r="M293" s="156">
        <v>9</v>
      </c>
      <c r="N293" s="16" t="str">
        <f t="shared" si="20"/>
        <v>In Pcs</v>
      </c>
      <c r="O293" s="16" t="str">
        <f t="shared" si="11"/>
        <v>Pcs</v>
      </c>
      <c r="P293" s="156">
        <f t="shared" si="17"/>
        <v>4</v>
      </c>
      <c r="Q293" s="16" t="str">
        <f t="shared" si="18"/>
        <v>small</v>
      </c>
      <c r="R293" s="16">
        <v>192</v>
      </c>
      <c r="S293" s="157">
        <f>S292/12</f>
        <v>791.66666666666663</v>
      </c>
      <c r="T293" s="158">
        <f t="shared" si="19"/>
        <v>713.21321321321307</v>
      </c>
      <c r="U293" s="225">
        <v>775</v>
      </c>
      <c r="V293" s="225">
        <v>713</v>
      </c>
    </row>
    <row r="294" spans="1:22" ht="22.5" customHeight="1">
      <c r="A294" s="109"/>
      <c r="B294" s="109"/>
      <c r="C294" s="16">
        <v>102</v>
      </c>
      <c r="D294" s="16">
        <v>24007</v>
      </c>
      <c r="E294" s="16" t="s">
        <v>1335</v>
      </c>
      <c r="F294" s="16" t="s">
        <v>22</v>
      </c>
      <c r="G294" s="16" t="s">
        <v>22</v>
      </c>
      <c r="H294" s="16" t="s">
        <v>22</v>
      </c>
      <c r="I294" s="16" t="s">
        <v>21</v>
      </c>
      <c r="J294" s="156">
        <v>3</v>
      </c>
      <c r="K294" s="16" t="str">
        <f t="shared" si="16"/>
        <v>NON DISTRIBUTOR</v>
      </c>
      <c r="L294" s="16" t="s">
        <v>37</v>
      </c>
      <c r="M294" s="156">
        <v>1</v>
      </c>
      <c r="N294" s="16" t="str">
        <f t="shared" si="20"/>
        <v>In Carton</v>
      </c>
      <c r="O294" s="16" t="str">
        <f t="shared" si="11"/>
        <v>Carton</v>
      </c>
      <c r="P294" s="156">
        <f t="shared" si="17"/>
        <v>1</v>
      </c>
      <c r="Q294" s="16" t="str">
        <f t="shared" si="18"/>
        <v>large</v>
      </c>
      <c r="R294" s="16">
        <v>1</v>
      </c>
      <c r="S294" s="157">
        <f>9500*36</f>
        <v>342000</v>
      </c>
      <c r="T294" s="158">
        <f t="shared" si="19"/>
        <v>308108.10810810811</v>
      </c>
      <c r="U294" s="222">
        <f>V294+(V294*11%)</f>
        <v>335158.95</v>
      </c>
      <c r="V294" s="225">
        <v>301945</v>
      </c>
    </row>
    <row r="295" spans="1:22" ht="22.5" customHeight="1">
      <c r="A295" s="109"/>
      <c r="B295" s="109"/>
      <c r="C295" s="16">
        <v>102</v>
      </c>
      <c r="D295" s="16">
        <v>24007</v>
      </c>
      <c r="E295" s="16" t="s">
        <v>1335</v>
      </c>
      <c r="F295" s="16" t="s">
        <v>22</v>
      </c>
      <c r="G295" s="16" t="s">
        <v>22</v>
      </c>
      <c r="H295" s="16" t="s">
        <v>22</v>
      </c>
      <c r="I295" s="16" t="s">
        <v>21</v>
      </c>
      <c r="J295" s="156">
        <v>3</v>
      </c>
      <c r="K295" s="16" t="str">
        <f t="shared" si="16"/>
        <v>NON DISTRIBUTOR</v>
      </c>
      <c r="L295" s="16" t="s">
        <v>37</v>
      </c>
      <c r="M295" s="156">
        <v>3</v>
      </c>
      <c r="N295" s="16" t="str">
        <f t="shared" si="20"/>
        <v>In Pack</v>
      </c>
      <c r="O295" s="16" t="str">
        <f t="shared" si="11"/>
        <v>Pack</v>
      </c>
      <c r="P295" s="156">
        <f t="shared" si="17"/>
        <v>2</v>
      </c>
      <c r="Q295" s="16">
        <f t="shared" si="18"/>
        <v>0</v>
      </c>
      <c r="R295" s="16">
        <v>18</v>
      </c>
      <c r="S295" s="157">
        <f>S294/18</f>
        <v>19000</v>
      </c>
      <c r="T295" s="158">
        <f t="shared" si="19"/>
        <v>17117.117117117115</v>
      </c>
      <c r="U295" s="225">
        <v>18619</v>
      </c>
      <c r="V295" s="225">
        <v>16774</v>
      </c>
    </row>
    <row r="296" spans="1:22" ht="22.5" customHeight="1">
      <c r="A296" s="109"/>
      <c r="B296" s="109"/>
      <c r="C296" s="16">
        <v>102</v>
      </c>
      <c r="D296" s="16">
        <v>24007</v>
      </c>
      <c r="E296" s="16" t="s">
        <v>1335</v>
      </c>
      <c r="F296" s="16" t="s">
        <v>22</v>
      </c>
      <c r="G296" s="16" t="s">
        <v>22</v>
      </c>
      <c r="H296" s="16" t="s">
        <v>22</v>
      </c>
      <c r="I296" s="16" t="s">
        <v>21</v>
      </c>
      <c r="J296" s="156">
        <v>3</v>
      </c>
      <c r="K296" s="16" t="str">
        <f t="shared" si="16"/>
        <v>NON DISTRIBUTOR</v>
      </c>
      <c r="L296" s="16" t="s">
        <v>37</v>
      </c>
      <c r="M296" s="156">
        <v>8</v>
      </c>
      <c r="N296" s="16" t="str">
        <f t="shared" si="20"/>
        <v>In Renceng</v>
      </c>
      <c r="O296" s="16" t="str">
        <f t="shared" si="11"/>
        <v>Renceng</v>
      </c>
      <c r="P296" s="156">
        <f t="shared" si="17"/>
        <v>3</v>
      </c>
      <c r="Q296" s="16">
        <f t="shared" si="18"/>
        <v>0</v>
      </c>
      <c r="R296" s="16">
        <v>36</v>
      </c>
      <c r="S296" s="157">
        <f>S295/2</f>
        <v>9500</v>
      </c>
      <c r="T296" s="158">
        <f t="shared" si="19"/>
        <v>8558.5585585585577</v>
      </c>
      <c r="U296" s="225">
        <v>9309</v>
      </c>
      <c r="V296" s="225">
        <v>8558</v>
      </c>
    </row>
    <row r="297" spans="1:22" ht="22.5" customHeight="1">
      <c r="A297" s="109"/>
      <c r="B297" s="109"/>
      <c r="C297" s="16">
        <v>102</v>
      </c>
      <c r="D297" s="16">
        <v>24007</v>
      </c>
      <c r="E297" s="16" t="s">
        <v>1335</v>
      </c>
      <c r="F297" s="16" t="s">
        <v>22</v>
      </c>
      <c r="G297" s="16" t="s">
        <v>22</v>
      </c>
      <c r="H297" s="16" t="s">
        <v>22</v>
      </c>
      <c r="I297" s="16" t="s">
        <v>21</v>
      </c>
      <c r="J297" s="156">
        <v>3</v>
      </c>
      <c r="K297" s="16" t="str">
        <f t="shared" si="16"/>
        <v>NON DISTRIBUTOR</v>
      </c>
      <c r="L297" s="16" t="s">
        <v>37</v>
      </c>
      <c r="M297" s="156">
        <v>9</v>
      </c>
      <c r="N297" s="16" t="str">
        <f t="shared" si="20"/>
        <v>In Pcs</v>
      </c>
      <c r="O297" s="16" t="str">
        <f t="shared" si="11"/>
        <v>Pcs</v>
      </c>
      <c r="P297" s="156">
        <f t="shared" si="17"/>
        <v>4</v>
      </c>
      <c r="Q297" s="16" t="str">
        <f t="shared" si="18"/>
        <v>small</v>
      </c>
      <c r="R297" s="16">
        <v>432</v>
      </c>
      <c r="S297" s="157">
        <f>S296/12</f>
        <v>791.66666666666663</v>
      </c>
      <c r="T297" s="158">
        <f t="shared" si="19"/>
        <v>713.21321321321307</v>
      </c>
      <c r="U297" s="225">
        <v>775</v>
      </c>
      <c r="V297" s="225">
        <v>698</v>
      </c>
    </row>
    <row r="298" spans="1:22" ht="22.5" customHeight="1">
      <c r="A298" s="109"/>
      <c r="B298" s="109"/>
      <c r="C298" s="16">
        <v>103</v>
      </c>
      <c r="D298" s="16">
        <v>24008</v>
      </c>
      <c r="E298" s="16" t="s">
        <v>1336</v>
      </c>
      <c r="F298" s="16" t="s">
        <v>22</v>
      </c>
      <c r="G298" s="16" t="s">
        <v>22</v>
      </c>
      <c r="H298" s="16" t="s">
        <v>22</v>
      </c>
      <c r="I298" s="16" t="s">
        <v>21</v>
      </c>
      <c r="J298" s="156">
        <v>3</v>
      </c>
      <c r="K298" s="16" t="str">
        <f t="shared" si="16"/>
        <v>NON DISTRIBUTOR</v>
      </c>
      <c r="L298" s="16" t="s">
        <v>37</v>
      </c>
      <c r="M298" s="156">
        <v>1</v>
      </c>
      <c r="N298" s="16" t="str">
        <f t="shared" si="20"/>
        <v>In Carton</v>
      </c>
      <c r="O298" s="16" t="str">
        <f t="shared" si="11"/>
        <v>Carton</v>
      </c>
      <c r="P298" s="156">
        <f t="shared" si="17"/>
        <v>1</v>
      </c>
      <c r="Q298" s="16" t="str">
        <f t="shared" si="18"/>
        <v>large</v>
      </c>
      <c r="R298" s="16">
        <v>1</v>
      </c>
      <c r="S298" s="157">
        <f>9500*36</f>
        <v>342000</v>
      </c>
      <c r="T298" s="158">
        <f t="shared" si="19"/>
        <v>308108.10810810811</v>
      </c>
      <c r="U298" s="222">
        <f>V298+(V298*11%)</f>
        <v>335158.95</v>
      </c>
      <c r="V298" s="225">
        <v>301945</v>
      </c>
    </row>
    <row r="299" spans="1:22" ht="22.5" customHeight="1">
      <c r="A299" s="109"/>
      <c r="B299" s="109"/>
      <c r="C299" s="16">
        <v>103</v>
      </c>
      <c r="D299" s="16">
        <v>24008</v>
      </c>
      <c r="E299" s="16" t="s">
        <v>1336</v>
      </c>
      <c r="F299" s="16" t="s">
        <v>22</v>
      </c>
      <c r="G299" s="16" t="s">
        <v>22</v>
      </c>
      <c r="H299" s="16" t="s">
        <v>22</v>
      </c>
      <c r="I299" s="16" t="s">
        <v>21</v>
      </c>
      <c r="J299" s="156">
        <v>3</v>
      </c>
      <c r="K299" s="16" t="str">
        <f t="shared" si="16"/>
        <v>NON DISTRIBUTOR</v>
      </c>
      <c r="L299" s="16" t="s">
        <v>37</v>
      </c>
      <c r="M299" s="156">
        <v>8</v>
      </c>
      <c r="N299" s="16" t="str">
        <f t="shared" si="20"/>
        <v>In Renceng</v>
      </c>
      <c r="O299" s="16" t="str">
        <f t="shared" si="11"/>
        <v>Renceng</v>
      </c>
      <c r="P299" s="156">
        <f t="shared" si="17"/>
        <v>3</v>
      </c>
      <c r="Q299" s="16">
        <f t="shared" si="18"/>
        <v>0</v>
      </c>
      <c r="R299" s="16">
        <v>36</v>
      </c>
      <c r="S299" s="157">
        <f>S298/36</f>
        <v>9500</v>
      </c>
      <c r="T299" s="158">
        <f t="shared" si="19"/>
        <v>8558.5585585585577</v>
      </c>
      <c r="U299" s="225">
        <v>18619</v>
      </c>
      <c r="V299" s="225">
        <v>8387</v>
      </c>
    </row>
    <row r="300" spans="1:22" ht="22.5" customHeight="1">
      <c r="A300" s="109"/>
      <c r="B300" s="109"/>
      <c r="C300" s="16">
        <v>103</v>
      </c>
      <c r="D300" s="16">
        <v>24008</v>
      </c>
      <c r="E300" s="16" t="s">
        <v>1336</v>
      </c>
      <c r="F300" s="16" t="s">
        <v>22</v>
      </c>
      <c r="G300" s="16" t="s">
        <v>22</v>
      </c>
      <c r="H300" s="16" t="s">
        <v>22</v>
      </c>
      <c r="I300" s="16" t="s">
        <v>21</v>
      </c>
      <c r="J300" s="156">
        <v>3</v>
      </c>
      <c r="K300" s="16" t="str">
        <f t="shared" si="16"/>
        <v>NON DISTRIBUTOR</v>
      </c>
      <c r="L300" s="16" t="s">
        <v>37</v>
      </c>
      <c r="M300" s="156">
        <v>9</v>
      </c>
      <c r="N300" s="16" t="str">
        <f t="shared" si="20"/>
        <v>In Pcs</v>
      </c>
      <c r="O300" s="16" t="str">
        <f t="shared" si="11"/>
        <v>Pcs</v>
      </c>
      <c r="P300" s="156">
        <f t="shared" si="17"/>
        <v>4</v>
      </c>
      <c r="Q300" s="16" t="str">
        <f t="shared" si="18"/>
        <v>small</v>
      </c>
      <c r="R300" s="16">
        <v>432</v>
      </c>
      <c r="S300" s="157">
        <f>S299/12</f>
        <v>791.66666666666663</v>
      </c>
      <c r="T300" s="158">
        <f t="shared" si="19"/>
        <v>713.21321321321307</v>
      </c>
      <c r="U300" s="225">
        <v>775</v>
      </c>
      <c r="V300" s="225">
        <v>698</v>
      </c>
    </row>
    <row r="301" spans="1:22" ht="22.5" customHeight="1">
      <c r="A301" s="109"/>
      <c r="B301" s="109"/>
      <c r="C301" s="16">
        <v>104</v>
      </c>
      <c r="D301" s="16">
        <v>24013</v>
      </c>
      <c r="E301" s="16" t="s">
        <v>1337</v>
      </c>
      <c r="F301" s="16" t="s">
        <v>22</v>
      </c>
      <c r="G301" s="16" t="s">
        <v>22</v>
      </c>
      <c r="H301" s="16" t="s">
        <v>22</v>
      </c>
      <c r="I301" s="16" t="s">
        <v>21</v>
      </c>
      <c r="J301" s="156">
        <v>3</v>
      </c>
      <c r="K301" s="16" t="str">
        <f t="shared" si="16"/>
        <v>NON DISTRIBUTOR</v>
      </c>
      <c r="L301" s="16" t="s">
        <v>37</v>
      </c>
      <c r="M301" s="156">
        <v>1</v>
      </c>
      <c r="N301" s="16" t="str">
        <f t="shared" si="20"/>
        <v>In Carton</v>
      </c>
      <c r="O301" s="16" t="str">
        <f t="shared" si="11"/>
        <v>Carton</v>
      </c>
      <c r="P301" s="156">
        <f t="shared" si="17"/>
        <v>1</v>
      </c>
      <c r="Q301" s="16" t="str">
        <f t="shared" si="18"/>
        <v>large</v>
      </c>
      <c r="R301" s="16">
        <v>1</v>
      </c>
      <c r="S301" s="157">
        <f>9500*36</f>
        <v>342000</v>
      </c>
      <c r="T301" s="158">
        <f t="shared" si="19"/>
        <v>308108.10810810811</v>
      </c>
      <c r="U301" s="222">
        <f>V301+(V301*11%)</f>
        <v>335158.95</v>
      </c>
      <c r="V301" s="225">
        <v>301945</v>
      </c>
    </row>
    <row r="302" spans="1:22" ht="22.5" customHeight="1">
      <c r="A302" s="109"/>
      <c r="B302" s="109"/>
      <c r="C302" s="16">
        <v>104</v>
      </c>
      <c r="D302" s="16">
        <v>24013</v>
      </c>
      <c r="E302" s="16" t="s">
        <v>1337</v>
      </c>
      <c r="F302" s="16" t="s">
        <v>22</v>
      </c>
      <c r="G302" s="16" t="s">
        <v>22</v>
      </c>
      <c r="H302" s="16" t="s">
        <v>22</v>
      </c>
      <c r="I302" s="16" t="s">
        <v>21</v>
      </c>
      <c r="J302" s="156">
        <v>3</v>
      </c>
      <c r="K302" s="16" t="str">
        <f t="shared" si="16"/>
        <v>NON DISTRIBUTOR</v>
      </c>
      <c r="L302" s="16" t="s">
        <v>37</v>
      </c>
      <c r="M302" s="156">
        <v>3</v>
      </c>
      <c r="N302" s="16" t="str">
        <f t="shared" si="20"/>
        <v>In Pack</v>
      </c>
      <c r="O302" s="16" t="str">
        <f t="shared" si="11"/>
        <v>Pack</v>
      </c>
      <c r="P302" s="156">
        <f t="shared" si="17"/>
        <v>2</v>
      </c>
      <c r="Q302" s="16">
        <f t="shared" si="18"/>
        <v>0</v>
      </c>
      <c r="R302" s="16">
        <v>18</v>
      </c>
      <c r="S302" s="157">
        <f>S301/18</f>
        <v>19000</v>
      </c>
      <c r="T302" s="158">
        <f t="shared" si="19"/>
        <v>17117.117117117115</v>
      </c>
      <c r="U302" s="225">
        <v>18619</v>
      </c>
      <c r="V302" s="225">
        <v>16774</v>
      </c>
    </row>
    <row r="303" spans="1:22" ht="22.5" customHeight="1">
      <c r="A303" s="109"/>
      <c r="B303" s="109"/>
      <c r="C303" s="16">
        <v>104</v>
      </c>
      <c r="D303" s="16">
        <v>24013</v>
      </c>
      <c r="E303" s="16" t="s">
        <v>1337</v>
      </c>
      <c r="F303" s="16" t="s">
        <v>22</v>
      </c>
      <c r="G303" s="16" t="s">
        <v>22</v>
      </c>
      <c r="H303" s="16" t="s">
        <v>22</v>
      </c>
      <c r="I303" s="16" t="s">
        <v>21</v>
      </c>
      <c r="J303" s="156">
        <v>3</v>
      </c>
      <c r="K303" s="16" t="str">
        <f t="shared" si="16"/>
        <v>NON DISTRIBUTOR</v>
      </c>
      <c r="L303" s="16" t="s">
        <v>37</v>
      </c>
      <c r="M303" s="156">
        <v>8</v>
      </c>
      <c r="N303" s="16" t="str">
        <f t="shared" si="20"/>
        <v>In Renceng</v>
      </c>
      <c r="O303" s="16" t="str">
        <f t="shared" si="11"/>
        <v>Renceng</v>
      </c>
      <c r="P303" s="156">
        <f t="shared" si="17"/>
        <v>3</v>
      </c>
      <c r="Q303" s="16">
        <f t="shared" si="18"/>
        <v>0</v>
      </c>
      <c r="R303" s="16">
        <v>36</v>
      </c>
      <c r="S303" s="157">
        <f>S302/2</f>
        <v>9500</v>
      </c>
      <c r="T303" s="158">
        <f t="shared" si="19"/>
        <v>8558.5585585585577</v>
      </c>
      <c r="U303" s="225">
        <v>9309</v>
      </c>
      <c r="V303" s="225">
        <v>8558</v>
      </c>
    </row>
    <row r="304" spans="1:22" ht="22.5" customHeight="1">
      <c r="A304" s="109"/>
      <c r="B304" s="109"/>
      <c r="C304" s="16">
        <v>104</v>
      </c>
      <c r="D304" s="16">
        <v>24013</v>
      </c>
      <c r="E304" s="16" t="s">
        <v>1337</v>
      </c>
      <c r="F304" s="16" t="s">
        <v>22</v>
      </c>
      <c r="G304" s="16" t="s">
        <v>22</v>
      </c>
      <c r="H304" s="16" t="s">
        <v>22</v>
      </c>
      <c r="I304" s="16" t="s">
        <v>21</v>
      </c>
      <c r="J304" s="156">
        <v>3</v>
      </c>
      <c r="K304" s="16" t="str">
        <f t="shared" si="16"/>
        <v>NON DISTRIBUTOR</v>
      </c>
      <c r="L304" s="16" t="s">
        <v>37</v>
      </c>
      <c r="M304" s="156">
        <v>9</v>
      </c>
      <c r="N304" s="16" t="str">
        <f t="shared" si="20"/>
        <v>In Pcs</v>
      </c>
      <c r="O304" s="16" t="str">
        <f t="shared" si="11"/>
        <v>Pcs</v>
      </c>
      <c r="P304" s="156">
        <f t="shared" si="17"/>
        <v>4</v>
      </c>
      <c r="Q304" s="16" t="str">
        <f t="shared" si="18"/>
        <v>small</v>
      </c>
      <c r="R304" s="16">
        <v>432</v>
      </c>
      <c r="S304" s="157">
        <f>S303/12</f>
        <v>791.66666666666663</v>
      </c>
      <c r="T304" s="158">
        <f t="shared" si="19"/>
        <v>713.21321321321307</v>
      </c>
      <c r="U304" s="225">
        <v>775</v>
      </c>
      <c r="V304" s="225">
        <v>698</v>
      </c>
    </row>
    <row r="305" spans="1:22" ht="22.5" customHeight="1">
      <c r="A305" s="109"/>
      <c r="B305" s="109"/>
      <c r="C305" s="16">
        <v>105</v>
      </c>
      <c r="D305" s="16">
        <v>24009</v>
      </c>
      <c r="E305" s="16" t="s">
        <v>1338</v>
      </c>
      <c r="F305" s="16" t="s">
        <v>22</v>
      </c>
      <c r="G305" s="16" t="s">
        <v>22</v>
      </c>
      <c r="H305" s="16" t="s">
        <v>22</v>
      </c>
      <c r="I305" s="16" t="s">
        <v>21</v>
      </c>
      <c r="J305" s="156">
        <v>3</v>
      </c>
      <c r="K305" s="16" t="str">
        <f t="shared" si="16"/>
        <v>NON DISTRIBUTOR</v>
      </c>
      <c r="L305" s="16" t="s">
        <v>37</v>
      </c>
      <c r="M305" s="156">
        <v>1</v>
      </c>
      <c r="N305" s="16" t="str">
        <f t="shared" si="20"/>
        <v>In Carton</v>
      </c>
      <c r="O305" s="16" t="str">
        <f t="shared" si="11"/>
        <v>Carton</v>
      </c>
      <c r="P305" s="156">
        <f t="shared" si="17"/>
        <v>1</v>
      </c>
      <c r="Q305" s="16" t="str">
        <f t="shared" si="18"/>
        <v>large</v>
      </c>
      <c r="R305" s="16">
        <v>1</v>
      </c>
      <c r="S305" s="157">
        <f>9500*48</f>
        <v>456000</v>
      </c>
      <c r="T305" s="158">
        <f t="shared" si="19"/>
        <v>410810.81081081077</v>
      </c>
      <c r="U305" s="222">
        <f>V305+(V305*11%)</f>
        <v>446879.34</v>
      </c>
      <c r="V305" s="225">
        <v>402594</v>
      </c>
    </row>
    <row r="306" spans="1:22" ht="22.5" customHeight="1">
      <c r="A306" s="109"/>
      <c r="B306" s="109"/>
      <c r="C306" s="16">
        <v>105</v>
      </c>
      <c r="D306" s="16">
        <v>24009</v>
      </c>
      <c r="E306" s="16" t="s">
        <v>1338</v>
      </c>
      <c r="F306" s="16" t="s">
        <v>22</v>
      </c>
      <c r="G306" s="16" t="s">
        <v>22</v>
      </c>
      <c r="H306" s="16" t="s">
        <v>22</v>
      </c>
      <c r="I306" s="16" t="s">
        <v>21</v>
      </c>
      <c r="J306" s="156">
        <v>3</v>
      </c>
      <c r="K306" s="16" t="str">
        <f t="shared" si="16"/>
        <v>NON DISTRIBUTOR</v>
      </c>
      <c r="L306" s="16" t="s">
        <v>37</v>
      </c>
      <c r="M306" s="156">
        <v>3</v>
      </c>
      <c r="N306" s="16" t="str">
        <f t="shared" si="20"/>
        <v>In Pack</v>
      </c>
      <c r="O306" s="16" t="str">
        <f t="shared" si="11"/>
        <v>Pack</v>
      </c>
      <c r="P306" s="156">
        <f t="shared" si="17"/>
        <v>2</v>
      </c>
      <c r="Q306" s="16">
        <f t="shared" si="18"/>
        <v>0</v>
      </c>
      <c r="R306" s="16">
        <v>8</v>
      </c>
      <c r="S306" s="157">
        <f>S305/8</f>
        <v>57000</v>
      </c>
      <c r="T306" s="158">
        <f t="shared" si="19"/>
        <v>51351.351351351346</v>
      </c>
      <c r="U306" s="225">
        <v>55859</v>
      </c>
      <c r="V306" s="225">
        <v>50324</v>
      </c>
    </row>
    <row r="307" spans="1:22" ht="22.5" customHeight="1">
      <c r="A307" s="109"/>
      <c r="B307" s="109"/>
      <c r="C307" s="16">
        <v>105</v>
      </c>
      <c r="D307" s="16">
        <v>24009</v>
      </c>
      <c r="E307" s="16" t="s">
        <v>1338</v>
      </c>
      <c r="F307" s="16" t="s">
        <v>22</v>
      </c>
      <c r="G307" s="16" t="s">
        <v>22</v>
      </c>
      <c r="H307" s="16" t="s">
        <v>22</v>
      </c>
      <c r="I307" s="16" t="s">
        <v>21</v>
      </c>
      <c r="J307" s="156">
        <v>3</v>
      </c>
      <c r="K307" s="16" t="str">
        <f t="shared" si="16"/>
        <v>NON DISTRIBUTOR</v>
      </c>
      <c r="L307" s="16" t="s">
        <v>37</v>
      </c>
      <c r="M307" s="156">
        <v>8</v>
      </c>
      <c r="N307" s="16" t="str">
        <f t="shared" si="20"/>
        <v>In Renceng</v>
      </c>
      <c r="O307" s="16" t="str">
        <f t="shared" si="11"/>
        <v>Renceng</v>
      </c>
      <c r="P307" s="156">
        <f t="shared" si="17"/>
        <v>3</v>
      </c>
      <c r="Q307" s="16">
        <f t="shared" si="18"/>
        <v>0</v>
      </c>
      <c r="R307" s="16">
        <v>48</v>
      </c>
      <c r="S307" s="157">
        <f>S306/6</f>
        <v>9500</v>
      </c>
      <c r="T307" s="158">
        <f t="shared" si="19"/>
        <v>8558.5585585585577</v>
      </c>
      <c r="U307" s="225">
        <v>9309</v>
      </c>
      <c r="V307" s="225">
        <v>8387</v>
      </c>
    </row>
    <row r="308" spans="1:22" ht="22.5" customHeight="1">
      <c r="A308" s="109"/>
      <c r="B308" s="109"/>
      <c r="C308" s="16">
        <v>105</v>
      </c>
      <c r="D308" s="16">
        <v>24009</v>
      </c>
      <c r="E308" s="16" t="s">
        <v>1338</v>
      </c>
      <c r="F308" s="16" t="s">
        <v>22</v>
      </c>
      <c r="G308" s="16" t="s">
        <v>22</v>
      </c>
      <c r="H308" s="16" t="s">
        <v>22</v>
      </c>
      <c r="I308" s="16" t="s">
        <v>21</v>
      </c>
      <c r="J308" s="156">
        <v>3</v>
      </c>
      <c r="K308" s="16" t="str">
        <f t="shared" si="16"/>
        <v>NON DISTRIBUTOR</v>
      </c>
      <c r="L308" s="16" t="s">
        <v>37</v>
      </c>
      <c r="M308" s="156">
        <v>9</v>
      </c>
      <c r="N308" s="16" t="str">
        <f t="shared" si="20"/>
        <v>In Pcs</v>
      </c>
      <c r="O308" s="16" t="str">
        <f t="shared" si="11"/>
        <v>Pcs</v>
      </c>
      <c r="P308" s="156">
        <f t="shared" si="17"/>
        <v>4</v>
      </c>
      <c r="Q308" s="16" t="str">
        <f t="shared" si="18"/>
        <v>small</v>
      </c>
      <c r="R308" s="16">
        <v>576</v>
      </c>
      <c r="S308" s="157">
        <f>S307/12</f>
        <v>791.66666666666663</v>
      </c>
      <c r="T308" s="158">
        <f t="shared" si="19"/>
        <v>713.21321321321307</v>
      </c>
      <c r="U308" s="225">
        <v>775</v>
      </c>
      <c r="V308" s="225">
        <v>698</v>
      </c>
    </row>
    <row r="309" spans="1:22" ht="22.5" customHeight="1">
      <c r="A309" s="109"/>
      <c r="B309" s="109"/>
      <c r="C309" s="16">
        <v>106</v>
      </c>
      <c r="D309" s="16">
        <v>24002</v>
      </c>
      <c r="E309" s="16" t="s">
        <v>1339</v>
      </c>
      <c r="F309" s="16" t="s">
        <v>22</v>
      </c>
      <c r="G309" s="16" t="s">
        <v>22</v>
      </c>
      <c r="H309" s="16" t="s">
        <v>22</v>
      </c>
      <c r="I309" s="16" t="s">
        <v>21</v>
      </c>
      <c r="J309" s="156">
        <v>3</v>
      </c>
      <c r="K309" s="16" t="str">
        <f t="shared" si="16"/>
        <v>NON DISTRIBUTOR</v>
      </c>
      <c r="L309" s="16" t="s">
        <v>37</v>
      </c>
      <c r="M309" s="156">
        <v>1</v>
      </c>
      <c r="N309" s="16" t="str">
        <f t="shared" si="20"/>
        <v>In Carton</v>
      </c>
      <c r="O309" s="16" t="str">
        <f t="shared" si="11"/>
        <v>Carton</v>
      </c>
      <c r="P309" s="156">
        <f t="shared" si="17"/>
        <v>1</v>
      </c>
      <c r="Q309" s="16" t="str">
        <f t="shared" si="18"/>
        <v>large</v>
      </c>
      <c r="R309" s="16">
        <v>1</v>
      </c>
      <c r="S309" s="157">
        <f>19000*12</f>
        <v>228000</v>
      </c>
      <c r="T309" s="158">
        <f t="shared" si="19"/>
        <v>205405.40540540538</v>
      </c>
      <c r="U309" s="222">
        <f>V309+(V309*11%)</f>
        <v>211680.33000000002</v>
      </c>
      <c r="V309" s="225">
        <v>190703</v>
      </c>
    </row>
    <row r="310" spans="1:22" ht="22.5" customHeight="1">
      <c r="A310" s="109"/>
      <c r="B310" s="109"/>
      <c r="C310" s="16">
        <v>106</v>
      </c>
      <c r="D310" s="16">
        <v>24002</v>
      </c>
      <c r="E310" s="16" t="s">
        <v>1339</v>
      </c>
      <c r="F310" s="16" t="s">
        <v>22</v>
      </c>
      <c r="G310" s="16" t="s">
        <v>22</v>
      </c>
      <c r="H310" s="16" t="s">
        <v>22</v>
      </c>
      <c r="I310" s="16" t="s">
        <v>21</v>
      </c>
      <c r="J310" s="156">
        <v>3</v>
      </c>
      <c r="K310" s="16" t="str">
        <f t="shared" si="16"/>
        <v>NON DISTRIBUTOR</v>
      </c>
      <c r="L310" s="16" t="s">
        <v>37</v>
      </c>
      <c r="M310" s="156">
        <v>3</v>
      </c>
      <c r="N310" s="16" t="str">
        <f t="shared" si="20"/>
        <v>In Pack</v>
      </c>
      <c r="O310" s="16" t="str">
        <f t="shared" si="11"/>
        <v>Pack</v>
      </c>
      <c r="P310" s="156">
        <f t="shared" si="17"/>
        <v>2</v>
      </c>
      <c r="Q310" s="16">
        <f t="shared" si="18"/>
        <v>0</v>
      </c>
      <c r="R310" s="16">
        <v>12</v>
      </c>
      <c r="S310" s="157">
        <f>S309/12</f>
        <v>19000</v>
      </c>
      <c r="T310" s="158">
        <f t="shared" si="19"/>
        <v>17117.117117117115</v>
      </c>
      <c r="U310" s="225">
        <v>17640</v>
      </c>
      <c r="V310" s="225">
        <v>15891</v>
      </c>
    </row>
    <row r="311" spans="1:22" ht="22.5" customHeight="1">
      <c r="A311" s="109"/>
      <c r="B311" s="109"/>
      <c r="C311" s="16">
        <v>106</v>
      </c>
      <c r="D311" s="16">
        <v>24002</v>
      </c>
      <c r="E311" s="16" t="s">
        <v>1339</v>
      </c>
      <c r="F311" s="16" t="s">
        <v>22</v>
      </c>
      <c r="G311" s="16" t="s">
        <v>22</v>
      </c>
      <c r="H311" s="16" t="s">
        <v>22</v>
      </c>
      <c r="I311" s="16" t="s">
        <v>21</v>
      </c>
      <c r="J311" s="156">
        <v>3</v>
      </c>
      <c r="K311" s="16" t="str">
        <f t="shared" si="16"/>
        <v>NON DISTRIBUTOR</v>
      </c>
      <c r="L311" s="16" t="s">
        <v>37</v>
      </c>
      <c r="M311" s="156">
        <v>9</v>
      </c>
      <c r="N311" s="16" t="str">
        <f t="shared" si="20"/>
        <v>In Pcs</v>
      </c>
      <c r="O311" s="16" t="str">
        <f t="shared" si="11"/>
        <v>Pcs</v>
      </c>
      <c r="P311" s="156">
        <f t="shared" si="17"/>
        <v>4</v>
      </c>
      <c r="Q311" s="16" t="str">
        <f t="shared" si="18"/>
        <v>small</v>
      </c>
      <c r="R311" s="16">
        <v>120</v>
      </c>
      <c r="S311" s="157">
        <f>S310/10</f>
        <v>1900</v>
      </c>
      <c r="T311" s="158">
        <f t="shared" si="19"/>
        <v>1711.7117117117116</v>
      </c>
      <c r="U311" s="225">
        <v>1764</v>
      </c>
      <c r="V311" s="225">
        <v>1589</v>
      </c>
    </row>
    <row r="312" spans="1:22" ht="22.5" customHeight="1">
      <c r="A312" s="109"/>
      <c r="B312" s="109"/>
      <c r="C312" s="16">
        <v>107</v>
      </c>
      <c r="D312" s="16">
        <v>24011</v>
      </c>
      <c r="E312" s="16" t="s">
        <v>1340</v>
      </c>
      <c r="F312" s="16" t="s">
        <v>22</v>
      </c>
      <c r="G312" s="16" t="s">
        <v>22</v>
      </c>
      <c r="H312" s="16" t="s">
        <v>22</v>
      </c>
      <c r="I312" s="16" t="s">
        <v>21</v>
      </c>
      <c r="J312" s="156">
        <v>3</v>
      </c>
      <c r="K312" s="16" t="str">
        <f t="shared" si="16"/>
        <v>NON DISTRIBUTOR</v>
      </c>
      <c r="L312" s="16" t="s">
        <v>37</v>
      </c>
      <c r="M312" s="156">
        <v>1</v>
      </c>
      <c r="N312" s="16" t="str">
        <f t="shared" si="20"/>
        <v>In Carton</v>
      </c>
      <c r="O312" s="16" t="str">
        <f t="shared" si="11"/>
        <v>Carton</v>
      </c>
      <c r="P312" s="156">
        <f t="shared" si="17"/>
        <v>1</v>
      </c>
      <c r="Q312" s="16" t="str">
        <f t="shared" si="18"/>
        <v>large</v>
      </c>
      <c r="R312" s="16">
        <v>1</v>
      </c>
      <c r="S312" s="157">
        <f>19800*12</f>
        <v>237600</v>
      </c>
      <c r="T312" s="158">
        <f t="shared" si="19"/>
        <v>214054.05405405402</v>
      </c>
      <c r="U312" s="222">
        <f>V312+(V312*11%)</f>
        <v>229324.89</v>
      </c>
      <c r="V312" s="225">
        <v>206599</v>
      </c>
    </row>
    <row r="313" spans="1:22" ht="22.5" customHeight="1">
      <c r="A313" s="109"/>
      <c r="B313" s="109"/>
      <c r="C313" s="16">
        <v>107</v>
      </c>
      <c r="D313" s="16">
        <v>24011</v>
      </c>
      <c r="E313" s="16" t="s">
        <v>1340</v>
      </c>
      <c r="F313" s="16" t="s">
        <v>22</v>
      </c>
      <c r="G313" s="16" t="s">
        <v>22</v>
      </c>
      <c r="H313" s="16" t="s">
        <v>22</v>
      </c>
      <c r="I313" s="16" t="s">
        <v>21</v>
      </c>
      <c r="J313" s="156">
        <v>3</v>
      </c>
      <c r="K313" s="16" t="str">
        <f t="shared" si="16"/>
        <v>NON DISTRIBUTOR</v>
      </c>
      <c r="L313" s="16" t="s">
        <v>37</v>
      </c>
      <c r="M313" s="156">
        <v>3</v>
      </c>
      <c r="N313" s="16" t="str">
        <f t="shared" si="20"/>
        <v>In Pack</v>
      </c>
      <c r="O313" s="16" t="str">
        <f t="shared" si="11"/>
        <v>Pack</v>
      </c>
      <c r="P313" s="156">
        <f t="shared" si="17"/>
        <v>2</v>
      </c>
      <c r="Q313" s="16">
        <f t="shared" si="18"/>
        <v>0</v>
      </c>
      <c r="R313" s="16">
        <v>12</v>
      </c>
      <c r="S313" s="157">
        <f>S312/12</f>
        <v>19800</v>
      </c>
      <c r="T313" s="158">
        <f t="shared" si="19"/>
        <v>17837.837837837837</v>
      </c>
      <c r="U313" s="225">
        <v>19110</v>
      </c>
      <c r="V313" s="225">
        <v>17216</v>
      </c>
    </row>
    <row r="314" spans="1:22" ht="22.5" customHeight="1">
      <c r="A314" s="109"/>
      <c r="B314" s="109"/>
      <c r="C314" s="16">
        <v>107</v>
      </c>
      <c r="D314" s="16">
        <v>24011</v>
      </c>
      <c r="E314" s="16" t="s">
        <v>1340</v>
      </c>
      <c r="F314" s="16" t="s">
        <v>22</v>
      </c>
      <c r="G314" s="16" t="s">
        <v>22</v>
      </c>
      <c r="H314" s="16" t="s">
        <v>22</v>
      </c>
      <c r="I314" s="16" t="s">
        <v>21</v>
      </c>
      <c r="J314" s="156">
        <v>3</v>
      </c>
      <c r="K314" s="16" t="str">
        <f t="shared" si="16"/>
        <v>NON DISTRIBUTOR</v>
      </c>
      <c r="L314" s="16" t="s">
        <v>37</v>
      </c>
      <c r="M314" s="156">
        <v>9</v>
      </c>
      <c r="N314" s="16" t="str">
        <f t="shared" si="20"/>
        <v>In Pcs</v>
      </c>
      <c r="O314" s="16" t="str">
        <f t="shared" si="11"/>
        <v>Pcs</v>
      </c>
      <c r="P314" s="156">
        <f t="shared" si="17"/>
        <v>4</v>
      </c>
      <c r="Q314" s="16" t="str">
        <f t="shared" si="18"/>
        <v>small</v>
      </c>
      <c r="R314" s="16">
        <v>120</v>
      </c>
      <c r="S314" s="157">
        <f>S313/10</f>
        <v>1980</v>
      </c>
      <c r="T314" s="158">
        <f t="shared" si="19"/>
        <v>1783.7837837837835</v>
      </c>
      <c r="U314" s="225">
        <v>1911</v>
      </c>
      <c r="V314" s="225">
        <v>1721</v>
      </c>
    </row>
    <row r="315" spans="1:22" ht="22.5" customHeight="1">
      <c r="A315" s="109"/>
      <c r="B315" s="109"/>
      <c r="C315" s="16">
        <v>108</v>
      </c>
      <c r="D315" s="16">
        <v>24001</v>
      </c>
      <c r="E315" s="16" t="s">
        <v>1341</v>
      </c>
      <c r="F315" s="16" t="s">
        <v>22</v>
      </c>
      <c r="G315" s="16" t="s">
        <v>22</v>
      </c>
      <c r="H315" s="16" t="s">
        <v>22</v>
      </c>
      <c r="I315" s="16" t="s">
        <v>21</v>
      </c>
      <c r="J315" s="156">
        <v>3</v>
      </c>
      <c r="K315" s="16" t="str">
        <f t="shared" si="16"/>
        <v>NON DISTRIBUTOR</v>
      </c>
      <c r="L315" s="16" t="s">
        <v>37</v>
      </c>
      <c r="M315" s="156">
        <v>1</v>
      </c>
      <c r="N315" s="16" t="str">
        <f t="shared" si="20"/>
        <v>In Carton</v>
      </c>
      <c r="O315" s="16" t="str">
        <f t="shared" si="11"/>
        <v>Carton</v>
      </c>
      <c r="P315" s="156">
        <f t="shared" si="17"/>
        <v>1</v>
      </c>
      <c r="Q315" s="16" t="str">
        <f t="shared" si="18"/>
        <v>large</v>
      </c>
      <c r="R315" s="16">
        <v>1</v>
      </c>
      <c r="S315" s="157">
        <f>19000*12</f>
        <v>228000</v>
      </c>
      <c r="T315" s="158">
        <f t="shared" si="19"/>
        <v>205405.40540540538</v>
      </c>
      <c r="U315" s="222">
        <f>V315+(V315*11%)</f>
        <v>211680.33000000002</v>
      </c>
      <c r="V315" s="225">
        <v>190703</v>
      </c>
    </row>
    <row r="316" spans="1:22" ht="22.5" customHeight="1">
      <c r="A316" s="109"/>
      <c r="B316" s="109"/>
      <c r="C316" s="16">
        <v>108</v>
      </c>
      <c r="D316" s="16">
        <v>24001</v>
      </c>
      <c r="E316" s="16" t="s">
        <v>1341</v>
      </c>
      <c r="F316" s="16" t="s">
        <v>22</v>
      </c>
      <c r="G316" s="16" t="s">
        <v>22</v>
      </c>
      <c r="H316" s="16" t="s">
        <v>22</v>
      </c>
      <c r="I316" s="16" t="s">
        <v>21</v>
      </c>
      <c r="J316" s="156">
        <v>3</v>
      </c>
      <c r="K316" s="16" t="str">
        <f t="shared" si="16"/>
        <v>NON DISTRIBUTOR</v>
      </c>
      <c r="L316" s="16" t="s">
        <v>37</v>
      </c>
      <c r="M316" s="156">
        <v>3</v>
      </c>
      <c r="N316" s="16" t="str">
        <f t="shared" si="20"/>
        <v>In Pack</v>
      </c>
      <c r="O316" s="16" t="str">
        <f t="shared" si="11"/>
        <v>Pack</v>
      </c>
      <c r="P316" s="156">
        <f t="shared" si="17"/>
        <v>2</v>
      </c>
      <c r="Q316" s="16">
        <f t="shared" si="18"/>
        <v>0</v>
      </c>
      <c r="R316" s="16">
        <v>12</v>
      </c>
      <c r="S316" s="157">
        <f>S315/12</f>
        <v>19000</v>
      </c>
      <c r="T316" s="158">
        <f t="shared" si="19"/>
        <v>17117.117117117115</v>
      </c>
      <c r="U316" s="225">
        <v>17640</v>
      </c>
      <c r="V316" s="225">
        <v>15891</v>
      </c>
    </row>
    <row r="317" spans="1:22" ht="22.5" customHeight="1">
      <c r="A317" s="109"/>
      <c r="B317" s="109"/>
      <c r="C317" s="16">
        <v>108</v>
      </c>
      <c r="D317" s="16">
        <v>24001</v>
      </c>
      <c r="E317" s="16" t="s">
        <v>1341</v>
      </c>
      <c r="F317" s="16" t="s">
        <v>22</v>
      </c>
      <c r="G317" s="16" t="s">
        <v>22</v>
      </c>
      <c r="H317" s="16" t="s">
        <v>22</v>
      </c>
      <c r="I317" s="16" t="s">
        <v>21</v>
      </c>
      <c r="J317" s="156">
        <v>3</v>
      </c>
      <c r="K317" s="16" t="str">
        <f t="shared" si="16"/>
        <v>NON DISTRIBUTOR</v>
      </c>
      <c r="L317" s="16" t="s">
        <v>37</v>
      </c>
      <c r="M317" s="156">
        <v>9</v>
      </c>
      <c r="N317" s="16" t="str">
        <f t="shared" si="20"/>
        <v>In Pcs</v>
      </c>
      <c r="O317" s="16" t="str">
        <f t="shared" si="11"/>
        <v>Pcs</v>
      </c>
      <c r="P317" s="156">
        <f t="shared" si="17"/>
        <v>4</v>
      </c>
      <c r="Q317" s="16" t="str">
        <f t="shared" si="18"/>
        <v>small</v>
      </c>
      <c r="R317" s="16">
        <v>120</v>
      </c>
      <c r="S317" s="157">
        <f>S316/10</f>
        <v>1900</v>
      </c>
      <c r="T317" s="158">
        <f t="shared" si="19"/>
        <v>1711.7117117117116</v>
      </c>
      <c r="U317" s="225">
        <v>1764</v>
      </c>
      <c r="V317" s="225">
        <v>1589</v>
      </c>
    </row>
    <row r="318" spans="1:22" ht="22.5" customHeight="1">
      <c r="A318" s="109"/>
      <c r="B318" s="109"/>
      <c r="C318" s="16">
        <v>109</v>
      </c>
      <c r="D318" s="16">
        <v>24005</v>
      </c>
      <c r="E318" s="16" t="s">
        <v>1342</v>
      </c>
      <c r="F318" s="16" t="s">
        <v>22</v>
      </c>
      <c r="G318" s="16" t="s">
        <v>22</v>
      </c>
      <c r="H318" s="16" t="s">
        <v>22</v>
      </c>
      <c r="I318" s="16" t="s">
        <v>21</v>
      </c>
      <c r="J318" s="156">
        <v>3</v>
      </c>
      <c r="K318" s="16" t="str">
        <f t="shared" si="16"/>
        <v>NON DISTRIBUTOR</v>
      </c>
      <c r="L318" s="16" t="s">
        <v>37</v>
      </c>
      <c r="M318" s="156">
        <v>1</v>
      </c>
      <c r="N318" s="16" t="str">
        <f t="shared" si="20"/>
        <v>In Carton</v>
      </c>
      <c r="O318" s="16" t="str">
        <f t="shared" ref="O318:O438" si="21">IFERROR(VLOOKUP($M318,$M$3:$Q$14,3,0),"")</f>
        <v>Carton</v>
      </c>
      <c r="P318" s="156">
        <f t="shared" si="17"/>
        <v>1</v>
      </c>
      <c r="Q318" s="16" t="str">
        <f t="shared" si="18"/>
        <v>large</v>
      </c>
      <c r="R318" s="16">
        <v>1</v>
      </c>
      <c r="S318" s="157">
        <f>19000*12</f>
        <v>228000</v>
      </c>
      <c r="T318" s="158">
        <f t="shared" si="19"/>
        <v>205405.40540540538</v>
      </c>
      <c r="U318" s="222">
        <f>V318+(V318*11%)</f>
        <v>211680.33000000002</v>
      </c>
      <c r="V318" s="225">
        <v>190703</v>
      </c>
    </row>
    <row r="319" spans="1:22" ht="22.5" customHeight="1">
      <c r="A319" s="109"/>
      <c r="B319" s="109"/>
      <c r="C319" s="16">
        <v>109</v>
      </c>
      <c r="D319" s="16">
        <v>24005</v>
      </c>
      <c r="E319" s="16" t="s">
        <v>1342</v>
      </c>
      <c r="F319" s="16" t="s">
        <v>22</v>
      </c>
      <c r="G319" s="16" t="s">
        <v>22</v>
      </c>
      <c r="H319" s="16" t="s">
        <v>22</v>
      </c>
      <c r="I319" s="16" t="s">
        <v>21</v>
      </c>
      <c r="J319" s="156">
        <v>3</v>
      </c>
      <c r="K319" s="16" t="str">
        <f t="shared" si="16"/>
        <v>NON DISTRIBUTOR</v>
      </c>
      <c r="L319" s="16" t="s">
        <v>37</v>
      </c>
      <c r="M319" s="156">
        <v>3</v>
      </c>
      <c r="N319" s="16" t="str">
        <f t="shared" si="20"/>
        <v>In Pack</v>
      </c>
      <c r="O319" s="16" t="str">
        <f t="shared" si="21"/>
        <v>Pack</v>
      </c>
      <c r="P319" s="156">
        <f t="shared" si="17"/>
        <v>2</v>
      </c>
      <c r="Q319" s="16">
        <f t="shared" si="18"/>
        <v>0</v>
      </c>
      <c r="R319" s="16">
        <v>12</v>
      </c>
      <c r="S319" s="157">
        <f>S318/12</f>
        <v>19000</v>
      </c>
      <c r="T319" s="158">
        <f t="shared" si="19"/>
        <v>17117.117117117115</v>
      </c>
      <c r="U319" s="225">
        <v>17640</v>
      </c>
      <c r="V319" s="225">
        <v>15891</v>
      </c>
    </row>
    <row r="320" spans="1:22" ht="22.5" customHeight="1">
      <c r="A320" s="109"/>
      <c r="B320" s="109"/>
      <c r="C320" s="16">
        <v>109</v>
      </c>
      <c r="D320" s="16">
        <v>24005</v>
      </c>
      <c r="E320" s="16" t="s">
        <v>1342</v>
      </c>
      <c r="F320" s="16" t="s">
        <v>22</v>
      </c>
      <c r="G320" s="16" t="s">
        <v>22</v>
      </c>
      <c r="H320" s="16" t="s">
        <v>22</v>
      </c>
      <c r="I320" s="16" t="s">
        <v>21</v>
      </c>
      <c r="J320" s="156">
        <v>3</v>
      </c>
      <c r="K320" s="16" t="str">
        <f t="shared" si="16"/>
        <v>NON DISTRIBUTOR</v>
      </c>
      <c r="L320" s="16" t="s">
        <v>37</v>
      </c>
      <c r="M320" s="156">
        <v>9</v>
      </c>
      <c r="N320" s="16" t="str">
        <f t="shared" si="20"/>
        <v>In Pcs</v>
      </c>
      <c r="O320" s="16" t="str">
        <f t="shared" si="21"/>
        <v>Pcs</v>
      </c>
      <c r="P320" s="156">
        <f t="shared" si="17"/>
        <v>4</v>
      </c>
      <c r="Q320" s="16" t="str">
        <f t="shared" si="18"/>
        <v>small</v>
      </c>
      <c r="R320" s="16">
        <v>120</v>
      </c>
      <c r="S320" s="157">
        <f>S319/10</f>
        <v>1900</v>
      </c>
      <c r="T320" s="158">
        <f t="shared" si="19"/>
        <v>1711.7117117117116</v>
      </c>
      <c r="U320" s="225">
        <v>1764</v>
      </c>
      <c r="V320" s="225">
        <v>1589</v>
      </c>
    </row>
    <row r="321" spans="1:22" ht="22.5" customHeight="1">
      <c r="A321" s="109"/>
      <c r="B321" s="109"/>
      <c r="C321" s="159">
        <v>110</v>
      </c>
      <c r="D321" s="159"/>
      <c r="E321" s="159" t="s">
        <v>1343</v>
      </c>
      <c r="F321" s="159" t="s">
        <v>844</v>
      </c>
      <c r="G321" s="159" t="s">
        <v>844</v>
      </c>
      <c r="H321" s="159" t="s">
        <v>844</v>
      </c>
      <c r="I321" s="159" t="s">
        <v>1351</v>
      </c>
      <c r="J321" s="160">
        <v>3</v>
      </c>
      <c r="K321" s="159" t="str">
        <f t="shared" si="16"/>
        <v>NON DISTRIBUTOR</v>
      </c>
      <c r="L321" s="159" t="s">
        <v>37</v>
      </c>
      <c r="M321" s="160">
        <v>1</v>
      </c>
      <c r="N321" s="159" t="str">
        <f t="shared" si="20"/>
        <v>In Carton</v>
      </c>
      <c r="O321" s="159" t="str">
        <f t="shared" si="21"/>
        <v>Carton</v>
      </c>
      <c r="P321" s="160">
        <f t="shared" si="17"/>
        <v>1</v>
      </c>
      <c r="Q321" s="159" t="str">
        <f t="shared" si="18"/>
        <v>large</v>
      </c>
      <c r="R321" s="159">
        <v>1</v>
      </c>
      <c r="S321" s="161">
        <f>8700*8</f>
        <v>69600</v>
      </c>
      <c r="T321" s="162">
        <f t="shared" si="19"/>
        <v>62702.7027027027</v>
      </c>
      <c r="U321" s="222">
        <f>V321+(V321*11%)</f>
        <v>62098.95</v>
      </c>
      <c r="V321" s="226">
        <v>55945</v>
      </c>
    </row>
    <row r="322" spans="1:22" ht="22.5" customHeight="1">
      <c r="A322" s="109"/>
      <c r="B322" s="109"/>
      <c r="C322" s="159">
        <v>110</v>
      </c>
      <c r="D322" s="159"/>
      <c r="E322" s="159" t="s">
        <v>1343</v>
      </c>
      <c r="F322" s="159" t="s">
        <v>844</v>
      </c>
      <c r="G322" s="159" t="s">
        <v>844</v>
      </c>
      <c r="H322" s="159" t="s">
        <v>844</v>
      </c>
      <c r="I322" s="159" t="s">
        <v>1351</v>
      </c>
      <c r="J322" s="160">
        <v>3</v>
      </c>
      <c r="K322" s="159" t="str">
        <f t="shared" si="16"/>
        <v>NON DISTRIBUTOR</v>
      </c>
      <c r="L322" s="159" t="s">
        <v>37</v>
      </c>
      <c r="M322" s="160">
        <v>8</v>
      </c>
      <c r="N322" s="159" t="str">
        <f t="shared" si="20"/>
        <v>In Renceng</v>
      </c>
      <c r="O322" s="159" t="str">
        <f t="shared" si="21"/>
        <v>Renceng</v>
      </c>
      <c r="P322" s="160">
        <f t="shared" si="17"/>
        <v>3</v>
      </c>
      <c r="Q322" s="159">
        <f t="shared" si="18"/>
        <v>0</v>
      </c>
      <c r="R322" s="159">
        <v>8</v>
      </c>
      <c r="S322" s="161">
        <f>S321/8</f>
        <v>8700</v>
      </c>
      <c r="T322" s="162">
        <f t="shared" si="19"/>
        <v>7837.8378378378375</v>
      </c>
      <c r="U322" s="222">
        <f t="shared" ref="U322:U344" si="22">V322+(V322*11%)</f>
        <v>7762.23</v>
      </c>
      <c r="V322" s="226">
        <v>6993</v>
      </c>
    </row>
    <row r="323" spans="1:22" ht="22.5" customHeight="1">
      <c r="A323" s="109"/>
      <c r="B323" s="109"/>
      <c r="C323" s="159">
        <v>110</v>
      </c>
      <c r="D323" s="159"/>
      <c r="E323" s="159" t="s">
        <v>1343</v>
      </c>
      <c r="F323" s="159" t="s">
        <v>844</v>
      </c>
      <c r="G323" s="159" t="s">
        <v>844</v>
      </c>
      <c r="H323" s="159" t="s">
        <v>844</v>
      </c>
      <c r="I323" s="159" t="s">
        <v>1351</v>
      </c>
      <c r="J323" s="160">
        <v>3</v>
      </c>
      <c r="K323" s="159" t="str">
        <f t="shared" si="16"/>
        <v>NON DISTRIBUTOR</v>
      </c>
      <c r="L323" s="159" t="s">
        <v>37</v>
      </c>
      <c r="M323" s="160">
        <v>9</v>
      </c>
      <c r="N323" s="159" t="str">
        <f t="shared" si="20"/>
        <v>In Pcs</v>
      </c>
      <c r="O323" s="159" t="str">
        <f t="shared" si="21"/>
        <v>Pcs</v>
      </c>
      <c r="P323" s="160">
        <f t="shared" si="17"/>
        <v>4</v>
      </c>
      <c r="Q323" s="159" t="str">
        <f t="shared" si="18"/>
        <v>small</v>
      </c>
      <c r="R323" s="159">
        <v>80</v>
      </c>
      <c r="S323" s="161">
        <f>S322/10</f>
        <v>870</v>
      </c>
      <c r="T323" s="162">
        <f t="shared" si="19"/>
        <v>783.78378378378375</v>
      </c>
      <c r="U323" s="222">
        <f t="shared" si="22"/>
        <v>775.89</v>
      </c>
      <c r="V323" s="226">
        <v>699</v>
      </c>
    </row>
    <row r="324" spans="1:22" ht="22.5" customHeight="1">
      <c r="A324" s="109"/>
      <c r="B324" s="109"/>
      <c r="C324" s="159">
        <v>111</v>
      </c>
      <c r="D324" s="159"/>
      <c r="E324" s="159" t="s">
        <v>1344</v>
      </c>
      <c r="F324" s="159" t="s">
        <v>844</v>
      </c>
      <c r="G324" s="159" t="s">
        <v>844</v>
      </c>
      <c r="H324" s="159" t="s">
        <v>844</v>
      </c>
      <c r="I324" s="159" t="s">
        <v>1351</v>
      </c>
      <c r="J324" s="160">
        <v>3</v>
      </c>
      <c r="K324" s="159" t="str">
        <f t="shared" si="16"/>
        <v>NON DISTRIBUTOR</v>
      </c>
      <c r="L324" s="159" t="s">
        <v>37</v>
      </c>
      <c r="M324" s="160">
        <v>1</v>
      </c>
      <c r="N324" s="159" t="str">
        <f t="shared" si="20"/>
        <v>In Carton</v>
      </c>
      <c r="O324" s="159" t="str">
        <f t="shared" si="21"/>
        <v>Carton</v>
      </c>
      <c r="P324" s="160">
        <f t="shared" si="17"/>
        <v>1</v>
      </c>
      <c r="Q324" s="159" t="str">
        <f t="shared" si="18"/>
        <v>large</v>
      </c>
      <c r="R324" s="159">
        <v>1</v>
      </c>
      <c r="S324" s="161">
        <f>8650*8</f>
        <v>69200</v>
      </c>
      <c r="T324" s="162">
        <f t="shared" si="19"/>
        <v>62342.342342342337</v>
      </c>
      <c r="U324" s="222">
        <f t="shared" si="22"/>
        <v>62559.6</v>
      </c>
      <c r="V324" s="226">
        <v>56360</v>
      </c>
    </row>
    <row r="325" spans="1:22" ht="22.5" customHeight="1">
      <c r="A325" s="109"/>
      <c r="B325" s="109"/>
      <c r="C325" s="159">
        <v>111</v>
      </c>
      <c r="D325" s="159"/>
      <c r="E325" s="159" t="s">
        <v>1344</v>
      </c>
      <c r="F325" s="159" t="s">
        <v>844</v>
      </c>
      <c r="G325" s="159" t="s">
        <v>844</v>
      </c>
      <c r="H325" s="159" t="s">
        <v>844</v>
      </c>
      <c r="I325" s="159" t="s">
        <v>1351</v>
      </c>
      <c r="J325" s="160">
        <v>3</v>
      </c>
      <c r="K325" s="159" t="str">
        <f t="shared" si="16"/>
        <v>NON DISTRIBUTOR</v>
      </c>
      <c r="L325" s="159" t="s">
        <v>37</v>
      </c>
      <c r="M325" s="160">
        <v>8</v>
      </c>
      <c r="N325" s="159" t="str">
        <f t="shared" si="20"/>
        <v>In Renceng</v>
      </c>
      <c r="O325" s="159" t="str">
        <f t="shared" si="21"/>
        <v>Renceng</v>
      </c>
      <c r="P325" s="160">
        <f t="shared" si="17"/>
        <v>3</v>
      </c>
      <c r="Q325" s="159">
        <f t="shared" si="18"/>
        <v>0</v>
      </c>
      <c r="R325" s="159">
        <v>8</v>
      </c>
      <c r="S325" s="161">
        <f>S324/8</f>
        <v>8650</v>
      </c>
      <c r="T325" s="162">
        <f t="shared" si="19"/>
        <v>7792.7927927927922</v>
      </c>
      <c r="U325" s="222">
        <f t="shared" si="22"/>
        <v>7819.95</v>
      </c>
      <c r="V325" s="226">
        <v>7045</v>
      </c>
    </row>
    <row r="326" spans="1:22" ht="22.5" customHeight="1">
      <c r="A326" s="109"/>
      <c r="B326" s="109"/>
      <c r="C326" s="159">
        <v>111</v>
      </c>
      <c r="D326" s="159"/>
      <c r="E326" s="159" t="s">
        <v>1344</v>
      </c>
      <c r="F326" s="159" t="s">
        <v>844</v>
      </c>
      <c r="G326" s="159" t="s">
        <v>844</v>
      </c>
      <c r="H326" s="159" t="s">
        <v>844</v>
      </c>
      <c r="I326" s="159" t="s">
        <v>1351</v>
      </c>
      <c r="J326" s="160">
        <v>3</v>
      </c>
      <c r="K326" s="159" t="str">
        <f t="shared" si="16"/>
        <v>NON DISTRIBUTOR</v>
      </c>
      <c r="L326" s="159" t="s">
        <v>37</v>
      </c>
      <c r="M326" s="160">
        <v>9</v>
      </c>
      <c r="N326" s="159" t="str">
        <f t="shared" si="20"/>
        <v>In Pcs</v>
      </c>
      <c r="O326" s="159" t="str">
        <f t="shared" si="21"/>
        <v>Pcs</v>
      </c>
      <c r="P326" s="160">
        <f t="shared" si="17"/>
        <v>4</v>
      </c>
      <c r="Q326" s="159" t="str">
        <f t="shared" si="18"/>
        <v>small</v>
      </c>
      <c r="R326" s="159">
        <v>80</v>
      </c>
      <c r="S326" s="161">
        <f>S325/80</f>
        <v>108.125</v>
      </c>
      <c r="T326" s="162">
        <f t="shared" si="19"/>
        <v>97.409909909909899</v>
      </c>
      <c r="U326" s="222">
        <f t="shared" si="22"/>
        <v>782.55</v>
      </c>
      <c r="V326" s="226">
        <v>705</v>
      </c>
    </row>
    <row r="327" spans="1:22" ht="22.5" customHeight="1">
      <c r="A327" s="109"/>
      <c r="B327" s="109"/>
      <c r="C327" s="159">
        <v>112</v>
      </c>
      <c r="D327" s="159"/>
      <c r="E327" s="159" t="s">
        <v>1345</v>
      </c>
      <c r="F327" s="159" t="s">
        <v>844</v>
      </c>
      <c r="G327" s="159" t="s">
        <v>844</v>
      </c>
      <c r="H327" s="159" t="s">
        <v>844</v>
      </c>
      <c r="I327" s="159" t="s">
        <v>1351</v>
      </c>
      <c r="J327" s="160">
        <v>3</v>
      </c>
      <c r="K327" s="159" t="str">
        <f t="shared" si="16"/>
        <v>NON DISTRIBUTOR</v>
      </c>
      <c r="L327" s="159" t="s">
        <v>37</v>
      </c>
      <c r="M327" s="160">
        <v>1</v>
      </c>
      <c r="N327" s="159" t="str">
        <f t="shared" si="20"/>
        <v>In Carton</v>
      </c>
      <c r="O327" s="159" t="str">
        <f t="shared" si="21"/>
        <v>Carton</v>
      </c>
      <c r="P327" s="160">
        <f t="shared" si="17"/>
        <v>1</v>
      </c>
      <c r="Q327" s="159" t="str">
        <f t="shared" si="18"/>
        <v>large</v>
      </c>
      <c r="R327" s="159">
        <v>1</v>
      </c>
      <c r="S327" s="161">
        <f>9000*4</f>
        <v>36000</v>
      </c>
      <c r="T327" s="162">
        <f t="shared" si="19"/>
        <v>32432.43243243243</v>
      </c>
      <c r="U327" s="222">
        <f t="shared" si="22"/>
        <v>33119.07</v>
      </c>
      <c r="V327" s="226">
        <v>29837</v>
      </c>
    </row>
    <row r="328" spans="1:22" ht="22.5" customHeight="1">
      <c r="A328" s="109"/>
      <c r="B328" s="109"/>
      <c r="C328" s="159">
        <v>112</v>
      </c>
      <c r="D328" s="159"/>
      <c r="E328" s="159" t="s">
        <v>1345</v>
      </c>
      <c r="F328" s="159" t="s">
        <v>844</v>
      </c>
      <c r="G328" s="159" t="s">
        <v>844</v>
      </c>
      <c r="H328" s="159" t="s">
        <v>844</v>
      </c>
      <c r="I328" s="159" t="s">
        <v>1351</v>
      </c>
      <c r="J328" s="160">
        <v>3</v>
      </c>
      <c r="K328" s="159" t="str">
        <f t="shared" si="16"/>
        <v>NON DISTRIBUTOR</v>
      </c>
      <c r="L328" s="159" t="s">
        <v>37</v>
      </c>
      <c r="M328" s="160">
        <v>3</v>
      </c>
      <c r="N328" s="159" t="str">
        <f t="shared" si="20"/>
        <v>In Pack</v>
      </c>
      <c r="O328" s="159" t="str">
        <f t="shared" si="21"/>
        <v>Pack</v>
      </c>
      <c r="P328" s="160">
        <f t="shared" si="17"/>
        <v>2</v>
      </c>
      <c r="Q328" s="159">
        <f t="shared" si="18"/>
        <v>0</v>
      </c>
      <c r="R328" s="159">
        <v>4</v>
      </c>
      <c r="S328" s="161">
        <f>S327/4</f>
        <v>9000</v>
      </c>
      <c r="T328" s="162">
        <f t="shared" si="19"/>
        <v>8108.1081081081074</v>
      </c>
      <c r="U328" s="222">
        <f t="shared" si="22"/>
        <v>8279.49</v>
      </c>
      <c r="V328" s="226">
        <v>7459</v>
      </c>
    </row>
    <row r="329" spans="1:22" ht="22.5" customHeight="1">
      <c r="A329" s="109"/>
      <c r="B329" s="109"/>
      <c r="C329" s="159">
        <v>112</v>
      </c>
      <c r="D329" s="159"/>
      <c r="E329" s="159" t="s">
        <v>1345</v>
      </c>
      <c r="F329" s="159" t="s">
        <v>844</v>
      </c>
      <c r="G329" s="159" t="s">
        <v>844</v>
      </c>
      <c r="H329" s="159" t="s">
        <v>844</v>
      </c>
      <c r="I329" s="159" t="s">
        <v>1351</v>
      </c>
      <c r="J329" s="160">
        <v>3</v>
      </c>
      <c r="K329" s="159" t="str">
        <f t="shared" si="16"/>
        <v>NON DISTRIBUTOR</v>
      </c>
      <c r="L329" s="159" t="s">
        <v>37</v>
      </c>
      <c r="M329" s="160">
        <v>9</v>
      </c>
      <c r="N329" s="159" t="str">
        <f t="shared" si="20"/>
        <v>In Pcs</v>
      </c>
      <c r="O329" s="159" t="str">
        <f t="shared" si="21"/>
        <v>Pcs</v>
      </c>
      <c r="P329" s="160">
        <f t="shared" si="17"/>
        <v>4</v>
      </c>
      <c r="Q329" s="159" t="str">
        <f t="shared" si="18"/>
        <v>small</v>
      </c>
      <c r="R329" s="159">
        <v>80</v>
      </c>
      <c r="S329" s="161">
        <f>S328/20</f>
        <v>450</v>
      </c>
      <c r="T329" s="162">
        <f t="shared" si="19"/>
        <v>405.40540540540536</v>
      </c>
      <c r="U329" s="222">
        <f t="shared" si="22"/>
        <v>412.92</v>
      </c>
      <c r="V329" s="226">
        <v>372</v>
      </c>
    </row>
    <row r="330" spans="1:22" ht="22.5" customHeight="1">
      <c r="A330" s="109"/>
      <c r="B330" s="109"/>
      <c r="C330" s="159">
        <v>113</v>
      </c>
      <c r="D330" s="159"/>
      <c r="E330" s="159" t="s">
        <v>1346</v>
      </c>
      <c r="F330" s="159" t="s">
        <v>844</v>
      </c>
      <c r="G330" s="159" t="s">
        <v>844</v>
      </c>
      <c r="H330" s="159" t="s">
        <v>844</v>
      </c>
      <c r="I330" s="159" t="s">
        <v>1351</v>
      </c>
      <c r="J330" s="160">
        <v>3</v>
      </c>
      <c r="K330" s="159" t="str">
        <f t="shared" si="16"/>
        <v>NON DISTRIBUTOR</v>
      </c>
      <c r="L330" s="159" t="s">
        <v>37</v>
      </c>
      <c r="M330" s="160">
        <v>1</v>
      </c>
      <c r="N330" s="159" t="str">
        <f t="shared" si="20"/>
        <v>In Carton</v>
      </c>
      <c r="O330" s="159" t="str">
        <f t="shared" si="21"/>
        <v>Carton</v>
      </c>
      <c r="P330" s="160">
        <f t="shared" si="17"/>
        <v>1</v>
      </c>
      <c r="Q330" s="159" t="str">
        <f t="shared" si="18"/>
        <v>large</v>
      </c>
      <c r="R330" s="159">
        <v>1</v>
      </c>
      <c r="S330" s="161">
        <f>8700*8</f>
        <v>69600</v>
      </c>
      <c r="T330" s="162">
        <f t="shared" si="19"/>
        <v>62702.7027027027</v>
      </c>
      <c r="U330" s="222">
        <f t="shared" si="22"/>
        <v>62774.94</v>
      </c>
      <c r="V330" s="226">
        <v>56554</v>
      </c>
    </row>
    <row r="331" spans="1:22" ht="22.5" customHeight="1">
      <c r="A331" s="109"/>
      <c r="B331" s="109"/>
      <c r="C331" s="159">
        <v>113</v>
      </c>
      <c r="D331" s="159"/>
      <c r="E331" s="159" t="s">
        <v>1346</v>
      </c>
      <c r="F331" s="159" t="s">
        <v>844</v>
      </c>
      <c r="G331" s="159" t="s">
        <v>844</v>
      </c>
      <c r="H331" s="159" t="s">
        <v>844</v>
      </c>
      <c r="I331" s="159" t="s">
        <v>1351</v>
      </c>
      <c r="J331" s="160">
        <v>3</v>
      </c>
      <c r="K331" s="159" t="str">
        <f t="shared" si="16"/>
        <v>NON DISTRIBUTOR</v>
      </c>
      <c r="L331" s="159" t="s">
        <v>37</v>
      </c>
      <c r="M331" s="160">
        <v>8</v>
      </c>
      <c r="N331" s="159" t="str">
        <f t="shared" si="20"/>
        <v>In Renceng</v>
      </c>
      <c r="O331" s="159" t="str">
        <f t="shared" si="21"/>
        <v>Renceng</v>
      </c>
      <c r="P331" s="160">
        <f t="shared" si="17"/>
        <v>3</v>
      </c>
      <c r="Q331" s="159">
        <f t="shared" si="18"/>
        <v>0</v>
      </c>
      <c r="R331" s="159">
        <v>8</v>
      </c>
      <c r="S331" s="161">
        <f>S330/8</f>
        <v>8700</v>
      </c>
      <c r="T331" s="162">
        <f t="shared" si="19"/>
        <v>7837.8378378378375</v>
      </c>
      <c r="U331" s="222">
        <f t="shared" si="22"/>
        <v>7846.59</v>
      </c>
      <c r="V331" s="226">
        <v>7069</v>
      </c>
    </row>
    <row r="332" spans="1:22" ht="22.5" customHeight="1">
      <c r="A332" s="109"/>
      <c r="B332" s="109"/>
      <c r="C332" s="159">
        <v>113</v>
      </c>
      <c r="D332" s="159"/>
      <c r="E332" s="159" t="s">
        <v>1346</v>
      </c>
      <c r="F332" s="159" t="s">
        <v>844</v>
      </c>
      <c r="G332" s="159" t="s">
        <v>844</v>
      </c>
      <c r="H332" s="159" t="s">
        <v>844</v>
      </c>
      <c r="I332" s="159" t="s">
        <v>1351</v>
      </c>
      <c r="J332" s="160">
        <v>3</v>
      </c>
      <c r="K332" s="159" t="str">
        <f t="shared" si="16"/>
        <v>NON DISTRIBUTOR</v>
      </c>
      <c r="L332" s="159" t="s">
        <v>37</v>
      </c>
      <c r="M332" s="160">
        <v>9</v>
      </c>
      <c r="N332" s="159" t="str">
        <f t="shared" si="20"/>
        <v>In Pcs</v>
      </c>
      <c r="O332" s="159" t="str">
        <f t="shared" si="21"/>
        <v>Pcs</v>
      </c>
      <c r="P332" s="160">
        <f t="shared" si="17"/>
        <v>4</v>
      </c>
      <c r="Q332" s="159" t="str">
        <f t="shared" si="18"/>
        <v>small</v>
      </c>
      <c r="R332" s="159">
        <v>80</v>
      </c>
      <c r="S332" s="161">
        <f>S331/10</f>
        <v>870</v>
      </c>
      <c r="T332" s="162">
        <f t="shared" si="19"/>
        <v>783.78378378378375</v>
      </c>
      <c r="U332" s="222">
        <f t="shared" si="22"/>
        <v>783.66</v>
      </c>
      <c r="V332" s="226">
        <v>706</v>
      </c>
    </row>
    <row r="333" spans="1:22" ht="22.5" customHeight="1">
      <c r="A333" s="109"/>
      <c r="B333" s="109"/>
      <c r="C333" s="159">
        <v>114</v>
      </c>
      <c r="D333" s="159"/>
      <c r="E333" s="159" t="s">
        <v>1347</v>
      </c>
      <c r="F333" s="159" t="s">
        <v>844</v>
      </c>
      <c r="G333" s="159" t="s">
        <v>844</v>
      </c>
      <c r="H333" s="159" t="s">
        <v>844</v>
      </c>
      <c r="I333" s="159" t="s">
        <v>1351</v>
      </c>
      <c r="J333" s="160">
        <v>3</v>
      </c>
      <c r="K333" s="159" t="str">
        <f t="shared" si="16"/>
        <v>NON DISTRIBUTOR</v>
      </c>
      <c r="L333" s="159" t="s">
        <v>37</v>
      </c>
      <c r="M333" s="160">
        <v>1</v>
      </c>
      <c r="N333" s="159" t="str">
        <f t="shared" si="20"/>
        <v>In Carton</v>
      </c>
      <c r="O333" s="159" t="str">
        <f t="shared" si="21"/>
        <v>Carton</v>
      </c>
      <c r="P333" s="160">
        <f t="shared" si="17"/>
        <v>1</v>
      </c>
      <c r="Q333" s="159" t="str">
        <f t="shared" si="18"/>
        <v>large</v>
      </c>
      <c r="R333" s="159">
        <v>1</v>
      </c>
      <c r="S333" s="161">
        <f>17375*4</f>
        <v>69500</v>
      </c>
      <c r="T333" s="162">
        <f t="shared" si="19"/>
        <v>62612.612612612604</v>
      </c>
      <c r="U333" s="222">
        <f t="shared" si="22"/>
        <v>65329.05</v>
      </c>
      <c r="V333" s="226">
        <v>58855</v>
      </c>
    </row>
    <row r="334" spans="1:22" ht="22.5" customHeight="1">
      <c r="A334" s="109"/>
      <c r="B334" s="109"/>
      <c r="C334" s="159">
        <v>114</v>
      </c>
      <c r="D334" s="159"/>
      <c r="E334" s="159" t="s">
        <v>1347</v>
      </c>
      <c r="F334" s="159" t="s">
        <v>844</v>
      </c>
      <c r="G334" s="159" t="s">
        <v>844</v>
      </c>
      <c r="H334" s="159" t="s">
        <v>844</v>
      </c>
      <c r="I334" s="159" t="s">
        <v>1351</v>
      </c>
      <c r="J334" s="160">
        <v>3</v>
      </c>
      <c r="K334" s="159" t="str">
        <f t="shared" si="16"/>
        <v>NON DISTRIBUTOR</v>
      </c>
      <c r="L334" s="159" t="s">
        <v>37</v>
      </c>
      <c r="M334" s="160">
        <v>8</v>
      </c>
      <c r="N334" s="159" t="str">
        <f t="shared" si="20"/>
        <v>In Renceng</v>
      </c>
      <c r="O334" s="159" t="str">
        <f t="shared" si="21"/>
        <v>Renceng</v>
      </c>
      <c r="P334" s="160">
        <f t="shared" si="17"/>
        <v>3</v>
      </c>
      <c r="Q334" s="159">
        <f t="shared" si="18"/>
        <v>0</v>
      </c>
      <c r="R334" s="159">
        <v>4</v>
      </c>
      <c r="S334" s="161">
        <f>S333/4</f>
        <v>17375</v>
      </c>
      <c r="T334" s="162">
        <f t="shared" si="19"/>
        <v>15653.153153153151</v>
      </c>
      <c r="U334" s="222">
        <f t="shared" si="22"/>
        <v>16331.43</v>
      </c>
      <c r="V334" s="226">
        <v>14713</v>
      </c>
    </row>
    <row r="335" spans="1:22" ht="22.5" customHeight="1">
      <c r="A335" s="109"/>
      <c r="B335" s="109"/>
      <c r="C335" s="159">
        <v>114</v>
      </c>
      <c r="D335" s="159"/>
      <c r="E335" s="159" t="s">
        <v>1347</v>
      </c>
      <c r="F335" s="159" t="s">
        <v>844</v>
      </c>
      <c r="G335" s="159" t="s">
        <v>844</v>
      </c>
      <c r="H335" s="159" t="s">
        <v>844</v>
      </c>
      <c r="I335" s="159" t="s">
        <v>1351</v>
      </c>
      <c r="J335" s="160">
        <v>3</v>
      </c>
      <c r="K335" s="159" t="str">
        <f t="shared" si="16"/>
        <v>NON DISTRIBUTOR</v>
      </c>
      <c r="L335" s="159" t="s">
        <v>37</v>
      </c>
      <c r="M335" s="160">
        <v>9</v>
      </c>
      <c r="N335" s="159" t="str">
        <f t="shared" si="20"/>
        <v>In Pcs</v>
      </c>
      <c r="O335" s="159" t="str">
        <f t="shared" si="21"/>
        <v>Pcs</v>
      </c>
      <c r="P335" s="160">
        <f t="shared" si="17"/>
        <v>4</v>
      </c>
      <c r="Q335" s="159" t="str">
        <f t="shared" si="18"/>
        <v>small</v>
      </c>
      <c r="R335" s="159">
        <v>40</v>
      </c>
      <c r="S335" s="161">
        <f>S334/10</f>
        <v>1737.5</v>
      </c>
      <c r="T335" s="162">
        <f t="shared" si="19"/>
        <v>1565.3153153153153</v>
      </c>
      <c r="U335" s="222">
        <f t="shared" si="22"/>
        <v>1632.81</v>
      </c>
      <c r="V335" s="226">
        <v>1471</v>
      </c>
    </row>
    <row r="336" spans="1:22" ht="22.5" customHeight="1">
      <c r="A336" s="109"/>
      <c r="B336" s="109"/>
      <c r="C336" s="159">
        <v>115</v>
      </c>
      <c r="D336" s="159"/>
      <c r="E336" s="159" t="s">
        <v>1348</v>
      </c>
      <c r="F336" s="159" t="s">
        <v>844</v>
      </c>
      <c r="G336" s="159" t="s">
        <v>844</v>
      </c>
      <c r="H336" s="159" t="s">
        <v>844</v>
      </c>
      <c r="I336" s="159" t="s">
        <v>1351</v>
      </c>
      <c r="J336" s="160">
        <v>3</v>
      </c>
      <c r="K336" s="159" t="str">
        <f t="shared" si="16"/>
        <v>NON DISTRIBUTOR</v>
      </c>
      <c r="L336" s="159" t="s">
        <v>37</v>
      </c>
      <c r="M336" s="160">
        <v>1</v>
      </c>
      <c r="N336" s="159" t="str">
        <f t="shared" si="20"/>
        <v>In Carton</v>
      </c>
      <c r="O336" s="159" t="str">
        <f t="shared" si="21"/>
        <v>Carton</v>
      </c>
      <c r="P336" s="160">
        <f t="shared" si="17"/>
        <v>1</v>
      </c>
      <c r="Q336" s="159" t="str">
        <f t="shared" si="18"/>
        <v>large</v>
      </c>
      <c r="R336" s="159">
        <v>1</v>
      </c>
      <c r="S336" s="161">
        <f>17300*4</f>
        <v>69200</v>
      </c>
      <c r="T336" s="162">
        <f t="shared" si="19"/>
        <v>62342.342342342337</v>
      </c>
      <c r="U336" s="222">
        <f t="shared" si="22"/>
        <v>65329.05</v>
      </c>
      <c r="V336" s="226">
        <v>58855</v>
      </c>
    </row>
    <row r="337" spans="1:22" ht="22.5" customHeight="1">
      <c r="A337" s="109"/>
      <c r="B337" s="109"/>
      <c r="C337" s="159">
        <v>115</v>
      </c>
      <c r="D337" s="159"/>
      <c r="E337" s="159" t="s">
        <v>1348</v>
      </c>
      <c r="F337" s="159" t="s">
        <v>844</v>
      </c>
      <c r="G337" s="159" t="s">
        <v>844</v>
      </c>
      <c r="H337" s="159" t="s">
        <v>844</v>
      </c>
      <c r="I337" s="159" t="s">
        <v>1351</v>
      </c>
      <c r="J337" s="160">
        <v>3</v>
      </c>
      <c r="K337" s="159" t="str">
        <f t="shared" si="16"/>
        <v>NON DISTRIBUTOR</v>
      </c>
      <c r="L337" s="159" t="s">
        <v>37</v>
      </c>
      <c r="M337" s="160">
        <v>8</v>
      </c>
      <c r="N337" s="159" t="str">
        <f t="shared" si="20"/>
        <v>In Renceng</v>
      </c>
      <c r="O337" s="159" t="str">
        <f t="shared" si="21"/>
        <v>Renceng</v>
      </c>
      <c r="P337" s="160">
        <f t="shared" si="17"/>
        <v>3</v>
      </c>
      <c r="Q337" s="159">
        <f t="shared" si="18"/>
        <v>0</v>
      </c>
      <c r="R337" s="159">
        <v>4</v>
      </c>
      <c r="S337" s="161">
        <f>S336/4</f>
        <v>17300</v>
      </c>
      <c r="T337" s="162">
        <f t="shared" si="19"/>
        <v>15585.585585585584</v>
      </c>
      <c r="U337" s="222">
        <f t="shared" si="22"/>
        <v>16331.43</v>
      </c>
      <c r="V337" s="226">
        <v>14713</v>
      </c>
    </row>
    <row r="338" spans="1:22" ht="22.5" customHeight="1">
      <c r="A338" s="109"/>
      <c r="B338" s="109"/>
      <c r="C338" s="159">
        <v>115</v>
      </c>
      <c r="D338" s="159"/>
      <c r="E338" s="159" t="s">
        <v>1348</v>
      </c>
      <c r="F338" s="159" t="s">
        <v>844</v>
      </c>
      <c r="G338" s="159" t="s">
        <v>844</v>
      </c>
      <c r="H338" s="159" t="s">
        <v>844</v>
      </c>
      <c r="I338" s="159" t="s">
        <v>1351</v>
      </c>
      <c r="J338" s="160">
        <v>3</v>
      </c>
      <c r="K338" s="159" t="str">
        <f t="shared" si="16"/>
        <v>NON DISTRIBUTOR</v>
      </c>
      <c r="L338" s="159" t="s">
        <v>37</v>
      </c>
      <c r="M338" s="160">
        <v>9</v>
      </c>
      <c r="N338" s="159" t="str">
        <f t="shared" si="20"/>
        <v>In Pcs</v>
      </c>
      <c r="O338" s="159" t="str">
        <f t="shared" si="21"/>
        <v>Pcs</v>
      </c>
      <c r="P338" s="160">
        <f t="shared" si="17"/>
        <v>4</v>
      </c>
      <c r="Q338" s="159" t="str">
        <f t="shared" si="18"/>
        <v>small</v>
      </c>
      <c r="R338" s="159">
        <v>40</v>
      </c>
      <c r="S338" s="161">
        <f>S337/10</f>
        <v>1730</v>
      </c>
      <c r="T338" s="162">
        <f t="shared" si="19"/>
        <v>1558.5585585585584</v>
      </c>
      <c r="U338" s="222">
        <f t="shared" si="22"/>
        <v>1632.81</v>
      </c>
      <c r="V338" s="226">
        <v>1471</v>
      </c>
    </row>
    <row r="339" spans="1:22" ht="22.5" customHeight="1">
      <c r="A339" s="109"/>
      <c r="B339" s="109"/>
      <c r="C339" s="159">
        <v>116</v>
      </c>
      <c r="D339" s="159"/>
      <c r="E339" s="159" t="s">
        <v>1349</v>
      </c>
      <c r="F339" s="159" t="s">
        <v>844</v>
      </c>
      <c r="G339" s="159" t="s">
        <v>844</v>
      </c>
      <c r="H339" s="159" t="s">
        <v>844</v>
      </c>
      <c r="I339" s="159" t="s">
        <v>1351</v>
      </c>
      <c r="J339" s="160">
        <v>3</v>
      </c>
      <c r="K339" s="159" t="str">
        <f t="shared" si="16"/>
        <v>NON DISTRIBUTOR</v>
      </c>
      <c r="L339" s="159" t="s">
        <v>37</v>
      </c>
      <c r="M339" s="160">
        <v>1</v>
      </c>
      <c r="N339" s="159" t="str">
        <f t="shared" si="20"/>
        <v>In Carton</v>
      </c>
      <c r="O339" s="159" t="str">
        <f t="shared" si="21"/>
        <v>Carton</v>
      </c>
      <c r="P339" s="160">
        <f t="shared" si="17"/>
        <v>1</v>
      </c>
      <c r="Q339" s="159" t="str">
        <f t="shared" si="18"/>
        <v>large</v>
      </c>
      <c r="R339" s="159">
        <v>1</v>
      </c>
      <c r="S339" s="161">
        <f>17300*4</f>
        <v>69200</v>
      </c>
      <c r="T339" s="162">
        <f t="shared" si="19"/>
        <v>62342.342342342337</v>
      </c>
      <c r="U339" s="222">
        <f t="shared" si="22"/>
        <v>65329.05</v>
      </c>
      <c r="V339" s="226">
        <v>58855</v>
      </c>
    </row>
    <row r="340" spans="1:22" ht="22.5" customHeight="1">
      <c r="A340" s="109"/>
      <c r="B340" s="109"/>
      <c r="C340" s="159">
        <v>116</v>
      </c>
      <c r="D340" s="159"/>
      <c r="E340" s="159" t="s">
        <v>1349</v>
      </c>
      <c r="F340" s="159" t="s">
        <v>844</v>
      </c>
      <c r="G340" s="159" t="s">
        <v>844</v>
      </c>
      <c r="H340" s="159" t="s">
        <v>844</v>
      </c>
      <c r="I340" s="159" t="s">
        <v>1351</v>
      </c>
      <c r="J340" s="160">
        <v>3</v>
      </c>
      <c r="K340" s="159" t="str">
        <f t="shared" si="16"/>
        <v>NON DISTRIBUTOR</v>
      </c>
      <c r="L340" s="159" t="s">
        <v>37</v>
      </c>
      <c r="M340" s="160">
        <v>8</v>
      </c>
      <c r="N340" s="159" t="str">
        <f t="shared" si="20"/>
        <v>In Renceng</v>
      </c>
      <c r="O340" s="159" t="str">
        <f t="shared" si="21"/>
        <v>Renceng</v>
      </c>
      <c r="P340" s="160">
        <f t="shared" si="17"/>
        <v>3</v>
      </c>
      <c r="Q340" s="159">
        <f t="shared" si="18"/>
        <v>0</v>
      </c>
      <c r="R340" s="159">
        <v>4</v>
      </c>
      <c r="S340" s="161">
        <f>S339/4</f>
        <v>17300</v>
      </c>
      <c r="T340" s="162">
        <f t="shared" si="19"/>
        <v>15585.585585585584</v>
      </c>
      <c r="U340" s="222">
        <f t="shared" si="22"/>
        <v>16331.43</v>
      </c>
      <c r="V340" s="226">
        <v>14713</v>
      </c>
    </row>
    <row r="341" spans="1:22" ht="22.5" customHeight="1">
      <c r="A341" s="109"/>
      <c r="B341" s="109"/>
      <c r="C341" s="159">
        <v>116</v>
      </c>
      <c r="D341" s="159"/>
      <c r="E341" s="159" t="s">
        <v>1349</v>
      </c>
      <c r="F341" s="159" t="s">
        <v>844</v>
      </c>
      <c r="G341" s="159" t="s">
        <v>844</v>
      </c>
      <c r="H341" s="159" t="s">
        <v>844</v>
      </c>
      <c r="I341" s="159" t="s">
        <v>1351</v>
      </c>
      <c r="J341" s="160">
        <v>3</v>
      </c>
      <c r="K341" s="159" t="str">
        <f t="shared" si="16"/>
        <v>NON DISTRIBUTOR</v>
      </c>
      <c r="L341" s="159" t="s">
        <v>37</v>
      </c>
      <c r="M341" s="160">
        <v>9</v>
      </c>
      <c r="N341" s="159" t="str">
        <f t="shared" si="20"/>
        <v>In Pcs</v>
      </c>
      <c r="O341" s="159" t="str">
        <f t="shared" si="21"/>
        <v>Pcs</v>
      </c>
      <c r="P341" s="160">
        <f t="shared" si="17"/>
        <v>4</v>
      </c>
      <c r="Q341" s="159" t="str">
        <f t="shared" si="18"/>
        <v>small</v>
      </c>
      <c r="R341" s="159">
        <v>40</v>
      </c>
      <c r="S341" s="161">
        <f>S340/10</f>
        <v>1730</v>
      </c>
      <c r="T341" s="162">
        <f t="shared" si="19"/>
        <v>1558.5585585585584</v>
      </c>
      <c r="U341" s="222">
        <f t="shared" si="22"/>
        <v>1632.81</v>
      </c>
      <c r="V341" s="226">
        <v>1471</v>
      </c>
    </row>
    <row r="342" spans="1:22" ht="22.5" customHeight="1">
      <c r="A342" s="109"/>
      <c r="B342" s="109"/>
      <c r="C342" s="159">
        <v>117</v>
      </c>
      <c r="D342" s="159"/>
      <c r="E342" s="159" t="s">
        <v>1350</v>
      </c>
      <c r="F342" s="159" t="s">
        <v>844</v>
      </c>
      <c r="G342" s="159" t="s">
        <v>844</v>
      </c>
      <c r="H342" s="159" t="s">
        <v>844</v>
      </c>
      <c r="I342" s="159" t="s">
        <v>1351</v>
      </c>
      <c r="J342" s="160">
        <v>3</v>
      </c>
      <c r="K342" s="159" t="str">
        <f t="shared" si="16"/>
        <v>NON DISTRIBUTOR</v>
      </c>
      <c r="L342" s="159" t="s">
        <v>37</v>
      </c>
      <c r="M342" s="160">
        <v>1</v>
      </c>
      <c r="N342" s="159" t="str">
        <f t="shared" si="20"/>
        <v>In Carton</v>
      </c>
      <c r="O342" s="159" t="str">
        <f t="shared" si="21"/>
        <v>Carton</v>
      </c>
      <c r="P342" s="160">
        <f t="shared" si="17"/>
        <v>1</v>
      </c>
      <c r="Q342" s="159" t="str">
        <f t="shared" si="18"/>
        <v>large</v>
      </c>
      <c r="R342" s="159">
        <v>1</v>
      </c>
      <c r="S342" s="161">
        <f>17300*4</f>
        <v>69200</v>
      </c>
      <c r="T342" s="162">
        <f t="shared" si="19"/>
        <v>62342.342342342337</v>
      </c>
      <c r="U342" s="222">
        <f t="shared" si="22"/>
        <v>65329.05</v>
      </c>
      <c r="V342" s="226">
        <v>58855</v>
      </c>
    </row>
    <row r="343" spans="1:22" ht="22.5" customHeight="1">
      <c r="A343" s="109"/>
      <c r="B343" s="109"/>
      <c r="C343" s="159">
        <v>117</v>
      </c>
      <c r="D343" s="159"/>
      <c r="E343" s="159" t="s">
        <v>1350</v>
      </c>
      <c r="F343" s="159" t="s">
        <v>844</v>
      </c>
      <c r="G343" s="159" t="s">
        <v>844</v>
      </c>
      <c r="H343" s="159" t="s">
        <v>844</v>
      </c>
      <c r="I343" s="159" t="s">
        <v>1351</v>
      </c>
      <c r="J343" s="160">
        <v>3</v>
      </c>
      <c r="K343" s="159" t="str">
        <f t="shared" si="16"/>
        <v>NON DISTRIBUTOR</v>
      </c>
      <c r="L343" s="159" t="s">
        <v>37</v>
      </c>
      <c r="M343" s="160">
        <v>8</v>
      </c>
      <c r="N343" s="159" t="str">
        <f t="shared" si="20"/>
        <v>In Renceng</v>
      </c>
      <c r="O343" s="159" t="str">
        <f t="shared" si="21"/>
        <v>Renceng</v>
      </c>
      <c r="P343" s="160">
        <f t="shared" si="17"/>
        <v>3</v>
      </c>
      <c r="Q343" s="159">
        <f t="shared" si="18"/>
        <v>0</v>
      </c>
      <c r="R343" s="159">
        <v>4</v>
      </c>
      <c r="S343" s="161">
        <f>S342/4</f>
        <v>17300</v>
      </c>
      <c r="T343" s="162">
        <f t="shared" si="19"/>
        <v>15585.585585585584</v>
      </c>
      <c r="U343" s="222">
        <f t="shared" si="22"/>
        <v>16331.43</v>
      </c>
      <c r="V343" s="226">
        <v>14713</v>
      </c>
    </row>
    <row r="344" spans="1:22" ht="22.5" customHeight="1">
      <c r="A344" s="109"/>
      <c r="B344" s="109"/>
      <c r="C344" s="159">
        <v>117</v>
      </c>
      <c r="D344" s="159"/>
      <c r="E344" s="159" t="s">
        <v>1350</v>
      </c>
      <c r="F344" s="159" t="s">
        <v>844</v>
      </c>
      <c r="G344" s="159" t="s">
        <v>844</v>
      </c>
      <c r="H344" s="159" t="s">
        <v>844</v>
      </c>
      <c r="I344" s="159" t="s">
        <v>1351</v>
      </c>
      <c r="J344" s="160">
        <v>3</v>
      </c>
      <c r="K344" s="159" t="str">
        <f t="shared" si="16"/>
        <v>NON DISTRIBUTOR</v>
      </c>
      <c r="L344" s="159" t="s">
        <v>37</v>
      </c>
      <c r="M344" s="160">
        <v>9</v>
      </c>
      <c r="N344" s="159" t="str">
        <f t="shared" si="20"/>
        <v>In Pcs</v>
      </c>
      <c r="O344" s="159" t="str">
        <f t="shared" si="21"/>
        <v>Pcs</v>
      </c>
      <c r="P344" s="160">
        <f t="shared" si="17"/>
        <v>4</v>
      </c>
      <c r="Q344" s="159" t="str">
        <f t="shared" si="18"/>
        <v>small</v>
      </c>
      <c r="R344" s="159">
        <v>40</v>
      </c>
      <c r="S344" s="161">
        <f>S343/10</f>
        <v>1730</v>
      </c>
      <c r="T344" s="162">
        <f t="shared" si="19"/>
        <v>1558.5585585585584</v>
      </c>
      <c r="U344" s="222">
        <f t="shared" si="22"/>
        <v>1632.81</v>
      </c>
      <c r="V344" s="226">
        <v>1471</v>
      </c>
    </row>
    <row r="345" spans="1:22" ht="22.5" customHeight="1">
      <c r="A345" s="109"/>
      <c r="B345" s="109"/>
      <c r="C345" s="163">
        <v>118</v>
      </c>
      <c r="D345" s="163"/>
      <c r="E345" s="163" t="s">
        <v>1356</v>
      </c>
      <c r="F345" s="163" t="s">
        <v>1352</v>
      </c>
      <c r="G345" s="163" t="s">
        <v>1352</v>
      </c>
      <c r="H345" s="163" t="s">
        <v>1359</v>
      </c>
      <c r="I345" s="163" t="s">
        <v>1359</v>
      </c>
      <c r="J345" s="164">
        <v>1</v>
      </c>
      <c r="K345" s="163" t="str">
        <f t="shared" si="16"/>
        <v>DISTRIBUTOR</v>
      </c>
      <c r="L345" s="163" t="s">
        <v>37</v>
      </c>
      <c r="M345" s="164">
        <v>1</v>
      </c>
      <c r="N345" s="163" t="str">
        <f t="shared" si="20"/>
        <v>In Carton</v>
      </c>
      <c r="O345" s="163" t="str">
        <f t="shared" si="21"/>
        <v>Carton</v>
      </c>
      <c r="P345" s="164">
        <f t="shared" si="17"/>
        <v>1</v>
      </c>
      <c r="Q345" s="163" t="str">
        <f t="shared" si="18"/>
        <v>large</v>
      </c>
      <c r="R345" s="163">
        <v>1</v>
      </c>
      <c r="S345" s="165">
        <f>16500*4</f>
        <v>66000</v>
      </c>
      <c r="T345" s="166">
        <f t="shared" si="19"/>
        <v>59459.459459459453</v>
      </c>
      <c r="U345" s="227">
        <v>56000</v>
      </c>
      <c r="V345" s="227">
        <f>U345-(U345*11%)</f>
        <v>49840</v>
      </c>
    </row>
    <row r="346" spans="1:22" ht="22.5" customHeight="1">
      <c r="A346" s="109"/>
      <c r="B346" s="109"/>
      <c r="C346" s="163">
        <v>118</v>
      </c>
      <c r="D346" s="163"/>
      <c r="E346" s="163" t="s">
        <v>1356</v>
      </c>
      <c r="F346" s="163" t="s">
        <v>1352</v>
      </c>
      <c r="G346" s="163" t="s">
        <v>1352</v>
      </c>
      <c r="H346" s="163" t="s">
        <v>1359</v>
      </c>
      <c r="I346" s="163" t="s">
        <v>1359</v>
      </c>
      <c r="J346" s="164">
        <v>1</v>
      </c>
      <c r="K346" s="163" t="str">
        <f t="shared" si="16"/>
        <v>DISTRIBUTOR</v>
      </c>
      <c r="L346" s="163" t="s">
        <v>37</v>
      </c>
      <c r="M346" s="164">
        <v>8</v>
      </c>
      <c r="N346" s="163" t="str">
        <f t="shared" si="20"/>
        <v>In Renceng</v>
      </c>
      <c r="O346" s="163" t="str">
        <f t="shared" si="21"/>
        <v>Renceng</v>
      </c>
      <c r="P346" s="164">
        <f t="shared" si="17"/>
        <v>3</v>
      </c>
      <c r="Q346" s="163">
        <f t="shared" si="18"/>
        <v>0</v>
      </c>
      <c r="R346" s="163">
        <v>4</v>
      </c>
      <c r="S346" s="165">
        <f>S345/4</f>
        <v>16500</v>
      </c>
      <c r="T346" s="166">
        <f t="shared" si="19"/>
        <v>14864.864864864863</v>
      </c>
      <c r="U346" s="227">
        <v>14000</v>
      </c>
      <c r="V346" s="227">
        <v>12460</v>
      </c>
    </row>
    <row r="347" spans="1:22" ht="22.5" customHeight="1">
      <c r="A347" s="109"/>
      <c r="B347" s="109"/>
      <c r="C347" s="163">
        <v>118</v>
      </c>
      <c r="D347" s="163"/>
      <c r="E347" s="163" t="s">
        <v>1356</v>
      </c>
      <c r="F347" s="163" t="s">
        <v>1352</v>
      </c>
      <c r="G347" s="163" t="s">
        <v>1352</v>
      </c>
      <c r="H347" s="163" t="s">
        <v>1359</v>
      </c>
      <c r="I347" s="163" t="s">
        <v>1359</v>
      </c>
      <c r="J347" s="164">
        <v>1</v>
      </c>
      <c r="K347" s="163" t="str">
        <f t="shared" si="16"/>
        <v>DISTRIBUTOR</v>
      </c>
      <c r="L347" s="163" t="s">
        <v>37</v>
      </c>
      <c r="M347" s="164">
        <v>9</v>
      </c>
      <c r="N347" s="163" t="str">
        <f t="shared" si="20"/>
        <v>In Pcs</v>
      </c>
      <c r="O347" s="163" t="str">
        <f t="shared" si="21"/>
        <v>Pcs</v>
      </c>
      <c r="P347" s="164">
        <f t="shared" si="17"/>
        <v>4</v>
      </c>
      <c r="Q347" s="163" t="str">
        <f t="shared" si="18"/>
        <v>small</v>
      </c>
      <c r="R347" s="163">
        <v>40</v>
      </c>
      <c r="S347" s="165">
        <f>S346/10</f>
        <v>1650</v>
      </c>
      <c r="T347" s="166">
        <f t="shared" si="19"/>
        <v>1486.4864864864865</v>
      </c>
      <c r="U347" s="227">
        <v>1400</v>
      </c>
      <c r="V347" s="227">
        <v>1246</v>
      </c>
    </row>
    <row r="348" spans="1:22" ht="22.5" customHeight="1">
      <c r="A348" s="109"/>
      <c r="B348" s="109"/>
      <c r="C348" s="163">
        <v>119</v>
      </c>
      <c r="D348" s="163"/>
      <c r="E348" s="163" t="s">
        <v>1357</v>
      </c>
      <c r="F348" s="163" t="s">
        <v>1352</v>
      </c>
      <c r="G348" s="163" t="s">
        <v>1352</v>
      </c>
      <c r="H348" s="163" t="s">
        <v>1359</v>
      </c>
      <c r="I348" s="163" t="s">
        <v>1359</v>
      </c>
      <c r="J348" s="164">
        <v>1</v>
      </c>
      <c r="K348" s="163" t="str">
        <f t="shared" si="16"/>
        <v>DISTRIBUTOR</v>
      </c>
      <c r="L348" s="163" t="s">
        <v>37</v>
      </c>
      <c r="M348" s="164">
        <v>1</v>
      </c>
      <c r="N348" s="163" t="str">
        <f t="shared" si="20"/>
        <v>In Carton</v>
      </c>
      <c r="O348" s="163" t="str">
        <f t="shared" si="21"/>
        <v>Carton</v>
      </c>
      <c r="P348" s="164">
        <f t="shared" si="17"/>
        <v>1</v>
      </c>
      <c r="Q348" s="163" t="str">
        <f t="shared" si="18"/>
        <v>large</v>
      </c>
      <c r="R348" s="163">
        <v>1</v>
      </c>
      <c r="S348" s="165">
        <f>16500*4</f>
        <v>66000</v>
      </c>
      <c r="T348" s="166">
        <f t="shared" si="19"/>
        <v>59459.459459459453</v>
      </c>
      <c r="U348" s="227">
        <v>56000</v>
      </c>
      <c r="V348" s="227">
        <v>49840</v>
      </c>
    </row>
    <row r="349" spans="1:22" ht="22.5" customHeight="1">
      <c r="A349" s="109"/>
      <c r="B349" s="109"/>
      <c r="C349" s="163">
        <v>119</v>
      </c>
      <c r="D349" s="163"/>
      <c r="E349" s="163" t="s">
        <v>1357</v>
      </c>
      <c r="F349" s="163" t="s">
        <v>1352</v>
      </c>
      <c r="G349" s="163" t="s">
        <v>1352</v>
      </c>
      <c r="H349" s="163" t="s">
        <v>1359</v>
      </c>
      <c r="I349" s="163" t="s">
        <v>1359</v>
      </c>
      <c r="J349" s="164">
        <v>1</v>
      </c>
      <c r="K349" s="163" t="str">
        <f t="shared" si="16"/>
        <v>DISTRIBUTOR</v>
      </c>
      <c r="L349" s="163" t="s">
        <v>37</v>
      </c>
      <c r="M349" s="164">
        <v>8</v>
      </c>
      <c r="N349" s="163" t="str">
        <f t="shared" si="20"/>
        <v>In Renceng</v>
      </c>
      <c r="O349" s="163" t="str">
        <f t="shared" si="21"/>
        <v>Renceng</v>
      </c>
      <c r="P349" s="164">
        <f t="shared" si="17"/>
        <v>3</v>
      </c>
      <c r="Q349" s="163">
        <f t="shared" si="18"/>
        <v>0</v>
      </c>
      <c r="R349" s="163">
        <v>4</v>
      </c>
      <c r="S349" s="165">
        <f>S348/4</f>
        <v>16500</v>
      </c>
      <c r="T349" s="166">
        <f t="shared" si="19"/>
        <v>14864.864864864863</v>
      </c>
      <c r="U349" s="227">
        <v>14000</v>
      </c>
      <c r="V349" s="227">
        <v>12460</v>
      </c>
    </row>
    <row r="350" spans="1:22" ht="22.5" customHeight="1">
      <c r="A350" s="109"/>
      <c r="B350" s="109"/>
      <c r="C350" s="163">
        <v>119</v>
      </c>
      <c r="D350" s="163"/>
      <c r="E350" s="163" t="s">
        <v>1357</v>
      </c>
      <c r="F350" s="163" t="s">
        <v>1352</v>
      </c>
      <c r="G350" s="163" t="s">
        <v>1352</v>
      </c>
      <c r="H350" s="163" t="s">
        <v>1359</v>
      </c>
      <c r="I350" s="163" t="s">
        <v>1359</v>
      </c>
      <c r="J350" s="164">
        <v>1</v>
      </c>
      <c r="K350" s="163" t="str">
        <f t="shared" si="16"/>
        <v>DISTRIBUTOR</v>
      </c>
      <c r="L350" s="163" t="s">
        <v>37</v>
      </c>
      <c r="M350" s="164">
        <v>9</v>
      </c>
      <c r="N350" s="163" t="str">
        <f t="shared" si="20"/>
        <v>In Pcs</v>
      </c>
      <c r="O350" s="163" t="str">
        <f t="shared" si="21"/>
        <v>Pcs</v>
      </c>
      <c r="P350" s="164">
        <f t="shared" si="17"/>
        <v>4</v>
      </c>
      <c r="Q350" s="163" t="str">
        <f t="shared" si="18"/>
        <v>small</v>
      </c>
      <c r="R350" s="163">
        <v>40</v>
      </c>
      <c r="S350" s="165">
        <f>S349/10</f>
        <v>1650</v>
      </c>
      <c r="T350" s="166">
        <f t="shared" si="19"/>
        <v>1486.4864864864865</v>
      </c>
      <c r="U350" s="227">
        <v>1400</v>
      </c>
      <c r="V350" s="227">
        <v>1246</v>
      </c>
    </row>
    <row r="351" spans="1:22" ht="22.5" customHeight="1">
      <c r="A351" s="109"/>
      <c r="B351" s="109"/>
      <c r="C351" s="163">
        <v>120</v>
      </c>
      <c r="D351" s="163"/>
      <c r="E351" s="163" t="s">
        <v>1358</v>
      </c>
      <c r="F351" s="163" t="s">
        <v>1352</v>
      </c>
      <c r="G351" s="163" t="s">
        <v>1352</v>
      </c>
      <c r="H351" s="163" t="s">
        <v>1359</v>
      </c>
      <c r="I351" s="163" t="s">
        <v>1359</v>
      </c>
      <c r="J351" s="164">
        <v>1</v>
      </c>
      <c r="K351" s="163" t="str">
        <f t="shared" si="16"/>
        <v>DISTRIBUTOR</v>
      </c>
      <c r="L351" s="163" t="s">
        <v>36</v>
      </c>
      <c r="M351" s="164">
        <v>1</v>
      </c>
      <c r="N351" s="163" t="str">
        <f t="shared" si="20"/>
        <v>In Carton</v>
      </c>
      <c r="O351" s="163" t="str">
        <f t="shared" si="21"/>
        <v>Carton</v>
      </c>
      <c r="P351" s="164">
        <f t="shared" si="17"/>
        <v>1</v>
      </c>
      <c r="Q351" s="163" t="str">
        <f t="shared" si="18"/>
        <v>large</v>
      </c>
      <c r="R351" s="163">
        <v>1</v>
      </c>
      <c r="S351" s="165">
        <f>6066*24</f>
        <v>145584</v>
      </c>
      <c r="T351" s="166">
        <f t="shared" si="19"/>
        <v>131156.75675675675</v>
      </c>
      <c r="U351" s="227">
        <v>130000</v>
      </c>
      <c r="V351" s="227">
        <f>U351-(U351*11%)</f>
        <v>115700</v>
      </c>
    </row>
    <row r="352" spans="1:22" ht="22.5" customHeight="1">
      <c r="A352" s="109"/>
      <c r="B352" s="109"/>
      <c r="C352" s="163">
        <v>120</v>
      </c>
      <c r="D352" s="163"/>
      <c r="E352" s="163" t="s">
        <v>1358</v>
      </c>
      <c r="F352" s="163" t="s">
        <v>1352</v>
      </c>
      <c r="G352" s="163" t="s">
        <v>1352</v>
      </c>
      <c r="H352" s="163" t="s">
        <v>1359</v>
      </c>
      <c r="I352" s="163" t="s">
        <v>1359</v>
      </c>
      <c r="J352" s="164">
        <v>1</v>
      </c>
      <c r="K352" s="163" t="str">
        <f t="shared" si="16"/>
        <v>DISTRIBUTOR</v>
      </c>
      <c r="L352" s="163" t="s">
        <v>36</v>
      </c>
      <c r="M352" s="164">
        <v>9</v>
      </c>
      <c r="N352" s="163" t="str">
        <f t="shared" si="20"/>
        <v>In Pcs</v>
      </c>
      <c r="O352" s="163" t="str">
        <f t="shared" si="21"/>
        <v>Pcs</v>
      </c>
      <c r="P352" s="164">
        <f t="shared" si="17"/>
        <v>4</v>
      </c>
      <c r="Q352" s="163" t="str">
        <f t="shared" si="18"/>
        <v>small</v>
      </c>
      <c r="R352" s="163">
        <v>24</v>
      </c>
      <c r="S352" s="165">
        <f>S351/24</f>
        <v>6066</v>
      </c>
      <c r="T352" s="166">
        <f t="shared" si="19"/>
        <v>5464.8648648648641</v>
      </c>
      <c r="U352" s="227">
        <v>5416</v>
      </c>
      <c r="V352" s="227">
        <v>4820</v>
      </c>
    </row>
    <row r="353" spans="1:22" ht="22.5" customHeight="1">
      <c r="A353" s="109"/>
      <c r="B353" s="109"/>
      <c r="C353" s="167">
        <v>121</v>
      </c>
      <c r="D353" s="167"/>
      <c r="E353" s="167" t="s">
        <v>1353</v>
      </c>
      <c r="F353" s="167" t="s">
        <v>1360</v>
      </c>
      <c r="G353" s="167" t="s">
        <v>1353</v>
      </c>
      <c r="H353" s="167" t="s">
        <v>1361</v>
      </c>
      <c r="I353" s="167" t="s">
        <v>1362</v>
      </c>
      <c r="J353" s="168">
        <v>1</v>
      </c>
      <c r="K353" s="167" t="str">
        <f t="shared" si="16"/>
        <v>DISTRIBUTOR</v>
      </c>
      <c r="L353" s="167" t="s">
        <v>37</v>
      </c>
      <c r="M353" s="168">
        <v>1</v>
      </c>
      <c r="N353" s="167" t="str">
        <f t="shared" si="20"/>
        <v>In Carton</v>
      </c>
      <c r="O353" s="167" t="str">
        <f t="shared" si="21"/>
        <v>Carton</v>
      </c>
      <c r="P353" s="168">
        <f t="shared" si="17"/>
        <v>1</v>
      </c>
      <c r="Q353" s="167" t="str">
        <f t="shared" si="18"/>
        <v>large</v>
      </c>
      <c r="R353" s="167">
        <v>1</v>
      </c>
      <c r="S353" s="169">
        <f>8000*12</f>
        <v>96000</v>
      </c>
      <c r="T353" s="170">
        <f t="shared" si="19"/>
        <v>86486.486486486479</v>
      </c>
      <c r="U353" s="228">
        <v>86400</v>
      </c>
      <c r="V353" s="227">
        <f>U353-(U353*11%)</f>
        <v>76896</v>
      </c>
    </row>
    <row r="354" spans="1:22" ht="22.5" customHeight="1">
      <c r="A354" s="109"/>
      <c r="B354" s="109"/>
      <c r="C354" s="167">
        <v>121</v>
      </c>
      <c r="D354" s="167"/>
      <c r="E354" s="167" t="s">
        <v>1353</v>
      </c>
      <c r="F354" s="167" t="s">
        <v>1360</v>
      </c>
      <c r="G354" s="167" t="s">
        <v>1353</v>
      </c>
      <c r="H354" s="167" t="s">
        <v>1361</v>
      </c>
      <c r="I354" s="167" t="s">
        <v>1362</v>
      </c>
      <c r="J354" s="168">
        <v>1</v>
      </c>
      <c r="K354" s="167" t="str">
        <f t="shared" si="16"/>
        <v>DISTRIBUTOR</v>
      </c>
      <c r="L354" s="167" t="s">
        <v>37</v>
      </c>
      <c r="M354" s="168">
        <v>8</v>
      </c>
      <c r="N354" s="167" t="str">
        <f t="shared" si="20"/>
        <v>In Renceng</v>
      </c>
      <c r="O354" s="167" t="str">
        <f t="shared" si="21"/>
        <v>Renceng</v>
      </c>
      <c r="P354" s="168">
        <f t="shared" si="17"/>
        <v>3</v>
      </c>
      <c r="Q354" s="167">
        <f t="shared" si="18"/>
        <v>0</v>
      </c>
      <c r="R354" s="167">
        <v>12</v>
      </c>
      <c r="S354" s="169">
        <f>S353/12</f>
        <v>8000</v>
      </c>
      <c r="T354" s="170">
        <f t="shared" si="19"/>
        <v>7207.2072072072069</v>
      </c>
      <c r="U354" s="228">
        <v>7200</v>
      </c>
      <c r="V354" s="228">
        <v>6408</v>
      </c>
    </row>
    <row r="355" spans="1:22" ht="22.5" customHeight="1">
      <c r="A355" s="109"/>
      <c r="B355" s="109"/>
      <c r="C355" s="167">
        <v>121</v>
      </c>
      <c r="D355" s="167"/>
      <c r="E355" s="167" t="s">
        <v>1353</v>
      </c>
      <c r="F355" s="167" t="s">
        <v>1360</v>
      </c>
      <c r="G355" s="167" t="s">
        <v>1353</v>
      </c>
      <c r="H355" s="167" t="s">
        <v>1361</v>
      </c>
      <c r="I355" s="167" t="s">
        <v>1362</v>
      </c>
      <c r="J355" s="168">
        <v>1</v>
      </c>
      <c r="K355" s="167" t="str">
        <f t="shared" si="16"/>
        <v>DISTRIBUTOR</v>
      </c>
      <c r="L355" s="167" t="s">
        <v>37</v>
      </c>
      <c r="M355" s="168">
        <v>9</v>
      </c>
      <c r="N355" s="167" t="str">
        <f t="shared" si="20"/>
        <v>In Pcs</v>
      </c>
      <c r="O355" s="167" t="str">
        <f t="shared" si="21"/>
        <v>Pcs</v>
      </c>
      <c r="P355" s="168">
        <f t="shared" si="17"/>
        <v>4</v>
      </c>
      <c r="Q355" s="167" t="str">
        <f t="shared" si="18"/>
        <v>small</v>
      </c>
      <c r="R355" s="167">
        <v>120</v>
      </c>
      <c r="S355" s="169">
        <f>S354/10</f>
        <v>800</v>
      </c>
      <c r="T355" s="170">
        <f t="shared" si="19"/>
        <v>720.72072072072069</v>
      </c>
      <c r="U355" s="228">
        <v>720</v>
      </c>
      <c r="V355" s="228">
        <v>640</v>
      </c>
    </row>
    <row r="356" spans="1:22" ht="22.5" customHeight="1">
      <c r="A356" s="109"/>
      <c r="B356" s="109"/>
      <c r="C356" s="171">
        <v>122</v>
      </c>
      <c r="D356" s="172" t="s">
        <v>1420</v>
      </c>
      <c r="E356" s="173" t="s">
        <v>1421</v>
      </c>
      <c r="F356" s="174" t="s">
        <v>504</v>
      </c>
      <c r="G356" s="174" t="s">
        <v>504</v>
      </c>
      <c r="H356" s="174" t="s">
        <v>1422</v>
      </c>
      <c r="I356" s="174" t="s">
        <v>1422</v>
      </c>
      <c r="J356" s="175">
        <v>1</v>
      </c>
      <c r="K356" s="174" t="str">
        <f t="shared" si="16"/>
        <v>DISTRIBUTOR</v>
      </c>
      <c r="L356" s="174" t="s">
        <v>37</v>
      </c>
      <c r="M356" s="175">
        <v>1</v>
      </c>
      <c r="N356" s="174" t="str">
        <f t="shared" si="20"/>
        <v>In Carton</v>
      </c>
      <c r="O356" s="174" t="str">
        <f t="shared" si="21"/>
        <v>Carton</v>
      </c>
      <c r="P356" s="175">
        <f t="shared" si="17"/>
        <v>1</v>
      </c>
      <c r="Q356" s="174" t="str">
        <f t="shared" si="18"/>
        <v>large</v>
      </c>
      <c r="R356" s="174">
        <v>1</v>
      </c>
      <c r="S356" s="176">
        <f>7691*12</f>
        <v>92292</v>
      </c>
      <c r="T356" s="177">
        <f t="shared" si="19"/>
        <v>83145.945945945932</v>
      </c>
      <c r="U356" s="229">
        <v>83070</v>
      </c>
      <c r="V356" s="227">
        <f>U356-(U356*11%)</f>
        <v>73932.3</v>
      </c>
    </row>
    <row r="357" spans="1:22" ht="22.5" customHeight="1">
      <c r="A357" s="109"/>
      <c r="B357" s="109"/>
      <c r="C357" s="171">
        <v>122</v>
      </c>
      <c r="D357" s="172" t="s">
        <v>1420</v>
      </c>
      <c r="E357" s="173" t="s">
        <v>1421</v>
      </c>
      <c r="F357" s="174" t="s">
        <v>504</v>
      </c>
      <c r="G357" s="174" t="s">
        <v>504</v>
      </c>
      <c r="H357" s="174" t="s">
        <v>1422</v>
      </c>
      <c r="I357" s="174" t="s">
        <v>1422</v>
      </c>
      <c r="J357" s="175">
        <v>1</v>
      </c>
      <c r="K357" s="174" t="str">
        <f t="shared" si="16"/>
        <v>DISTRIBUTOR</v>
      </c>
      <c r="L357" s="174" t="s">
        <v>37</v>
      </c>
      <c r="M357" s="175">
        <v>3</v>
      </c>
      <c r="N357" s="174" t="str">
        <f t="shared" si="20"/>
        <v>In Pack</v>
      </c>
      <c r="O357" s="174" t="str">
        <f t="shared" si="21"/>
        <v>Pack</v>
      </c>
      <c r="P357" s="175">
        <f t="shared" si="17"/>
        <v>2</v>
      </c>
      <c r="Q357" s="174">
        <f t="shared" si="18"/>
        <v>0</v>
      </c>
      <c r="R357" s="174">
        <v>12</v>
      </c>
      <c r="S357" s="176">
        <f>S356/12</f>
        <v>7691</v>
      </c>
      <c r="T357" s="177">
        <f t="shared" si="19"/>
        <v>6928.8288288288286</v>
      </c>
      <c r="U357" s="229">
        <v>6922</v>
      </c>
      <c r="V357" s="227">
        <f>U357-(U357*11%)</f>
        <v>6160.58</v>
      </c>
    </row>
    <row r="358" spans="1:22" ht="22.5" customHeight="1">
      <c r="A358" s="109"/>
      <c r="B358" s="109"/>
      <c r="C358" s="171">
        <v>123</v>
      </c>
      <c r="D358" s="172" t="s">
        <v>1423</v>
      </c>
      <c r="E358" s="173" t="s">
        <v>1424</v>
      </c>
      <c r="F358" s="174" t="s">
        <v>504</v>
      </c>
      <c r="G358" s="174" t="s">
        <v>504</v>
      </c>
      <c r="H358" s="174" t="s">
        <v>1422</v>
      </c>
      <c r="I358" s="174" t="s">
        <v>1422</v>
      </c>
      <c r="J358" s="175">
        <v>1</v>
      </c>
      <c r="K358" s="174" t="str">
        <f t="shared" si="16"/>
        <v>DISTRIBUTOR</v>
      </c>
      <c r="L358" s="174" t="s">
        <v>37</v>
      </c>
      <c r="M358" s="175">
        <v>1</v>
      </c>
      <c r="N358" s="174" t="str">
        <f t="shared" si="20"/>
        <v>In Carton</v>
      </c>
      <c r="O358" s="174" t="str">
        <f t="shared" si="21"/>
        <v>Carton</v>
      </c>
      <c r="P358" s="175">
        <f t="shared" si="17"/>
        <v>1</v>
      </c>
      <c r="Q358" s="174" t="str">
        <f t="shared" si="18"/>
        <v>large</v>
      </c>
      <c r="R358" s="174">
        <v>1</v>
      </c>
      <c r="S358" s="176">
        <f>7691*12</f>
        <v>92292</v>
      </c>
      <c r="T358" s="177">
        <f t="shared" si="19"/>
        <v>83145.945945945932</v>
      </c>
      <c r="U358" s="229">
        <v>83070</v>
      </c>
      <c r="V358" s="227">
        <f t="shared" ref="V358:V369" si="23">U358-(U358*11%)</f>
        <v>73932.3</v>
      </c>
    </row>
    <row r="359" spans="1:22" ht="22.5" customHeight="1">
      <c r="A359" s="109"/>
      <c r="B359" s="109"/>
      <c r="C359" s="171">
        <v>123</v>
      </c>
      <c r="D359" s="172" t="s">
        <v>1423</v>
      </c>
      <c r="E359" s="173" t="s">
        <v>1424</v>
      </c>
      <c r="F359" s="174" t="s">
        <v>504</v>
      </c>
      <c r="G359" s="174" t="s">
        <v>504</v>
      </c>
      <c r="H359" s="174" t="s">
        <v>1422</v>
      </c>
      <c r="I359" s="174" t="s">
        <v>1422</v>
      </c>
      <c r="J359" s="175">
        <v>1</v>
      </c>
      <c r="K359" s="174" t="str">
        <f t="shared" si="16"/>
        <v>DISTRIBUTOR</v>
      </c>
      <c r="L359" s="174" t="s">
        <v>37</v>
      </c>
      <c r="M359" s="175">
        <v>3</v>
      </c>
      <c r="N359" s="174" t="str">
        <f t="shared" si="20"/>
        <v>In Pack</v>
      </c>
      <c r="O359" s="174" t="str">
        <f t="shared" si="21"/>
        <v>Pack</v>
      </c>
      <c r="P359" s="175">
        <f t="shared" si="17"/>
        <v>2</v>
      </c>
      <c r="Q359" s="174">
        <f t="shared" si="18"/>
        <v>0</v>
      </c>
      <c r="R359" s="174">
        <v>12</v>
      </c>
      <c r="S359" s="176">
        <f>S358/12</f>
        <v>7691</v>
      </c>
      <c r="T359" s="177">
        <f t="shared" si="19"/>
        <v>6928.8288288288286</v>
      </c>
      <c r="U359" s="229">
        <v>6922</v>
      </c>
      <c r="V359" s="227">
        <f t="shared" si="23"/>
        <v>6160.58</v>
      </c>
    </row>
    <row r="360" spans="1:22" ht="22.5" customHeight="1">
      <c r="A360" s="109"/>
      <c r="B360" s="109"/>
      <c r="C360" s="171">
        <v>124</v>
      </c>
      <c r="D360" s="172" t="s">
        <v>1425</v>
      </c>
      <c r="E360" s="173" t="s">
        <v>1426</v>
      </c>
      <c r="F360" s="174" t="s">
        <v>504</v>
      </c>
      <c r="G360" s="174" t="s">
        <v>504</v>
      </c>
      <c r="H360" s="174" t="s">
        <v>1422</v>
      </c>
      <c r="I360" s="174" t="s">
        <v>1422</v>
      </c>
      <c r="J360" s="175">
        <v>1</v>
      </c>
      <c r="K360" s="174" t="str">
        <f t="shared" si="16"/>
        <v>DISTRIBUTOR</v>
      </c>
      <c r="L360" s="174" t="s">
        <v>37</v>
      </c>
      <c r="M360" s="175">
        <v>1</v>
      </c>
      <c r="N360" s="174" t="str">
        <f t="shared" si="20"/>
        <v>In Carton</v>
      </c>
      <c r="O360" s="174" t="str">
        <f t="shared" si="21"/>
        <v>Carton</v>
      </c>
      <c r="P360" s="175">
        <f t="shared" si="17"/>
        <v>1</v>
      </c>
      <c r="Q360" s="174" t="str">
        <f t="shared" si="18"/>
        <v>large</v>
      </c>
      <c r="R360" s="174">
        <v>1</v>
      </c>
      <c r="S360" s="176">
        <f>4545*20</f>
        <v>90900</v>
      </c>
      <c r="T360" s="177">
        <f t="shared" si="19"/>
        <v>81891.891891891879</v>
      </c>
      <c r="U360" s="229">
        <v>81810</v>
      </c>
      <c r="V360" s="227">
        <f t="shared" si="23"/>
        <v>72810.899999999994</v>
      </c>
    </row>
    <row r="361" spans="1:22" ht="22.5" customHeight="1">
      <c r="A361" s="109"/>
      <c r="B361" s="109"/>
      <c r="C361" s="171">
        <v>124</v>
      </c>
      <c r="D361" s="172" t="s">
        <v>1425</v>
      </c>
      <c r="E361" s="173" t="s">
        <v>1426</v>
      </c>
      <c r="F361" s="174" t="s">
        <v>504</v>
      </c>
      <c r="G361" s="174" t="s">
        <v>504</v>
      </c>
      <c r="H361" s="174" t="s">
        <v>1422</v>
      </c>
      <c r="I361" s="174" t="s">
        <v>1422</v>
      </c>
      <c r="J361" s="175">
        <v>1</v>
      </c>
      <c r="K361" s="174" t="str">
        <f t="shared" si="16"/>
        <v>DISTRIBUTOR</v>
      </c>
      <c r="L361" s="174" t="s">
        <v>37</v>
      </c>
      <c r="M361" s="175">
        <v>3</v>
      </c>
      <c r="N361" s="174" t="str">
        <f t="shared" si="20"/>
        <v>In Pack</v>
      </c>
      <c r="O361" s="174" t="str">
        <f t="shared" si="21"/>
        <v>Pack</v>
      </c>
      <c r="P361" s="175">
        <f t="shared" si="17"/>
        <v>2</v>
      </c>
      <c r="Q361" s="174">
        <f t="shared" si="18"/>
        <v>0</v>
      </c>
      <c r="R361" s="174">
        <v>20</v>
      </c>
      <c r="S361" s="176">
        <f>S360/20</f>
        <v>4545</v>
      </c>
      <c r="T361" s="177">
        <f t="shared" si="19"/>
        <v>4094.5945945945941</v>
      </c>
      <c r="U361" s="229">
        <v>4090</v>
      </c>
      <c r="V361" s="227">
        <f t="shared" si="23"/>
        <v>3640.1</v>
      </c>
    </row>
    <row r="362" spans="1:22" ht="22.5" customHeight="1">
      <c r="A362" s="109"/>
      <c r="B362" s="109"/>
      <c r="C362" s="171">
        <v>125</v>
      </c>
      <c r="D362" s="172" t="s">
        <v>1427</v>
      </c>
      <c r="E362" s="173" t="s">
        <v>1428</v>
      </c>
      <c r="F362" s="174" t="s">
        <v>504</v>
      </c>
      <c r="G362" s="174" t="s">
        <v>504</v>
      </c>
      <c r="H362" s="174" t="s">
        <v>1422</v>
      </c>
      <c r="I362" s="174" t="s">
        <v>1422</v>
      </c>
      <c r="J362" s="175">
        <v>1</v>
      </c>
      <c r="K362" s="174" t="str">
        <f t="shared" si="16"/>
        <v>DISTRIBUTOR</v>
      </c>
      <c r="L362" s="174" t="s">
        <v>37</v>
      </c>
      <c r="M362" s="175">
        <v>1</v>
      </c>
      <c r="N362" s="174" t="str">
        <f t="shared" si="20"/>
        <v>In Carton</v>
      </c>
      <c r="O362" s="174" t="str">
        <f t="shared" si="21"/>
        <v>Carton</v>
      </c>
      <c r="P362" s="175">
        <f t="shared" si="17"/>
        <v>1</v>
      </c>
      <c r="Q362" s="174" t="str">
        <f t="shared" si="18"/>
        <v>large</v>
      </c>
      <c r="R362" s="174">
        <v>1</v>
      </c>
      <c r="S362" s="176">
        <f>4545*20</f>
        <v>90900</v>
      </c>
      <c r="T362" s="177">
        <f t="shared" si="19"/>
        <v>81891.891891891879</v>
      </c>
      <c r="U362" s="229">
        <v>81810</v>
      </c>
      <c r="V362" s="227">
        <f t="shared" si="23"/>
        <v>72810.899999999994</v>
      </c>
    </row>
    <row r="363" spans="1:22" ht="22.5" customHeight="1">
      <c r="A363" s="109"/>
      <c r="B363" s="109"/>
      <c r="C363" s="171">
        <v>125</v>
      </c>
      <c r="D363" s="172" t="s">
        <v>1427</v>
      </c>
      <c r="E363" s="173" t="s">
        <v>1428</v>
      </c>
      <c r="F363" s="174" t="s">
        <v>504</v>
      </c>
      <c r="G363" s="174" t="s">
        <v>504</v>
      </c>
      <c r="H363" s="174" t="s">
        <v>1422</v>
      </c>
      <c r="I363" s="174" t="s">
        <v>1422</v>
      </c>
      <c r="J363" s="175">
        <v>1</v>
      </c>
      <c r="K363" s="174" t="str">
        <f t="shared" si="16"/>
        <v>DISTRIBUTOR</v>
      </c>
      <c r="L363" s="174" t="s">
        <v>37</v>
      </c>
      <c r="M363" s="175">
        <v>3</v>
      </c>
      <c r="N363" s="174" t="str">
        <f t="shared" si="20"/>
        <v>In Pack</v>
      </c>
      <c r="O363" s="174" t="str">
        <f t="shared" si="21"/>
        <v>Pack</v>
      </c>
      <c r="P363" s="175">
        <f t="shared" si="17"/>
        <v>2</v>
      </c>
      <c r="Q363" s="174">
        <f t="shared" si="18"/>
        <v>0</v>
      </c>
      <c r="R363" s="174">
        <v>20</v>
      </c>
      <c r="S363" s="176">
        <f>S362/20</f>
        <v>4545</v>
      </c>
      <c r="T363" s="177">
        <f t="shared" si="19"/>
        <v>4094.5945945945941</v>
      </c>
      <c r="U363" s="229">
        <v>4090</v>
      </c>
      <c r="V363" s="227">
        <f t="shared" si="23"/>
        <v>3640.1</v>
      </c>
    </row>
    <row r="364" spans="1:22" ht="22.5" customHeight="1">
      <c r="A364" s="109"/>
      <c r="B364" s="109"/>
      <c r="C364" s="171">
        <v>126</v>
      </c>
      <c r="D364" s="178" t="s">
        <v>1429</v>
      </c>
      <c r="E364" s="178" t="s">
        <v>1430</v>
      </c>
      <c r="F364" s="174" t="s">
        <v>504</v>
      </c>
      <c r="G364" s="174" t="s">
        <v>504</v>
      </c>
      <c r="H364" s="174" t="s">
        <v>1422</v>
      </c>
      <c r="I364" s="174" t="s">
        <v>1422</v>
      </c>
      <c r="J364" s="175">
        <v>1</v>
      </c>
      <c r="K364" s="174" t="str">
        <f t="shared" si="16"/>
        <v>DISTRIBUTOR</v>
      </c>
      <c r="L364" s="174" t="s">
        <v>37</v>
      </c>
      <c r="M364" s="175">
        <v>1</v>
      </c>
      <c r="N364" s="174" t="str">
        <f t="shared" si="20"/>
        <v>In Carton</v>
      </c>
      <c r="O364" s="174" t="str">
        <f t="shared" si="21"/>
        <v>Carton</v>
      </c>
      <c r="P364" s="175">
        <f t="shared" si="17"/>
        <v>1</v>
      </c>
      <c r="Q364" s="174" t="str">
        <f t="shared" si="18"/>
        <v>large</v>
      </c>
      <c r="R364" s="174">
        <v>1</v>
      </c>
      <c r="S364" s="176">
        <f>5041*12</f>
        <v>60492</v>
      </c>
      <c r="T364" s="177">
        <f t="shared" si="19"/>
        <v>54497.297297297293</v>
      </c>
      <c r="U364" s="229">
        <v>53820</v>
      </c>
      <c r="V364" s="227">
        <f t="shared" si="23"/>
        <v>47899.8</v>
      </c>
    </row>
    <row r="365" spans="1:22" ht="22.5" customHeight="1">
      <c r="A365" s="109"/>
      <c r="B365" s="109"/>
      <c r="C365" s="171">
        <v>126</v>
      </c>
      <c r="D365" s="178" t="s">
        <v>1429</v>
      </c>
      <c r="E365" s="178" t="s">
        <v>1430</v>
      </c>
      <c r="F365" s="174" t="s">
        <v>504</v>
      </c>
      <c r="G365" s="174" t="s">
        <v>504</v>
      </c>
      <c r="H365" s="174" t="s">
        <v>1422</v>
      </c>
      <c r="I365" s="174" t="s">
        <v>1422</v>
      </c>
      <c r="J365" s="175">
        <v>1</v>
      </c>
      <c r="K365" s="174" t="str">
        <f t="shared" si="16"/>
        <v>DISTRIBUTOR</v>
      </c>
      <c r="L365" s="174" t="s">
        <v>37</v>
      </c>
      <c r="M365" s="175">
        <v>3</v>
      </c>
      <c r="N365" s="174" t="str">
        <f t="shared" si="20"/>
        <v>In Pack</v>
      </c>
      <c r="O365" s="174" t="str">
        <f t="shared" si="21"/>
        <v>Pack</v>
      </c>
      <c r="P365" s="175">
        <f t="shared" si="17"/>
        <v>2</v>
      </c>
      <c r="Q365" s="174">
        <f t="shared" si="18"/>
        <v>0</v>
      </c>
      <c r="R365" s="174">
        <v>12</v>
      </c>
      <c r="S365" s="176">
        <f>S364/12</f>
        <v>5041</v>
      </c>
      <c r="T365" s="177">
        <f t="shared" si="19"/>
        <v>4541.4414414414414</v>
      </c>
      <c r="U365" s="229">
        <v>4485</v>
      </c>
      <c r="V365" s="227">
        <f t="shared" si="23"/>
        <v>3991.65</v>
      </c>
    </row>
    <row r="366" spans="1:22" ht="22.5" customHeight="1">
      <c r="A366" s="109"/>
      <c r="B366" s="109"/>
      <c r="C366" s="171">
        <v>127</v>
      </c>
      <c r="D366" s="178" t="s">
        <v>1431</v>
      </c>
      <c r="E366" s="178" t="s">
        <v>1432</v>
      </c>
      <c r="F366" s="174" t="s">
        <v>504</v>
      </c>
      <c r="G366" s="174" t="s">
        <v>504</v>
      </c>
      <c r="H366" s="174" t="s">
        <v>1422</v>
      </c>
      <c r="I366" s="174" t="s">
        <v>1422</v>
      </c>
      <c r="J366" s="175">
        <v>1</v>
      </c>
      <c r="K366" s="174" t="str">
        <f t="shared" si="16"/>
        <v>DISTRIBUTOR</v>
      </c>
      <c r="L366" s="174" t="s">
        <v>37</v>
      </c>
      <c r="M366" s="175">
        <v>1</v>
      </c>
      <c r="N366" s="174" t="str">
        <f t="shared" si="20"/>
        <v>In Carton</v>
      </c>
      <c r="O366" s="174" t="str">
        <f t="shared" si="21"/>
        <v>Carton</v>
      </c>
      <c r="P366" s="175">
        <f t="shared" si="17"/>
        <v>1</v>
      </c>
      <c r="Q366" s="174" t="str">
        <f t="shared" si="18"/>
        <v>large</v>
      </c>
      <c r="R366" s="174">
        <v>1</v>
      </c>
      <c r="S366" s="176">
        <f>5583*12</f>
        <v>66996</v>
      </c>
      <c r="T366" s="177">
        <f t="shared" si="19"/>
        <v>60356.756756756753</v>
      </c>
      <c r="U366" s="229">
        <v>59800</v>
      </c>
      <c r="V366" s="227">
        <f t="shared" si="23"/>
        <v>53222</v>
      </c>
    </row>
    <row r="367" spans="1:22" ht="22.5" customHeight="1">
      <c r="A367" s="109"/>
      <c r="B367" s="109"/>
      <c r="C367" s="171">
        <v>127</v>
      </c>
      <c r="D367" s="178" t="s">
        <v>1431</v>
      </c>
      <c r="E367" s="178" t="s">
        <v>1432</v>
      </c>
      <c r="F367" s="174" t="s">
        <v>504</v>
      </c>
      <c r="G367" s="174" t="s">
        <v>504</v>
      </c>
      <c r="H367" s="174" t="s">
        <v>1422</v>
      </c>
      <c r="I367" s="174" t="s">
        <v>1422</v>
      </c>
      <c r="J367" s="175">
        <v>1</v>
      </c>
      <c r="K367" s="174" t="str">
        <f t="shared" si="16"/>
        <v>DISTRIBUTOR</v>
      </c>
      <c r="L367" s="174" t="s">
        <v>37</v>
      </c>
      <c r="M367" s="175">
        <v>3</v>
      </c>
      <c r="N367" s="174" t="str">
        <f t="shared" si="20"/>
        <v>In Pack</v>
      </c>
      <c r="O367" s="174" t="str">
        <f t="shared" si="21"/>
        <v>Pack</v>
      </c>
      <c r="P367" s="175">
        <f t="shared" si="17"/>
        <v>2</v>
      </c>
      <c r="Q367" s="174">
        <f t="shared" si="18"/>
        <v>0</v>
      </c>
      <c r="R367" s="174">
        <v>12</v>
      </c>
      <c r="S367" s="176">
        <f>S366/12</f>
        <v>5583</v>
      </c>
      <c r="T367" s="177">
        <f t="shared" si="19"/>
        <v>5029.7297297297291</v>
      </c>
      <c r="U367" s="229">
        <v>4983</v>
      </c>
      <c r="V367" s="227">
        <f t="shared" si="23"/>
        <v>4434.87</v>
      </c>
    </row>
    <row r="368" spans="1:22" ht="22.5" customHeight="1">
      <c r="A368" s="109"/>
      <c r="B368" s="109"/>
      <c r="C368" s="171">
        <v>128</v>
      </c>
      <c r="D368" s="178" t="s">
        <v>1433</v>
      </c>
      <c r="E368" s="178" t="s">
        <v>1434</v>
      </c>
      <c r="F368" s="174" t="s">
        <v>504</v>
      </c>
      <c r="G368" s="174" t="s">
        <v>504</v>
      </c>
      <c r="H368" s="174" t="s">
        <v>1422</v>
      </c>
      <c r="I368" s="174" t="s">
        <v>1422</v>
      </c>
      <c r="J368" s="175">
        <v>1</v>
      </c>
      <c r="K368" s="174" t="str">
        <f t="shared" si="16"/>
        <v>DISTRIBUTOR</v>
      </c>
      <c r="L368" s="174" t="s">
        <v>37</v>
      </c>
      <c r="M368" s="175">
        <v>1</v>
      </c>
      <c r="N368" s="174" t="str">
        <f t="shared" si="20"/>
        <v>In Carton</v>
      </c>
      <c r="O368" s="174" t="str">
        <f t="shared" si="21"/>
        <v>Carton</v>
      </c>
      <c r="P368" s="175">
        <f t="shared" si="17"/>
        <v>1</v>
      </c>
      <c r="Q368" s="174" t="str">
        <f t="shared" si="18"/>
        <v>large</v>
      </c>
      <c r="R368" s="174">
        <v>1</v>
      </c>
      <c r="S368" s="176">
        <f>2833*24</f>
        <v>67992</v>
      </c>
      <c r="T368" s="177">
        <f t="shared" si="19"/>
        <v>61254.054054054046</v>
      </c>
      <c r="U368" s="229">
        <v>60720</v>
      </c>
      <c r="V368" s="227">
        <f t="shared" si="23"/>
        <v>54040.800000000003</v>
      </c>
    </row>
    <row r="369" spans="1:22" ht="22.5" customHeight="1">
      <c r="A369" s="109"/>
      <c r="B369" s="109"/>
      <c r="C369" s="171">
        <v>128</v>
      </c>
      <c r="D369" s="178" t="s">
        <v>1433</v>
      </c>
      <c r="E369" s="178" t="s">
        <v>1434</v>
      </c>
      <c r="F369" s="174" t="s">
        <v>504</v>
      </c>
      <c r="G369" s="174" t="s">
        <v>504</v>
      </c>
      <c r="H369" s="174" t="s">
        <v>1422</v>
      </c>
      <c r="I369" s="174" t="s">
        <v>1422</v>
      </c>
      <c r="J369" s="175">
        <v>1</v>
      </c>
      <c r="K369" s="174" t="str">
        <f t="shared" si="16"/>
        <v>DISTRIBUTOR</v>
      </c>
      <c r="L369" s="174" t="s">
        <v>37</v>
      </c>
      <c r="M369" s="175">
        <v>3</v>
      </c>
      <c r="N369" s="174" t="str">
        <f t="shared" si="20"/>
        <v>In Pack</v>
      </c>
      <c r="O369" s="174" t="str">
        <f t="shared" si="21"/>
        <v>Pack</v>
      </c>
      <c r="P369" s="175">
        <f t="shared" si="17"/>
        <v>2</v>
      </c>
      <c r="Q369" s="174">
        <f t="shared" si="18"/>
        <v>0</v>
      </c>
      <c r="R369" s="174">
        <v>24</v>
      </c>
      <c r="S369" s="176">
        <f>S368/24</f>
        <v>2833</v>
      </c>
      <c r="T369" s="177">
        <f t="shared" si="19"/>
        <v>2552.2522522522522</v>
      </c>
      <c r="U369" s="229">
        <v>2530</v>
      </c>
      <c r="V369" s="227">
        <f t="shared" si="23"/>
        <v>2251.6999999999998</v>
      </c>
    </row>
    <row r="370" spans="1:22" ht="22.5" customHeight="1">
      <c r="A370" s="109"/>
      <c r="B370" s="109"/>
      <c r="C370" s="179">
        <v>129</v>
      </c>
      <c r="D370" s="179"/>
      <c r="E370" s="180" t="s">
        <v>526</v>
      </c>
      <c r="F370" s="180" t="s">
        <v>524</v>
      </c>
      <c r="G370" s="180" t="s">
        <v>524</v>
      </c>
      <c r="H370" s="179" t="s">
        <v>1435</v>
      </c>
      <c r="I370" s="179" t="s">
        <v>1435</v>
      </c>
      <c r="J370" s="181">
        <v>1</v>
      </c>
      <c r="K370" s="179" t="str">
        <f t="shared" si="16"/>
        <v>DISTRIBUTOR</v>
      </c>
      <c r="L370" s="179" t="s">
        <v>37</v>
      </c>
      <c r="M370" s="181">
        <v>1</v>
      </c>
      <c r="N370" s="179" t="str">
        <f t="shared" si="20"/>
        <v>In Carton</v>
      </c>
      <c r="O370" s="179" t="str">
        <f t="shared" si="21"/>
        <v>Carton</v>
      </c>
      <c r="P370" s="181">
        <f t="shared" si="17"/>
        <v>1</v>
      </c>
      <c r="Q370" s="179" t="str">
        <f t="shared" si="18"/>
        <v>large</v>
      </c>
      <c r="R370" s="179">
        <v>1</v>
      </c>
      <c r="S370" s="182">
        <f>5780*24</f>
        <v>138720</v>
      </c>
      <c r="T370" s="183">
        <f t="shared" si="19"/>
        <v>124972.97297297296</v>
      </c>
      <c r="U370" s="230">
        <f>V370+(V370*11%)</f>
        <v>129004.2</v>
      </c>
      <c r="V370" s="230">
        <v>116220</v>
      </c>
    </row>
    <row r="371" spans="1:22" ht="22.5" customHeight="1">
      <c r="A371" s="109"/>
      <c r="B371" s="109"/>
      <c r="C371" s="179">
        <v>129</v>
      </c>
      <c r="D371" s="179"/>
      <c r="E371" s="180" t="s">
        <v>526</v>
      </c>
      <c r="F371" s="180" t="s">
        <v>524</v>
      </c>
      <c r="G371" s="180" t="s">
        <v>524</v>
      </c>
      <c r="H371" s="179" t="s">
        <v>1435</v>
      </c>
      <c r="I371" s="179" t="s">
        <v>1435</v>
      </c>
      <c r="J371" s="181">
        <v>1</v>
      </c>
      <c r="K371" s="179" t="str">
        <f t="shared" si="16"/>
        <v>DISTRIBUTOR</v>
      </c>
      <c r="L371" s="179" t="s">
        <v>37</v>
      </c>
      <c r="M371" s="181">
        <v>11</v>
      </c>
      <c r="N371" s="179" t="str">
        <f t="shared" si="20"/>
        <v>In Pcs</v>
      </c>
      <c r="O371" s="179" t="str">
        <f t="shared" si="21"/>
        <v>Botol</v>
      </c>
      <c r="P371" s="181">
        <f t="shared" si="17"/>
        <v>4</v>
      </c>
      <c r="Q371" s="179" t="str">
        <f t="shared" si="18"/>
        <v>small</v>
      </c>
      <c r="R371" s="179">
        <v>24</v>
      </c>
      <c r="S371" s="182">
        <f>S370/24</f>
        <v>5780</v>
      </c>
      <c r="T371" s="183">
        <f t="shared" si="19"/>
        <v>5207.2072072072069</v>
      </c>
      <c r="U371" s="230">
        <f t="shared" ref="U371:U405" si="24">V371+(V371*11%)</f>
        <v>5375.73</v>
      </c>
      <c r="V371" s="230">
        <v>4843</v>
      </c>
    </row>
    <row r="372" spans="1:22" ht="22.5" customHeight="1">
      <c r="A372" s="109"/>
      <c r="B372" s="109"/>
      <c r="C372" s="179">
        <v>130</v>
      </c>
      <c r="D372" s="179"/>
      <c r="E372" s="180" t="s">
        <v>528</v>
      </c>
      <c r="F372" s="180" t="s">
        <v>524</v>
      </c>
      <c r="G372" s="180" t="s">
        <v>524</v>
      </c>
      <c r="H372" s="179" t="s">
        <v>1435</v>
      </c>
      <c r="I372" s="179" t="s">
        <v>1435</v>
      </c>
      <c r="J372" s="181">
        <v>1</v>
      </c>
      <c r="K372" s="179" t="str">
        <f t="shared" si="16"/>
        <v>DISTRIBUTOR</v>
      </c>
      <c r="L372" s="179" t="s">
        <v>37</v>
      </c>
      <c r="M372" s="181">
        <v>1</v>
      </c>
      <c r="N372" s="179" t="str">
        <f t="shared" si="20"/>
        <v>In Carton</v>
      </c>
      <c r="O372" s="179" t="str">
        <f t="shared" si="21"/>
        <v>Carton</v>
      </c>
      <c r="P372" s="181">
        <f t="shared" si="17"/>
        <v>1</v>
      </c>
      <c r="Q372" s="179" t="str">
        <f t="shared" si="18"/>
        <v>large</v>
      </c>
      <c r="R372" s="179">
        <v>1</v>
      </c>
      <c r="S372" s="182">
        <f>5780*24</f>
        <v>138720</v>
      </c>
      <c r="T372" s="183">
        <f t="shared" si="19"/>
        <v>124972.97297297296</v>
      </c>
      <c r="U372" s="230">
        <f t="shared" si="24"/>
        <v>129004.2</v>
      </c>
      <c r="V372" s="230">
        <v>116220</v>
      </c>
    </row>
    <row r="373" spans="1:22" ht="22.5" customHeight="1">
      <c r="A373" s="109"/>
      <c r="B373" s="109"/>
      <c r="C373" s="179">
        <v>130</v>
      </c>
      <c r="D373" s="179"/>
      <c r="E373" s="180" t="s">
        <v>528</v>
      </c>
      <c r="F373" s="180" t="s">
        <v>524</v>
      </c>
      <c r="G373" s="180" t="s">
        <v>524</v>
      </c>
      <c r="H373" s="179" t="s">
        <v>1435</v>
      </c>
      <c r="I373" s="179" t="s">
        <v>1435</v>
      </c>
      <c r="J373" s="181">
        <v>1</v>
      </c>
      <c r="K373" s="179" t="str">
        <f t="shared" si="16"/>
        <v>DISTRIBUTOR</v>
      </c>
      <c r="L373" s="179" t="s">
        <v>37</v>
      </c>
      <c r="M373" s="181">
        <v>11</v>
      </c>
      <c r="N373" s="179" t="str">
        <f t="shared" si="20"/>
        <v>In Pcs</v>
      </c>
      <c r="O373" s="179" t="str">
        <f t="shared" si="21"/>
        <v>Botol</v>
      </c>
      <c r="P373" s="181">
        <f t="shared" si="17"/>
        <v>4</v>
      </c>
      <c r="Q373" s="179" t="str">
        <f t="shared" si="18"/>
        <v>small</v>
      </c>
      <c r="R373" s="179">
        <v>24</v>
      </c>
      <c r="S373" s="182">
        <f>S372/24</f>
        <v>5780</v>
      </c>
      <c r="T373" s="183">
        <f t="shared" si="19"/>
        <v>5207.2072072072069</v>
      </c>
      <c r="U373" s="230">
        <f t="shared" si="24"/>
        <v>5375.73</v>
      </c>
      <c r="V373" s="230">
        <v>4843</v>
      </c>
    </row>
    <row r="374" spans="1:22" ht="22.5" customHeight="1">
      <c r="A374" s="109"/>
      <c r="B374" s="109"/>
      <c r="C374" s="179">
        <v>131</v>
      </c>
      <c r="D374" s="179"/>
      <c r="E374" s="180" t="s">
        <v>530</v>
      </c>
      <c r="F374" s="180" t="s">
        <v>524</v>
      </c>
      <c r="G374" s="180" t="s">
        <v>524</v>
      </c>
      <c r="H374" s="179" t="s">
        <v>1435</v>
      </c>
      <c r="I374" s="179" t="s">
        <v>1435</v>
      </c>
      <c r="J374" s="181">
        <v>1</v>
      </c>
      <c r="K374" s="179" t="str">
        <f t="shared" si="16"/>
        <v>DISTRIBUTOR</v>
      </c>
      <c r="L374" s="179" t="s">
        <v>37</v>
      </c>
      <c r="M374" s="181">
        <v>1</v>
      </c>
      <c r="N374" s="179" t="str">
        <f t="shared" si="20"/>
        <v>In Carton</v>
      </c>
      <c r="O374" s="179" t="str">
        <f t="shared" si="21"/>
        <v>Carton</v>
      </c>
      <c r="P374" s="181">
        <f t="shared" si="17"/>
        <v>1</v>
      </c>
      <c r="Q374" s="179" t="str">
        <f t="shared" si="18"/>
        <v>large</v>
      </c>
      <c r="R374" s="179">
        <v>1</v>
      </c>
      <c r="S374" s="182">
        <f>7602*24</f>
        <v>182448</v>
      </c>
      <c r="T374" s="183">
        <f t="shared" si="19"/>
        <v>164367.56756756754</v>
      </c>
      <c r="U374" s="230">
        <f t="shared" si="24"/>
        <v>169660.17</v>
      </c>
      <c r="V374" s="230">
        <v>152847</v>
      </c>
    </row>
    <row r="375" spans="1:22" ht="22.5" customHeight="1">
      <c r="A375" s="109"/>
      <c r="B375" s="109"/>
      <c r="C375" s="179">
        <v>131</v>
      </c>
      <c r="D375" s="179"/>
      <c r="E375" s="180" t="s">
        <v>530</v>
      </c>
      <c r="F375" s="180" t="s">
        <v>524</v>
      </c>
      <c r="G375" s="180" t="s">
        <v>524</v>
      </c>
      <c r="H375" s="179" t="s">
        <v>1435</v>
      </c>
      <c r="I375" s="179" t="s">
        <v>1435</v>
      </c>
      <c r="J375" s="181">
        <v>1</v>
      </c>
      <c r="K375" s="179" t="str">
        <f t="shared" si="16"/>
        <v>DISTRIBUTOR</v>
      </c>
      <c r="L375" s="179" t="s">
        <v>37</v>
      </c>
      <c r="M375" s="181">
        <v>11</v>
      </c>
      <c r="N375" s="179" t="str">
        <f t="shared" si="20"/>
        <v>In Pcs</v>
      </c>
      <c r="O375" s="179" t="str">
        <f t="shared" si="21"/>
        <v>Botol</v>
      </c>
      <c r="P375" s="181">
        <f t="shared" si="17"/>
        <v>4</v>
      </c>
      <c r="Q375" s="179" t="str">
        <f t="shared" si="18"/>
        <v>small</v>
      </c>
      <c r="R375" s="179">
        <v>24</v>
      </c>
      <c r="S375" s="182">
        <f>S374/24</f>
        <v>7602</v>
      </c>
      <c r="T375" s="183">
        <f t="shared" si="19"/>
        <v>6848.6486486486483</v>
      </c>
      <c r="U375" s="230">
        <f t="shared" si="24"/>
        <v>7068.48</v>
      </c>
      <c r="V375" s="230">
        <v>6368</v>
      </c>
    </row>
    <row r="376" spans="1:22" ht="22.5" customHeight="1">
      <c r="A376" s="109"/>
      <c r="B376" s="109"/>
      <c r="C376" s="179">
        <v>132</v>
      </c>
      <c r="D376" s="179"/>
      <c r="E376" s="180" t="s">
        <v>534</v>
      </c>
      <c r="F376" s="180" t="s">
        <v>524</v>
      </c>
      <c r="G376" s="180" t="s">
        <v>524</v>
      </c>
      <c r="H376" s="179" t="s">
        <v>1435</v>
      </c>
      <c r="I376" s="179" t="s">
        <v>1435</v>
      </c>
      <c r="J376" s="181">
        <v>1</v>
      </c>
      <c r="K376" s="179" t="str">
        <f t="shared" si="16"/>
        <v>DISTRIBUTOR</v>
      </c>
      <c r="L376" s="179" t="s">
        <v>37</v>
      </c>
      <c r="M376" s="181">
        <v>1</v>
      </c>
      <c r="N376" s="179" t="str">
        <f t="shared" si="20"/>
        <v>In Carton</v>
      </c>
      <c r="O376" s="179" t="str">
        <f t="shared" si="21"/>
        <v>Carton</v>
      </c>
      <c r="P376" s="181">
        <f t="shared" si="17"/>
        <v>1</v>
      </c>
      <c r="Q376" s="179" t="str">
        <f t="shared" si="18"/>
        <v>large</v>
      </c>
      <c r="R376" s="179">
        <v>1</v>
      </c>
      <c r="S376" s="182">
        <f>5742*24</f>
        <v>137808</v>
      </c>
      <c r="T376" s="183">
        <f t="shared" si="19"/>
        <v>124151.35135135135</v>
      </c>
      <c r="U376" s="230">
        <f t="shared" si="24"/>
        <v>128161.71</v>
      </c>
      <c r="V376" s="230">
        <v>115461</v>
      </c>
    </row>
    <row r="377" spans="1:22" ht="22.5" customHeight="1">
      <c r="A377" s="109"/>
      <c r="B377" s="109"/>
      <c r="C377" s="179">
        <v>132</v>
      </c>
      <c r="D377" s="179"/>
      <c r="E377" s="180" t="s">
        <v>534</v>
      </c>
      <c r="F377" s="180" t="s">
        <v>524</v>
      </c>
      <c r="G377" s="180" t="s">
        <v>524</v>
      </c>
      <c r="H377" s="179" t="s">
        <v>1435</v>
      </c>
      <c r="I377" s="179" t="s">
        <v>1435</v>
      </c>
      <c r="J377" s="181">
        <v>1</v>
      </c>
      <c r="K377" s="179" t="str">
        <f t="shared" si="16"/>
        <v>DISTRIBUTOR</v>
      </c>
      <c r="L377" s="179" t="s">
        <v>37</v>
      </c>
      <c r="M377" s="181">
        <v>11</v>
      </c>
      <c r="N377" s="179" t="str">
        <f t="shared" si="20"/>
        <v>In Pcs</v>
      </c>
      <c r="O377" s="179" t="str">
        <f t="shared" si="21"/>
        <v>Botol</v>
      </c>
      <c r="P377" s="181">
        <f t="shared" si="17"/>
        <v>4</v>
      </c>
      <c r="Q377" s="179" t="str">
        <f t="shared" si="18"/>
        <v>small</v>
      </c>
      <c r="R377" s="179">
        <v>24</v>
      </c>
      <c r="S377" s="182">
        <f>S376/24</f>
        <v>5742</v>
      </c>
      <c r="T377" s="183">
        <f t="shared" si="19"/>
        <v>5172.9729729729725</v>
      </c>
      <c r="U377" s="230">
        <f t="shared" si="24"/>
        <v>5339.1</v>
      </c>
      <c r="V377" s="230">
        <v>4810</v>
      </c>
    </row>
    <row r="378" spans="1:22" ht="22.5" customHeight="1">
      <c r="A378" s="109"/>
      <c r="B378" s="109"/>
      <c r="C378" s="179">
        <v>133</v>
      </c>
      <c r="D378" s="179"/>
      <c r="E378" s="180" t="s">
        <v>536</v>
      </c>
      <c r="F378" s="180" t="s">
        <v>524</v>
      </c>
      <c r="G378" s="180" t="s">
        <v>524</v>
      </c>
      <c r="H378" s="179" t="s">
        <v>1435</v>
      </c>
      <c r="I378" s="179" t="s">
        <v>1435</v>
      </c>
      <c r="J378" s="181">
        <v>1</v>
      </c>
      <c r="K378" s="179" t="str">
        <f t="shared" si="16"/>
        <v>DISTRIBUTOR</v>
      </c>
      <c r="L378" s="179" t="s">
        <v>37</v>
      </c>
      <c r="M378" s="181">
        <v>1</v>
      </c>
      <c r="N378" s="179" t="str">
        <f t="shared" si="20"/>
        <v>In Carton</v>
      </c>
      <c r="O378" s="179" t="str">
        <f t="shared" si="21"/>
        <v>Carton</v>
      </c>
      <c r="P378" s="181">
        <f t="shared" si="17"/>
        <v>1</v>
      </c>
      <c r="Q378" s="179" t="str">
        <f t="shared" si="18"/>
        <v>large</v>
      </c>
      <c r="R378" s="179">
        <v>1</v>
      </c>
      <c r="S378" s="182">
        <f>5742*24</f>
        <v>137808</v>
      </c>
      <c r="T378" s="183">
        <f t="shared" si="19"/>
        <v>124151.35135135135</v>
      </c>
      <c r="U378" s="230">
        <f t="shared" si="24"/>
        <v>128161.71</v>
      </c>
      <c r="V378" s="230">
        <v>115461</v>
      </c>
    </row>
    <row r="379" spans="1:22" ht="22.5" customHeight="1">
      <c r="A379" s="109"/>
      <c r="B379" s="109"/>
      <c r="C379" s="179">
        <v>133</v>
      </c>
      <c r="D379" s="179"/>
      <c r="E379" s="180" t="s">
        <v>536</v>
      </c>
      <c r="F379" s="180" t="s">
        <v>524</v>
      </c>
      <c r="G379" s="180" t="s">
        <v>524</v>
      </c>
      <c r="H379" s="179" t="s">
        <v>1435</v>
      </c>
      <c r="I379" s="179" t="s">
        <v>1435</v>
      </c>
      <c r="J379" s="181">
        <v>1</v>
      </c>
      <c r="K379" s="179" t="str">
        <f t="shared" si="16"/>
        <v>DISTRIBUTOR</v>
      </c>
      <c r="L379" s="179" t="s">
        <v>37</v>
      </c>
      <c r="M379" s="181">
        <v>11</v>
      </c>
      <c r="N379" s="179" t="str">
        <f t="shared" si="20"/>
        <v>In Pcs</v>
      </c>
      <c r="O379" s="179" t="str">
        <f t="shared" si="21"/>
        <v>Botol</v>
      </c>
      <c r="P379" s="181">
        <f t="shared" si="17"/>
        <v>4</v>
      </c>
      <c r="Q379" s="179" t="str">
        <f t="shared" si="18"/>
        <v>small</v>
      </c>
      <c r="R379" s="179">
        <v>24</v>
      </c>
      <c r="S379" s="182">
        <f>S378/24</f>
        <v>5742</v>
      </c>
      <c r="T379" s="183">
        <f t="shared" si="19"/>
        <v>5172.9729729729725</v>
      </c>
      <c r="U379" s="230">
        <f t="shared" si="24"/>
        <v>5339.1</v>
      </c>
      <c r="V379" s="230">
        <v>4810</v>
      </c>
    </row>
    <row r="380" spans="1:22" ht="22.5" customHeight="1">
      <c r="A380" s="109"/>
      <c r="B380" s="109"/>
      <c r="C380" s="179">
        <v>134</v>
      </c>
      <c r="D380" s="179"/>
      <c r="E380" s="180" t="s">
        <v>538</v>
      </c>
      <c r="F380" s="180" t="s">
        <v>524</v>
      </c>
      <c r="G380" s="180" t="s">
        <v>524</v>
      </c>
      <c r="H380" s="179" t="s">
        <v>1435</v>
      </c>
      <c r="I380" s="179" t="s">
        <v>1435</v>
      </c>
      <c r="J380" s="181">
        <v>1</v>
      </c>
      <c r="K380" s="179" t="str">
        <f t="shared" si="16"/>
        <v>DISTRIBUTOR</v>
      </c>
      <c r="L380" s="179" t="s">
        <v>37</v>
      </c>
      <c r="M380" s="181">
        <v>1</v>
      </c>
      <c r="N380" s="179" t="str">
        <f t="shared" si="20"/>
        <v>In Carton</v>
      </c>
      <c r="O380" s="179" t="str">
        <f t="shared" si="21"/>
        <v>Carton</v>
      </c>
      <c r="P380" s="181">
        <f t="shared" si="17"/>
        <v>1</v>
      </c>
      <c r="Q380" s="179" t="str">
        <f t="shared" si="18"/>
        <v>large</v>
      </c>
      <c r="R380" s="179">
        <v>1</v>
      </c>
      <c r="S380" s="182">
        <f>5742*24</f>
        <v>137808</v>
      </c>
      <c r="T380" s="183">
        <f t="shared" si="19"/>
        <v>124151.35135135135</v>
      </c>
      <c r="U380" s="230">
        <f t="shared" si="24"/>
        <v>128161.71</v>
      </c>
      <c r="V380" s="230">
        <v>115461</v>
      </c>
    </row>
    <row r="381" spans="1:22" ht="22.5" customHeight="1">
      <c r="A381" s="109"/>
      <c r="B381" s="109"/>
      <c r="C381" s="179">
        <v>134</v>
      </c>
      <c r="D381" s="179"/>
      <c r="E381" s="180" t="s">
        <v>538</v>
      </c>
      <c r="F381" s="180" t="s">
        <v>524</v>
      </c>
      <c r="G381" s="180" t="s">
        <v>524</v>
      </c>
      <c r="H381" s="179" t="s">
        <v>1435</v>
      </c>
      <c r="I381" s="179" t="s">
        <v>1435</v>
      </c>
      <c r="J381" s="181">
        <v>1</v>
      </c>
      <c r="K381" s="179" t="str">
        <f t="shared" si="16"/>
        <v>DISTRIBUTOR</v>
      </c>
      <c r="L381" s="179" t="s">
        <v>37</v>
      </c>
      <c r="M381" s="181">
        <v>11</v>
      </c>
      <c r="N381" s="179" t="str">
        <f t="shared" si="20"/>
        <v>In Pcs</v>
      </c>
      <c r="O381" s="179" t="str">
        <f t="shared" si="21"/>
        <v>Botol</v>
      </c>
      <c r="P381" s="181">
        <f t="shared" si="17"/>
        <v>4</v>
      </c>
      <c r="Q381" s="179" t="str">
        <f t="shared" si="18"/>
        <v>small</v>
      </c>
      <c r="R381" s="179">
        <v>24</v>
      </c>
      <c r="S381" s="182">
        <f>S380/24</f>
        <v>5742</v>
      </c>
      <c r="T381" s="183">
        <f t="shared" si="19"/>
        <v>5172.9729729729725</v>
      </c>
      <c r="U381" s="230">
        <f t="shared" si="24"/>
        <v>5339.1</v>
      </c>
      <c r="V381" s="230">
        <v>4810</v>
      </c>
    </row>
    <row r="382" spans="1:22" ht="22.5" customHeight="1">
      <c r="A382" s="109"/>
      <c r="B382" s="109"/>
      <c r="C382" s="179">
        <v>135</v>
      </c>
      <c r="D382" s="179"/>
      <c r="E382" s="180" t="s">
        <v>540</v>
      </c>
      <c r="F382" s="180" t="s">
        <v>524</v>
      </c>
      <c r="G382" s="180" t="s">
        <v>524</v>
      </c>
      <c r="H382" s="179" t="s">
        <v>1435</v>
      </c>
      <c r="I382" s="179" t="s">
        <v>1435</v>
      </c>
      <c r="J382" s="181">
        <v>1</v>
      </c>
      <c r="K382" s="179" t="str">
        <f t="shared" si="16"/>
        <v>DISTRIBUTOR</v>
      </c>
      <c r="L382" s="179" t="s">
        <v>37</v>
      </c>
      <c r="M382" s="181">
        <v>1</v>
      </c>
      <c r="N382" s="179" t="str">
        <f t="shared" si="20"/>
        <v>In Carton</v>
      </c>
      <c r="O382" s="179" t="str">
        <f t="shared" si="21"/>
        <v>Carton</v>
      </c>
      <c r="P382" s="181">
        <f t="shared" si="17"/>
        <v>1</v>
      </c>
      <c r="Q382" s="179" t="str">
        <f t="shared" si="18"/>
        <v>large</v>
      </c>
      <c r="R382" s="179">
        <v>1</v>
      </c>
      <c r="S382" s="182">
        <f>5742*24</f>
        <v>137808</v>
      </c>
      <c r="T382" s="183">
        <f t="shared" si="19"/>
        <v>124151.35135135135</v>
      </c>
      <c r="U382" s="230">
        <f t="shared" si="24"/>
        <v>128161.71</v>
      </c>
      <c r="V382" s="230">
        <v>115461</v>
      </c>
    </row>
    <row r="383" spans="1:22" ht="22.5" customHeight="1">
      <c r="A383" s="109"/>
      <c r="B383" s="109"/>
      <c r="C383" s="179">
        <v>135</v>
      </c>
      <c r="D383" s="179"/>
      <c r="E383" s="180" t="s">
        <v>540</v>
      </c>
      <c r="F383" s="180" t="s">
        <v>524</v>
      </c>
      <c r="G383" s="180" t="s">
        <v>524</v>
      </c>
      <c r="H383" s="179" t="s">
        <v>1435</v>
      </c>
      <c r="I383" s="179" t="s">
        <v>1435</v>
      </c>
      <c r="J383" s="181">
        <v>1</v>
      </c>
      <c r="K383" s="179" t="str">
        <f t="shared" si="16"/>
        <v>DISTRIBUTOR</v>
      </c>
      <c r="L383" s="179" t="s">
        <v>37</v>
      </c>
      <c r="M383" s="181">
        <v>11</v>
      </c>
      <c r="N383" s="179" t="str">
        <f t="shared" si="20"/>
        <v>In Pcs</v>
      </c>
      <c r="O383" s="179" t="str">
        <f t="shared" si="21"/>
        <v>Botol</v>
      </c>
      <c r="P383" s="181">
        <f t="shared" si="17"/>
        <v>4</v>
      </c>
      <c r="Q383" s="179" t="str">
        <f t="shared" si="18"/>
        <v>small</v>
      </c>
      <c r="R383" s="179">
        <v>24</v>
      </c>
      <c r="S383" s="182">
        <f>S382/24</f>
        <v>5742</v>
      </c>
      <c r="T383" s="183">
        <f t="shared" si="19"/>
        <v>5172.9729729729725</v>
      </c>
      <c r="U383" s="230">
        <f t="shared" si="24"/>
        <v>5339.1</v>
      </c>
      <c r="V383" s="230">
        <v>4810</v>
      </c>
    </row>
    <row r="384" spans="1:22" ht="22.5" customHeight="1">
      <c r="A384" s="109"/>
      <c r="B384" s="109"/>
      <c r="C384" s="179">
        <v>136</v>
      </c>
      <c r="D384" s="179"/>
      <c r="E384" s="180" t="s">
        <v>542</v>
      </c>
      <c r="F384" s="180" t="s">
        <v>524</v>
      </c>
      <c r="G384" s="180" t="s">
        <v>524</v>
      </c>
      <c r="H384" s="179" t="s">
        <v>1435</v>
      </c>
      <c r="I384" s="179" t="s">
        <v>1435</v>
      </c>
      <c r="J384" s="181">
        <v>1</v>
      </c>
      <c r="K384" s="179" t="str">
        <f t="shared" si="16"/>
        <v>DISTRIBUTOR</v>
      </c>
      <c r="L384" s="179" t="s">
        <v>37</v>
      </c>
      <c r="M384" s="181">
        <v>1</v>
      </c>
      <c r="N384" s="179" t="str">
        <f t="shared" si="20"/>
        <v>In Carton</v>
      </c>
      <c r="O384" s="179" t="str">
        <f t="shared" si="21"/>
        <v>Carton</v>
      </c>
      <c r="P384" s="181">
        <f t="shared" si="17"/>
        <v>1</v>
      </c>
      <c r="Q384" s="179" t="str">
        <f t="shared" si="18"/>
        <v>large</v>
      </c>
      <c r="R384" s="179">
        <v>1</v>
      </c>
      <c r="S384" s="182">
        <f>7602*24</f>
        <v>182448</v>
      </c>
      <c r="T384" s="183">
        <f t="shared" si="19"/>
        <v>164367.56756756754</v>
      </c>
      <c r="U384" s="230">
        <f t="shared" si="24"/>
        <v>169660.17</v>
      </c>
      <c r="V384" s="230">
        <v>152847</v>
      </c>
    </row>
    <row r="385" spans="1:22" ht="22.5" customHeight="1">
      <c r="A385" s="109"/>
      <c r="B385" s="109"/>
      <c r="C385" s="179">
        <v>136</v>
      </c>
      <c r="D385" s="179"/>
      <c r="E385" s="180" t="s">
        <v>542</v>
      </c>
      <c r="F385" s="180" t="s">
        <v>524</v>
      </c>
      <c r="G385" s="180" t="s">
        <v>524</v>
      </c>
      <c r="H385" s="179" t="s">
        <v>1435</v>
      </c>
      <c r="I385" s="179" t="s">
        <v>1435</v>
      </c>
      <c r="J385" s="181">
        <v>1</v>
      </c>
      <c r="K385" s="179" t="str">
        <f t="shared" si="16"/>
        <v>DISTRIBUTOR</v>
      </c>
      <c r="L385" s="179" t="s">
        <v>37</v>
      </c>
      <c r="M385" s="181">
        <v>11</v>
      </c>
      <c r="N385" s="179" t="str">
        <f t="shared" si="20"/>
        <v>In Pcs</v>
      </c>
      <c r="O385" s="179" t="str">
        <f t="shared" si="21"/>
        <v>Botol</v>
      </c>
      <c r="P385" s="181">
        <f t="shared" si="17"/>
        <v>4</v>
      </c>
      <c r="Q385" s="179" t="str">
        <f t="shared" si="18"/>
        <v>small</v>
      </c>
      <c r="R385" s="179">
        <v>24</v>
      </c>
      <c r="S385" s="182">
        <f>S384/24</f>
        <v>7602</v>
      </c>
      <c r="T385" s="183">
        <f t="shared" si="19"/>
        <v>6848.6486486486483</v>
      </c>
      <c r="U385" s="230">
        <f t="shared" si="24"/>
        <v>7068.48</v>
      </c>
      <c r="V385" s="230">
        <v>6368</v>
      </c>
    </row>
    <row r="386" spans="1:22" ht="22.5" customHeight="1">
      <c r="A386" s="109"/>
      <c r="B386" s="109"/>
      <c r="C386" s="179">
        <v>137</v>
      </c>
      <c r="D386" s="179"/>
      <c r="E386" s="180" t="s">
        <v>544</v>
      </c>
      <c r="F386" s="180" t="s">
        <v>524</v>
      </c>
      <c r="G386" s="180" t="s">
        <v>524</v>
      </c>
      <c r="H386" s="179" t="s">
        <v>1435</v>
      </c>
      <c r="I386" s="179" t="s">
        <v>1435</v>
      </c>
      <c r="J386" s="181">
        <v>1</v>
      </c>
      <c r="K386" s="179" t="str">
        <f t="shared" si="16"/>
        <v>DISTRIBUTOR</v>
      </c>
      <c r="L386" s="179" t="s">
        <v>37</v>
      </c>
      <c r="M386" s="181">
        <v>1</v>
      </c>
      <c r="N386" s="179" t="str">
        <f t="shared" si="20"/>
        <v>In Carton</v>
      </c>
      <c r="O386" s="179" t="str">
        <f t="shared" si="21"/>
        <v>Carton</v>
      </c>
      <c r="P386" s="181">
        <f t="shared" si="17"/>
        <v>1</v>
      </c>
      <c r="Q386" s="179" t="str">
        <f t="shared" si="18"/>
        <v>large</v>
      </c>
      <c r="R386" s="179">
        <v>1</v>
      </c>
      <c r="S386" s="182">
        <f>7602*24</f>
        <v>182448</v>
      </c>
      <c r="T386" s="183">
        <f t="shared" si="19"/>
        <v>164367.56756756754</v>
      </c>
      <c r="U386" s="230">
        <f t="shared" si="24"/>
        <v>169660.17</v>
      </c>
      <c r="V386" s="230">
        <v>152847</v>
      </c>
    </row>
    <row r="387" spans="1:22" ht="22.5" customHeight="1">
      <c r="A387" s="109"/>
      <c r="B387" s="109"/>
      <c r="C387" s="179">
        <v>137</v>
      </c>
      <c r="D387" s="179"/>
      <c r="E387" s="180" t="s">
        <v>544</v>
      </c>
      <c r="F387" s="180" t="s">
        <v>524</v>
      </c>
      <c r="G387" s="180" t="s">
        <v>524</v>
      </c>
      <c r="H387" s="179" t="s">
        <v>1435</v>
      </c>
      <c r="I387" s="179" t="s">
        <v>1435</v>
      </c>
      <c r="J387" s="181">
        <v>1</v>
      </c>
      <c r="K387" s="179" t="str">
        <f t="shared" si="16"/>
        <v>DISTRIBUTOR</v>
      </c>
      <c r="L387" s="179" t="s">
        <v>37</v>
      </c>
      <c r="M387" s="181">
        <v>11</v>
      </c>
      <c r="N387" s="179" t="str">
        <f t="shared" si="20"/>
        <v>In Pcs</v>
      </c>
      <c r="O387" s="179" t="str">
        <f t="shared" si="21"/>
        <v>Botol</v>
      </c>
      <c r="P387" s="181">
        <f t="shared" si="17"/>
        <v>4</v>
      </c>
      <c r="Q387" s="179" t="str">
        <f t="shared" si="18"/>
        <v>small</v>
      </c>
      <c r="R387" s="179">
        <v>24</v>
      </c>
      <c r="S387" s="182">
        <f>S386/24</f>
        <v>7602</v>
      </c>
      <c r="T387" s="183">
        <f t="shared" si="19"/>
        <v>6848.6486486486483</v>
      </c>
      <c r="U387" s="230">
        <f t="shared" si="24"/>
        <v>7068.48</v>
      </c>
      <c r="V387" s="230">
        <v>6368</v>
      </c>
    </row>
    <row r="388" spans="1:22" ht="22.5" customHeight="1">
      <c r="A388" s="109"/>
      <c r="B388" s="109"/>
      <c r="C388" s="184">
        <v>138</v>
      </c>
      <c r="D388" s="184"/>
      <c r="E388" s="185" t="s">
        <v>739</v>
      </c>
      <c r="F388" s="185" t="s">
        <v>1354</v>
      </c>
      <c r="G388" s="185" t="s">
        <v>1354</v>
      </c>
      <c r="H388" s="184" t="s">
        <v>1437</v>
      </c>
      <c r="I388" s="184" t="s">
        <v>1437</v>
      </c>
      <c r="J388" s="186">
        <v>1</v>
      </c>
      <c r="K388" s="184" t="str">
        <f t="shared" si="16"/>
        <v>DISTRIBUTOR</v>
      </c>
      <c r="L388" s="184" t="s">
        <v>37</v>
      </c>
      <c r="M388" s="186">
        <v>1</v>
      </c>
      <c r="N388" s="184" t="str">
        <f t="shared" si="20"/>
        <v>In Carton</v>
      </c>
      <c r="O388" s="184" t="str">
        <f t="shared" si="21"/>
        <v>Carton</v>
      </c>
      <c r="P388" s="186">
        <f t="shared" si="17"/>
        <v>1</v>
      </c>
      <c r="Q388" s="184" t="str">
        <f t="shared" si="18"/>
        <v>large</v>
      </c>
      <c r="R388" s="184">
        <v>1</v>
      </c>
      <c r="S388" s="187">
        <f>19000*5</f>
        <v>95000</v>
      </c>
      <c r="T388" s="188">
        <f t="shared" si="19"/>
        <v>85585.585585585577</v>
      </c>
      <c r="U388" s="231">
        <f t="shared" si="24"/>
        <v>83789.460000000006</v>
      </c>
      <c r="V388" s="231">
        <v>75486</v>
      </c>
    </row>
    <row r="389" spans="1:22" ht="22.5" customHeight="1">
      <c r="A389" s="109"/>
      <c r="B389" s="109"/>
      <c r="C389" s="184">
        <v>138</v>
      </c>
      <c r="D389" s="184"/>
      <c r="E389" s="185" t="s">
        <v>739</v>
      </c>
      <c r="F389" s="185" t="s">
        <v>1354</v>
      </c>
      <c r="G389" s="185" t="s">
        <v>1354</v>
      </c>
      <c r="H389" s="184" t="s">
        <v>1437</v>
      </c>
      <c r="I389" s="184" t="s">
        <v>1437</v>
      </c>
      <c r="J389" s="186">
        <v>1</v>
      </c>
      <c r="K389" s="184" t="str">
        <f t="shared" si="16"/>
        <v>DISTRIBUTOR</v>
      </c>
      <c r="L389" s="184" t="s">
        <v>37</v>
      </c>
      <c r="M389" s="186">
        <v>4</v>
      </c>
      <c r="N389" s="184" t="str">
        <f t="shared" si="20"/>
        <v>In Pack</v>
      </c>
      <c r="O389" s="184" t="str">
        <f t="shared" si="21"/>
        <v>Box</v>
      </c>
      <c r="P389" s="186">
        <f t="shared" si="17"/>
        <v>2</v>
      </c>
      <c r="Q389" s="184">
        <f t="shared" si="18"/>
        <v>0</v>
      </c>
      <c r="R389" s="184">
        <v>5</v>
      </c>
      <c r="S389" s="187">
        <f>S388/5</f>
        <v>19000</v>
      </c>
      <c r="T389" s="188">
        <f t="shared" si="19"/>
        <v>17117.117117117115</v>
      </c>
      <c r="U389" s="231">
        <f t="shared" si="24"/>
        <v>16757.669999999998</v>
      </c>
      <c r="V389" s="231">
        <v>15097</v>
      </c>
    </row>
    <row r="390" spans="1:22" ht="22.5" customHeight="1">
      <c r="A390" s="109"/>
      <c r="B390" s="109"/>
      <c r="C390" s="184">
        <v>138</v>
      </c>
      <c r="D390" s="184"/>
      <c r="E390" s="185" t="s">
        <v>739</v>
      </c>
      <c r="F390" s="185" t="s">
        <v>1354</v>
      </c>
      <c r="G390" s="185" t="s">
        <v>1354</v>
      </c>
      <c r="H390" s="184" t="s">
        <v>1437</v>
      </c>
      <c r="I390" s="184" t="s">
        <v>1437</v>
      </c>
      <c r="J390" s="186">
        <v>1</v>
      </c>
      <c r="K390" s="184" t="str">
        <f t="shared" si="16"/>
        <v>DISTRIBUTOR</v>
      </c>
      <c r="L390" s="184" t="s">
        <v>37</v>
      </c>
      <c r="M390" s="186">
        <v>9</v>
      </c>
      <c r="N390" s="184" t="str">
        <f t="shared" si="20"/>
        <v>In Pcs</v>
      </c>
      <c r="O390" s="184" t="str">
        <f t="shared" si="21"/>
        <v>Pcs</v>
      </c>
      <c r="P390" s="186">
        <f t="shared" si="17"/>
        <v>4</v>
      </c>
      <c r="Q390" s="184" t="str">
        <f t="shared" si="18"/>
        <v>small</v>
      </c>
      <c r="R390" s="184">
        <v>60</v>
      </c>
      <c r="S390" s="187">
        <f>S389/12</f>
        <v>1583.3333333333333</v>
      </c>
      <c r="T390" s="188">
        <f t="shared" si="19"/>
        <v>1426.4264264264261</v>
      </c>
      <c r="U390" s="231">
        <f t="shared" si="24"/>
        <v>1396.38</v>
      </c>
      <c r="V390" s="231">
        <v>1258</v>
      </c>
    </row>
    <row r="391" spans="1:22" ht="22.5" customHeight="1">
      <c r="A391" s="109"/>
      <c r="B391" s="109"/>
      <c r="C391" s="184">
        <v>139</v>
      </c>
      <c r="D391" s="184"/>
      <c r="E391" s="185" t="s">
        <v>741</v>
      </c>
      <c r="F391" s="185" t="s">
        <v>1354</v>
      </c>
      <c r="G391" s="185" t="s">
        <v>1354</v>
      </c>
      <c r="H391" s="184" t="s">
        <v>1437</v>
      </c>
      <c r="I391" s="184" t="s">
        <v>1437</v>
      </c>
      <c r="J391" s="186">
        <v>1</v>
      </c>
      <c r="K391" s="184" t="str">
        <f t="shared" ref="K391:K466" si="25">IFERROR(VLOOKUP($J391,$J$10:$K$13,2,0),"")</f>
        <v>DISTRIBUTOR</v>
      </c>
      <c r="L391" s="184" t="s">
        <v>37</v>
      </c>
      <c r="M391" s="186">
        <v>1</v>
      </c>
      <c r="N391" s="184" t="str">
        <f t="shared" si="20"/>
        <v>In Carton</v>
      </c>
      <c r="O391" s="184" t="str">
        <f t="shared" si="21"/>
        <v>Carton</v>
      </c>
      <c r="P391" s="186">
        <f t="shared" si="17"/>
        <v>1</v>
      </c>
      <c r="Q391" s="184" t="str">
        <f t="shared" si="18"/>
        <v>large</v>
      </c>
      <c r="R391" s="184">
        <v>1</v>
      </c>
      <c r="S391" s="187">
        <f>19000*5</f>
        <v>95000</v>
      </c>
      <c r="T391" s="188">
        <f t="shared" si="19"/>
        <v>85585.585585585577</v>
      </c>
      <c r="U391" s="231">
        <f t="shared" si="24"/>
        <v>83789.460000000006</v>
      </c>
      <c r="V391" s="231">
        <v>75486</v>
      </c>
    </row>
    <row r="392" spans="1:22" ht="22.5" customHeight="1">
      <c r="A392" s="109"/>
      <c r="B392" s="109"/>
      <c r="C392" s="184">
        <v>139</v>
      </c>
      <c r="D392" s="184"/>
      <c r="E392" s="185" t="s">
        <v>741</v>
      </c>
      <c r="F392" s="185" t="s">
        <v>1354</v>
      </c>
      <c r="G392" s="185" t="s">
        <v>1354</v>
      </c>
      <c r="H392" s="184" t="s">
        <v>1437</v>
      </c>
      <c r="I392" s="184" t="s">
        <v>1437</v>
      </c>
      <c r="J392" s="186">
        <v>1</v>
      </c>
      <c r="K392" s="184" t="str">
        <f t="shared" si="25"/>
        <v>DISTRIBUTOR</v>
      </c>
      <c r="L392" s="184" t="s">
        <v>37</v>
      </c>
      <c r="M392" s="186">
        <v>4</v>
      </c>
      <c r="N392" s="184" t="str">
        <f t="shared" si="20"/>
        <v>In Pack</v>
      </c>
      <c r="O392" s="184" t="str">
        <f t="shared" si="21"/>
        <v>Box</v>
      </c>
      <c r="P392" s="186">
        <f t="shared" si="17"/>
        <v>2</v>
      </c>
      <c r="Q392" s="184">
        <f t="shared" si="18"/>
        <v>0</v>
      </c>
      <c r="R392" s="184">
        <v>5</v>
      </c>
      <c r="S392" s="187">
        <f>S391/5</f>
        <v>19000</v>
      </c>
      <c r="T392" s="188">
        <f t="shared" si="19"/>
        <v>17117.117117117115</v>
      </c>
      <c r="U392" s="231">
        <f t="shared" si="24"/>
        <v>16757.669999999998</v>
      </c>
      <c r="V392" s="231">
        <v>15097</v>
      </c>
    </row>
    <row r="393" spans="1:22" ht="22.5" customHeight="1">
      <c r="A393" s="109"/>
      <c r="B393" s="109"/>
      <c r="C393" s="184">
        <v>139</v>
      </c>
      <c r="D393" s="184"/>
      <c r="E393" s="185" t="s">
        <v>741</v>
      </c>
      <c r="F393" s="185" t="s">
        <v>1354</v>
      </c>
      <c r="G393" s="185" t="s">
        <v>1354</v>
      </c>
      <c r="H393" s="184" t="s">
        <v>1437</v>
      </c>
      <c r="I393" s="184" t="s">
        <v>1437</v>
      </c>
      <c r="J393" s="186">
        <v>1</v>
      </c>
      <c r="K393" s="184" t="str">
        <f t="shared" si="25"/>
        <v>DISTRIBUTOR</v>
      </c>
      <c r="L393" s="184" t="s">
        <v>37</v>
      </c>
      <c r="M393" s="186">
        <v>9</v>
      </c>
      <c r="N393" s="184" t="str">
        <f t="shared" si="20"/>
        <v>In Pcs</v>
      </c>
      <c r="O393" s="184" t="str">
        <f t="shared" si="21"/>
        <v>Pcs</v>
      </c>
      <c r="P393" s="186">
        <f t="shared" si="17"/>
        <v>4</v>
      </c>
      <c r="Q393" s="184" t="str">
        <f t="shared" si="18"/>
        <v>small</v>
      </c>
      <c r="R393" s="184">
        <v>60</v>
      </c>
      <c r="S393" s="187">
        <f>S392/12</f>
        <v>1583.3333333333333</v>
      </c>
      <c r="T393" s="188">
        <f t="shared" si="19"/>
        <v>1426.4264264264261</v>
      </c>
      <c r="U393" s="231">
        <f t="shared" si="24"/>
        <v>1396.38</v>
      </c>
      <c r="V393" s="231">
        <v>1258</v>
      </c>
    </row>
    <row r="394" spans="1:22" ht="22.5" customHeight="1">
      <c r="A394" s="109"/>
      <c r="B394" s="109"/>
      <c r="C394" s="184">
        <v>140</v>
      </c>
      <c r="D394" s="184"/>
      <c r="E394" s="185" t="s">
        <v>743</v>
      </c>
      <c r="F394" s="185" t="s">
        <v>1354</v>
      </c>
      <c r="G394" s="185" t="s">
        <v>1354</v>
      </c>
      <c r="H394" s="184" t="s">
        <v>1437</v>
      </c>
      <c r="I394" s="184" t="s">
        <v>1437</v>
      </c>
      <c r="J394" s="186">
        <v>1</v>
      </c>
      <c r="K394" s="184" t="str">
        <f t="shared" si="25"/>
        <v>DISTRIBUTOR</v>
      </c>
      <c r="L394" s="184" t="s">
        <v>37</v>
      </c>
      <c r="M394" s="186">
        <v>1</v>
      </c>
      <c r="N394" s="184" t="str">
        <f t="shared" si="20"/>
        <v>In Carton</v>
      </c>
      <c r="O394" s="184" t="str">
        <f t="shared" si="21"/>
        <v>Carton</v>
      </c>
      <c r="P394" s="186">
        <f t="shared" si="17"/>
        <v>1</v>
      </c>
      <c r="Q394" s="184" t="str">
        <f t="shared" si="18"/>
        <v>large</v>
      </c>
      <c r="R394" s="184">
        <v>1</v>
      </c>
      <c r="S394" s="187">
        <f>19000*5</f>
        <v>95000</v>
      </c>
      <c r="T394" s="188">
        <f t="shared" si="19"/>
        <v>85585.585585585577</v>
      </c>
      <c r="U394" s="231">
        <f t="shared" si="24"/>
        <v>83789.460000000006</v>
      </c>
      <c r="V394" s="231">
        <v>75486</v>
      </c>
    </row>
    <row r="395" spans="1:22" ht="22.5" customHeight="1">
      <c r="A395" s="109"/>
      <c r="B395" s="109"/>
      <c r="C395" s="184">
        <v>140</v>
      </c>
      <c r="D395" s="184"/>
      <c r="E395" s="185" t="s">
        <v>743</v>
      </c>
      <c r="F395" s="185" t="s">
        <v>1354</v>
      </c>
      <c r="G395" s="185" t="s">
        <v>1354</v>
      </c>
      <c r="H395" s="184" t="s">
        <v>1437</v>
      </c>
      <c r="I395" s="184" t="s">
        <v>1437</v>
      </c>
      <c r="J395" s="186">
        <v>1</v>
      </c>
      <c r="K395" s="184" t="str">
        <f t="shared" si="25"/>
        <v>DISTRIBUTOR</v>
      </c>
      <c r="L395" s="184" t="s">
        <v>37</v>
      </c>
      <c r="M395" s="186">
        <v>4</v>
      </c>
      <c r="N395" s="184" t="str">
        <f t="shared" si="20"/>
        <v>In Pack</v>
      </c>
      <c r="O395" s="184" t="str">
        <f t="shared" si="21"/>
        <v>Box</v>
      </c>
      <c r="P395" s="186">
        <f t="shared" si="17"/>
        <v>2</v>
      </c>
      <c r="Q395" s="184">
        <f t="shared" si="18"/>
        <v>0</v>
      </c>
      <c r="R395" s="184">
        <v>5</v>
      </c>
      <c r="S395" s="187">
        <f>S394/5</f>
        <v>19000</v>
      </c>
      <c r="T395" s="188">
        <f t="shared" si="19"/>
        <v>17117.117117117115</v>
      </c>
      <c r="U395" s="231">
        <f t="shared" si="24"/>
        <v>16757.669999999998</v>
      </c>
      <c r="V395" s="231">
        <v>15097</v>
      </c>
    </row>
    <row r="396" spans="1:22" ht="22.5" customHeight="1">
      <c r="A396" s="109"/>
      <c r="B396" s="109"/>
      <c r="C396" s="184">
        <v>140</v>
      </c>
      <c r="D396" s="184"/>
      <c r="E396" s="185" t="s">
        <v>743</v>
      </c>
      <c r="F396" s="185" t="s">
        <v>1354</v>
      </c>
      <c r="G396" s="185" t="s">
        <v>1354</v>
      </c>
      <c r="H396" s="184" t="s">
        <v>1437</v>
      </c>
      <c r="I396" s="184" t="s">
        <v>1437</v>
      </c>
      <c r="J396" s="186">
        <v>1</v>
      </c>
      <c r="K396" s="184" t="str">
        <f t="shared" si="25"/>
        <v>DISTRIBUTOR</v>
      </c>
      <c r="L396" s="184" t="s">
        <v>37</v>
      </c>
      <c r="M396" s="186">
        <v>9</v>
      </c>
      <c r="N396" s="184" t="str">
        <f t="shared" si="20"/>
        <v>In Pcs</v>
      </c>
      <c r="O396" s="184" t="str">
        <f t="shared" si="21"/>
        <v>Pcs</v>
      </c>
      <c r="P396" s="186">
        <f t="shared" si="17"/>
        <v>4</v>
      </c>
      <c r="Q396" s="184" t="str">
        <f t="shared" si="18"/>
        <v>small</v>
      </c>
      <c r="R396" s="184">
        <v>60</v>
      </c>
      <c r="S396" s="187">
        <f>S395/12</f>
        <v>1583.3333333333333</v>
      </c>
      <c r="T396" s="188">
        <f t="shared" si="19"/>
        <v>1426.4264264264261</v>
      </c>
      <c r="U396" s="231">
        <f t="shared" si="24"/>
        <v>1396.38</v>
      </c>
      <c r="V396" s="231">
        <v>1258</v>
      </c>
    </row>
    <row r="397" spans="1:22" ht="22.5" customHeight="1">
      <c r="A397" s="109"/>
      <c r="B397" s="109"/>
      <c r="C397" s="184">
        <v>141</v>
      </c>
      <c r="D397" s="184"/>
      <c r="E397" s="185" t="s">
        <v>745</v>
      </c>
      <c r="F397" s="185" t="s">
        <v>1354</v>
      </c>
      <c r="G397" s="185" t="s">
        <v>1354</v>
      </c>
      <c r="H397" s="184" t="s">
        <v>1437</v>
      </c>
      <c r="I397" s="184" t="s">
        <v>1437</v>
      </c>
      <c r="J397" s="186">
        <v>1</v>
      </c>
      <c r="K397" s="184" t="str">
        <f t="shared" si="25"/>
        <v>DISTRIBUTOR</v>
      </c>
      <c r="L397" s="184" t="s">
        <v>37</v>
      </c>
      <c r="M397" s="186">
        <v>1</v>
      </c>
      <c r="N397" s="184" t="str">
        <f t="shared" si="20"/>
        <v>In Carton</v>
      </c>
      <c r="O397" s="184" t="str">
        <f t="shared" si="21"/>
        <v>Carton</v>
      </c>
      <c r="P397" s="186">
        <f t="shared" si="17"/>
        <v>1</v>
      </c>
      <c r="Q397" s="184" t="str">
        <f t="shared" si="18"/>
        <v>large</v>
      </c>
      <c r="R397" s="184">
        <v>1</v>
      </c>
      <c r="S397" s="187">
        <f>19000*5</f>
        <v>95000</v>
      </c>
      <c r="T397" s="188">
        <f t="shared" si="19"/>
        <v>85585.585585585577</v>
      </c>
      <c r="U397" s="231">
        <f t="shared" si="24"/>
        <v>83789.460000000006</v>
      </c>
      <c r="V397" s="231">
        <v>75486</v>
      </c>
    </row>
    <row r="398" spans="1:22" ht="22.5" customHeight="1">
      <c r="A398" s="109"/>
      <c r="B398" s="109"/>
      <c r="C398" s="184">
        <v>141</v>
      </c>
      <c r="D398" s="184"/>
      <c r="E398" s="185" t="s">
        <v>745</v>
      </c>
      <c r="F398" s="185" t="s">
        <v>1354</v>
      </c>
      <c r="G398" s="185" t="s">
        <v>1354</v>
      </c>
      <c r="H398" s="184" t="s">
        <v>1437</v>
      </c>
      <c r="I398" s="184" t="s">
        <v>1437</v>
      </c>
      <c r="J398" s="186">
        <v>1</v>
      </c>
      <c r="K398" s="184" t="str">
        <f t="shared" si="25"/>
        <v>DISTRIBUTOR</v>
      </c>
      <c r="L398" s="184" t="s">
        <v>37</v>
      </c>
      <c r="M398" s="186">
        <v>4</v>
      </c>
      <c r="N398" s="184" t="str">
        <f t="shared" si="20"/>
        <v>In Pack</v>
      </c>
      <c r="O398" s="184" t="str">
        <f t="shared" si="21"/>
        <v>Box</v>
      </c>
      <c r="P398" s="186">
        <f t="shared" si="17"/>
        <v>2</v>
      </c>
      <c r="Q398" s="184">
        <f t="shared" si="18"/>
        <v>0</v>
      </c>
      <c r="R398" s="184">
        <v>5</v>
      </c>
      <c r="S398" s="187">
        <f>S397/5</f>
        <v>19000</v>
      </c>
      <c r="T398" s="188">
        <f t="shared" si="19"/>
        <v>17117.117117117115</v>
      </c>
      <c r="U398" s="231">
        <f t="shared" si="24"/>
        <v>16757.669999999998</v>
      </c>
      <c r="V398" s="231">
        <v>15097</v>
      </c>
    </row>
    <row r="399" spans="1:22" ht="22.5" customHeight="1">
      <c r="A399" s="109"/>
      <c r="B399" s="109"/>
      <c r="C399" s="184">
        <v>141</v>
      </c>
      <c r="D399" s="184"/>
      <c r="E399" s="185" t="s">
        <v>745</v>
      </c>
      <c r="F399" s="185" t="s">
        <v>1354</v>
      </c>
      <c r="G399" s="185" t="s">
        <v>1354</v>
      </c>
      <c r="H399" s="184" t="s">
        <v>1437</v>
      </c>
      <c r="I399" s="184" t="s">
        <v>1437</v>
      </c>
      <c r="J399" s="186">
        <v>1</v>
      </c>
      <c r="K399" s="184" t="str">
        <f t="shared" si="25"/>
        <v>DISTRIBUTOR</v>
      </c>
      <c r="L399" s="184" t="s">
        <v>37</v>
      </c>
      <c r="M399" s="186">
        <v>9</v>
      </c>
      <c r="N399" s="184" t="str">
        <f t="shared" si="20"/>
        <v>In Pcs</v>
      </c>
      <c r="O399" s="184" t="str">
        <f t="shared" si="21"/>
        <v>Pcs</v>
      </c>
      <c r="P399" s="186">
        <f t="shared" si="17"/>
        <v>4</v>
      </c>
      <c r="Q399" s="184" t="str">
        <f t="shared" si="18"/>
        <v>small</v>
      </c>
      <c r="R399" s="184">
        <v>60</v>
      </c>
      <c r="S399" s="187">
        <f>S398/12</f>
        <v>1583.3333333333333</v>
      </c>
      <c r="T399" s="188">
        <f t="shared" si="19"/>
        <v>1426.4264264264261</v>
      </c>
      <c r="U399" s="231">
        <f t="shared" si="24"/>
        <v>1396.38</v>
      </c>
      <c r="V399" s="231">
        <v>1258</v>
      </c>
    </row>
    <row r="400" spans="1:22" ht="22.5" customHeight="1">
      <c r="A400" s="109"/>
      <c r="B400" s="109"/>
      <c r="C400" s="184">
        <v>142</v>
      </c>
      <c r="D400" s="184"/>
      <c r="E400" s="185" t="s">
        <v>747</v>
      </c>
      <c r="F400" s="185" t="s">
        <v>1436</v>
      </c>
      <c r="G400" s="185" t="s">
        <v>1436</v>
      </c>
      <c r="H400" s="184" t="s">
        <v>1437</v>
      </c>
      <c r="I400" s="184" t="s">
        <v>1437</v>
      </c>
      <c r="J400" s="186">
        <v>1</v>
      </c>
      <c r="K400" s="184" t="str">
        <f t="shared" si="25"/>
        <v>DISTRIBUTOR</v>
      </c>
      <c r="L400" s="184" t="s">
        <v>37</v>
      </c>
      <c r="M400" s="186">
        <v>1</v>
      </c>
      <c r="N400" s="184" t="str">
        <f t="shared" si="20"/>
        <v>In Carton</v>
      </c>
      <c r="O400" s="184" t="str">
        <f t="shared" si="21"/>
        <v>Carton</v>
      </c>
      <c r="P400" s="186">
        <f t="shared" si="17"/>
        <v>1</v>
      </c>
      <c r="Q400" s="184" t="str">
        <f t="shared" si="18"/>
        <v>large</v>
      </c>
      <c r="R400" s="184">
        <v>1</v>
      </c>
      <c r="S400" s="187">
        <f>20400*5</f>
        <v>102000</v>
      </c>
      <c r="T400" s="188">
        <f t="shared" si="19"/>
        <v>91891.891891891879</v>
      </c>
      <c r="U400" s="231">
        <f t="shared" si="24"/>
        <v>89999.91</v>
      </c>
      <c r="V400" s="231">
        <v>81081</v>
      </c>
    </row>
    <row r="401" spans="1:22" ht="22.5" customHeight="1">
      <c r="A401" s="109"/>
      <c r="B401" s="109"/>
      <c r="C401" s="184">
        <v>142</v>
      </c>
      <c r="D401" s="184"/>
      <c r="E401" s="185" t="s">
        <v>747</v>
      </c>
      <c r="F401" s="185" t="s">
        <v>1436</v>
      </c>
      <c r="G401" s="185" t="s">
        <v>1436</v>
      </c>
      <c r="H401" s="184" t="s">
        <v>1437</v>
      </c>
      <c r="I401" s="184" t="s">
        <v>1437</v>
      </c>
      <c r="J401" s="186">
        <v>1</v>
      </c>
      <c r="K401" s="184" t="str">
        <f t="shared" si="25"/>
        <v>DISTRIBUTOR</v>
      </c>
      <c r="L401" s="184" t="s">
        <v>37</v>
      </c>
      <c r="M401" s="186">
        <v>4</v>
      </c>
      <c r="N401" s="184" t="str">
        <f t="shared" si="20"/>
        <v>In Pack</v>
      </c>
      <c r="O401" s="184" t="str">
        <f t="shared" si="21"/>
        <v>Box</v>
      </c>
      <c r="P401" s="186">
        <f t="shared" si="17"/>
        <v>2</v>
      </c>
      <c r="Q401" s="184">
        <f t="shared" si="18"/>
        <v>0</v>
      </c>
      <c r="R401" s="184">
        <v>5</v>
      </c>
      <c r="S401" s="187">
        <f>S400/5</f>
        <v>20400</v>
      </c>
      <c r="T401" s="188">
        <f t="shared" si="19"/>
        <v>18378.378378378377</v>
      </c>
      <c r="U401" s="231">
        <f t="shared" si="24"/>
        <v>17999.759999999998</v>
      </c>
      <c r="V401" s="231">
        <v>16216</v>
      </c>
    </row>
    <row r="402" spans="1:22" ht="22.5" customHeight="1">
      <c r="A402" s="109"/>
      <c r="B402" s="109"/>
      <c r="C402" s="184">
        <v>142</v>
      </c>
      <c r="D402" s="184"/>
      <c r="E402" s="185" t="s">
        <v>747</v>
      </c>
      <c r="F402" s="185" t="s">
        <v>1436</v>
      </c>
      <c r="G402" s="185" t="s">
        <v>1436</v>
      </c>
      <c r="H402" s="184" t="s">
        <v>1437</v>
      </c>
      <c r="I402" s="184" t="s">
        <v>1437</v>
      </c>
      <c r="J402" s="186">
        <v>1</v>
      </c>
      <c r="K402" s="184" t="str">
        <f t="shared" si="25"/>
        <v>DISTRIBUTOR</v>
      </c>
      <c r="L402" s="184" t="s">
        <v>37</v>
      </c>
      <c r="M402" s="186">
        <v>9</v>
      </c>
      <c r="N402" s="184" t="str">
        <f t="shared" si="20"/>
        <v>In Pcs</v>
      </c>
      <c r="O402" s="184" t="str">
        <f t="shared" si="21"/>
        <v>Pcs</v>
      </c>
      <c r="P402" s="186">
        <f t="shared" si="17"/>
        <v>4</v>
      </c>
      <c r="Q402" s="184" t="str">
        <f t="shared" si="18"/>
        <v>small</v>
      </c>
      <c r="R402" s="184">
        <v>60</v>
      </c>
      <c r="S402" s="187">
        <f>S401/12</f>
        <v>1700</v>
      </c>
      <c r="T402" s="188">
        <f t="shared" si="19"/>
        <v>1531.5315315315313</v>
      </c>
      <c r="U402" s="231">
        <f t="shared" si="24"/>
        <v>1499.6100000000001</v>
      </c>
      <c r="V402" s="231">
        <v>1351</v>
      </c>
    </row>
    <row r="403" spans="1:22" ht="22.5" customHeight="1">
      <c r="A403" s="109"/>
      <c r="B403" s="109"/>
      <c r="C403" s="184">
        <v>143</v>
      </c>
      <c r="D403" s="184"/>
      <c r="E403" s="185" t="s">
        <v>749</v>
      </c>
      <c r="F403" s="185" t="s">
        <v>1436</v>
      </c>
      <c r="G403" s="185" t="s">
        <v>1436</v>
      </c>
      <c r="H403" s="184" t="s">
        <v>1437</v>
      </c>
      <c r="I403" s="184" t="s">
        <v>1437</v>
      </c>
      <c r="J403" s="186">
        <v>1</v>
      </c>
      <c r="K403" s="184" t="str">
        <f t="shared" si="25"/>
        <v>DISTRIBUTOR</v>
      </c>
      <c r="L403" s="184" t="s">
        <v>37</v>
      </c>
      <c r="M403" s="186">
        <v>1</v>
      </c>
      <c r="N403" s="184" t="str">
        <f t="shared" si="20"/>
        <v>In Carton</v>
      </c>
      <c r="O403" s="184" t="str">
        <f t="shared" si="21"/>
        <v>Carton</v>
      </c>
      <c r="P403" s="186">
        <f t="shared" si="17"/>
        <v>1</v>
      </c>
      <c r="Q403" s="184" t="str">
        <f t="shared" si="18"/>
        <v>large</v>
      </c>
      <c r="R403" s="184">
        <v>1</v>
      </c>
      <c r="S403" s="187">
        <f>20400*5</f>
        <v>102000</v>
      </c>
      <c r="T403" s="188">
        <f t="shared" si="19"/>
        <v>91891.891891891879</v>
      </c>
      <c r="U403" s="231">
        <f t="shared" si="24"/>
        <v>89999.91</v>
      </c>
      <c r="V403" s="231">
        <v>81081</v>
      </c>
    </row>
    <row r="404" spans="1:22" ht="22.5" customHeight="1">
      <c r="A404" s="109"/>
      <c r="B404" s="109"/>
      <c r="C404" s="184">
        <v>143</v>
      </c>
      <c r="D404" s="184"/>
      <c r="E404" s="185" t="s">
        <v>749</v>
      </c>
      <c r="F404" s="185" t="s">
        <v>1436</v>
      </c>
      <c r="G404" s="185" t="s">
        <v>1436</v>
      </c>
      <c r="H404" s="184" t="s">
        <v>1437</v>
      </c>
      <c r="I404" s="184" t="s">
        <v>1437</v>
      </c>
      <c r="J404" s="186">
        <v>1</v>
      </c>
      <c r="K404" s="184" t="str">
        <f t="shared" si="25"/>
        <v>DISTRIBUTOR</v>
      </c>
      <c r="L404" s="184" t="s">
        <v>37</v>
      </c>
      <c r="M404" s="186">
        <v>4</v>
      </c>
      <c r="N404" s="184" t="str">
        <f t="shared" si="20"/>
        <v>In Pack</v>
      </c>
      <c r="O404" s="184" t="str">
        <f t="shared" si="21"/>
        <v>Box</v>
      </c>
      <c r="P404" s="186">
        <f t="shared" si="17"/>
        <v>2</v>
      </c>
      <c r="Q404" s="184">
        <f t="shared" si="18"/>
        <v>0</v>
      </c>
      <c r="R404" s="184">
        <v>5</v>
      </c>
      <c r="S404" s="187">
        <f>S403/5</f>
        <v>20400</v>
      </c>
      <c r="T404" s="188">
        <f t="shared" si="19"/>
        <v>18378.378378378377</v>
      </c>
      <c r="U404" s="231">
        <f t="shared" si="24"/>
        <v>17999.759999999998</v>
      </c>
      <c r="V404" s="231">
        <v>16216</v>
      </c>
    </row>
    <row r="405" spans="1:22" ht="22.5" customHeight="1">
      <c r="A405" s="109"/>
      <c r="B405" s="109"/>
      <c r="C405" s="184">
        <v>143</v>
      </c>
      <c r="D405" s="184"/>
      <c r="E405" s="185" t="s">
        <v>749</v>
      </c>
      <c r="F405" s="185" t="s">
        <v>1436</v>
      </c>
      <c r="G405" s="185" t="s">
        <v>1436</v>
      </c>
      <c r="H405" s="184" t="s">
        <v>1437</v>
      </c>
      <c r="I405" s="184" t="s">
        <v>1437</v>
      </c>
      <c r="J405" s="186">
        <v>1</v>
      </c>
      <c r="K405" s="184" t="str">
        <f t="shared" si="25"/>
        <v>DISTRIBUTOR</v>
      </c>
      <c r="L405" s="184" t="s">
        <v>37</v>
      </c>
      <c r="M405" s="186">
        <v>9</v>
      </c>
      <c r="N405" s="184" t="str">
        <f t="shared" si="20"/>
        <v>In Pcs</v>
      </c>
      <c r="O405" s="184" t="str">
        <f t="shared" si="21"/>
        <v>Pcs</v>
      </c>
      <c r="P405" s="186">
        <f t="shared" si="17"/>
        <v>4</v>
      </c>
      <c r="Q405" s="184" t="str">
        <f t="shared" si="18"/>
        <v>small</v>
      </c>
      <c r="R405" s="184">
        <v>60</v>
      </c>
      <c r="S405" s="187">
        <f>S404/12</f>
        <v>1700</v>
      </c>
      <c r="T405" s="188">
        <f t="shared" si="19"/>
        <v>1531.5315315315313</v>
      </c>
      <c r="U405" s="231">
        <f t="shared" si="24"/>
        <v>1499.6100000000001</v>
      </c>
      <c r="V405" s="231">
        <v>1351</v>
      </c>
    </row>
    <row r="406" spans="1:22" ht="22.5" hidden="1" customHeight="1">
      <c r="A406" s="109"/>
      <c r="B406" s="109"/>
      <c r="C406" s="189">
        <v>144</v>
      </c>
      <c r="D406" s="189"/>
      <c r="E406" s="190" t="s">
        <v>908</v>
      </c>
      <c r="F406" s="190" t="s">
        <v>906</v>
      </c>
      <c r="G406" s="190" t="s">
        <v>906</v>
      </c>
      <c r="H406" s="189" t="s">
        <v>1438</v>
      </c>
      <c r="I406" s="189" t="s">
        <v>1438</v>
      </c>
      <c r="J406" s="191">
        <v>1</v>
      </c>
      <c r="K406" s="189" t="str">
        <f t="shared" si="25"/>
        <v>DISTRIBUTOR</v>
      </c>
      <c r="L406" s="189" t="s">
        <v>37</v>
      </c>
      <c r="M406" s="191">
        <v>1</v>
      </c>
      <c r="N406" s="189" t="str">
        <f t="shared" si="20"/>
        <v>In Carton</v>
      </c>
      <c r="O406" s="189" t="str">
        <f t="shared" si="21"/>
        <v>Carton</v>
      </c>
      <c r="P406" s="191">
        <f t="shared" si="17"/>
        <v>1</v>
      </c>
      <c r="Q406" s="189" t="str">
        <f t="shared" si="18"/>
        <v>large</v>
      </c>
      <c r="R406" s="189">
        <v>1</v>
      </c>
      <c r="S406" s="192">
        <f>4680*48</f>
        <v>224640</v>
      </c>
      <c r="T406" s="193">
        <f t="shared" si="19"/>
        <v>202378.37837837837</v>
      </c>
      <c r="U406" s="232"/>
      <c r="V406" s="232"/>
    </row>
    <row r="407" spans="1:22" ht="22.5" hidden="1" customHeight="1">
      <c r="A407" s="109"/>
      <c r="B407" s="109"/>
      <c r="C407" s="189">
        <v>144</v>
      </c>
      <c r="D407" s="189"/>
      <c r="E407" s="190" t="s">
        <v>908</v>
      </c>
      <c r="F407" s="190" t="s">
        <v>906</v>
      </c>
      <c r="G407" s="190" t="s">
        <v>906</v>
      </c>
      <c r="H407" s="189" t="s">
        <v>1438</v>
      </c>
      <c r="I407" s="189" t="s">
        <v>1438</v>
      </c>
      <c r="J407" s="191">
        <v>1</v>
      </c>
      <c r="K407" s="189" t="str">
        <f t="shared" si="25"/>
        <v>DISTRIBUTOR</v>
      </c>
      <c r="L407" s="189" t="s">
        <v>37</v>
      </c>
      <c r="M407" s="191">
        <v>4</v>
      </c>
      <c r="N407" s="189" t="str">
        <f t="shared" si="20"/>
        <v>In Pack</v>
      </c>
      <c r="O407" s="189" t="str">
        <f t="shared" si="21"/>
        <v>Box</v>
      </c>
      <c r="P407" s="191">
        <f t="shared" si="17"/>
        <v>2</v>
      </c>
      <c r="Q407" s="189">
        <f t="shared" si="18"/>
        <v>0</v>
      </c>
      <c r="R407" s="189">
        <v>8</v>
      </c>
      <c r="S407" s="192">
        <f>S406/8</f>
        <v>28080</v>
      </c>
      <c r="T407" s="193">
        <f t="shared" si="19"/>
        <v>25297.297297297297</v>
      </c>
      <c r="U407" s="232"/>
      <c r="V407" s="232"/>
    </row>
    <row r="408" spans="1:22" ht="22.5" hidden="1" customHeight="1">
      <c r="A408" s="109"/>
      <c r="B408" s="109"/>
      <c r="C408" s="189">
        <v>144</v>
      </c>
      <c r="D408" s="189"/>
      <c r="E408" s="190" t="s">
        <v>908</v>
      </c>
      <c r="F408" s="190" t="s">
        <v>906</v>
      </c>
      <c r="G408" s="190" t="s">
        <v>906</v>
      </c>
      <c r="H408" s="189" t="s">
        <v>1438</v>
      </c>
      <c r="I408" s="189" t="s">
        <v>1438</v>
      </c>
      <c r="J408" s="191">
        <v>1</v>
      </c>
      <c r="K408" s="189" t="str">
        <f t="shared" si="25"/>
        <v>DISTRIBUTOR</v>
      </c>
      <c r="L408" s="189" t="s">
        <v>37</v>
      </c>
      <c r="M408" s="191">
        <v>8</v>
      </c>
      <c r="N408" s="189" t="str">
        <f t="shared" si="20"/>
        <v>In Renceng</v>
      </c>
      <c r="O408" s="189" t="str">
        <f t="shared" si="21"/>
        <v>Renceng</v>
      </c>
      <c r="P408" s="191">
        <f t="shared" si="17"/>
        <v>3</v>
      </c>
      <c r="Q408" s="189">
        <f t="shared" si="18"/>
        <v>0</v>
      </c>
      <c r="R408" s="189">
        <v>48</v>
      </c>
      <c r="S408" s="192">
        <f>S407/6</f>
        <v>4680</v>
      </c>
      <c r="T408" s="193">
        <f t="shared" ref="T408:T409" si="26">S408/1.11</f>
        <v>4216.2162162162158</v>
      </c>
      <c r="U408" s="232"/>
      <c r="V408" s="232"/>
    </row>
    <row r="409" spans="1:22" ht="22.5" hidden="1" customHeight="1">
      <c r="A409" s="109"/>
      <c r="B409" s="109"/>
      <c r="C409" s="189">
        <v>144</v>
      </c>
      <c r="D409" s="189"/>
      <c r="E409" s="190" t="s">
        <v>908</v>
      </c>
      <c r="F409" s="190" t="s">
        <v>906</v>
      </c>
      <c r="G409" s="190" t="s">
        <v>906</v>
      </c>
      <c r="H409" s="189" t="s">
        <v>1438</v>
      </c>
      <c r="I409" s="189" t="s">
        <v>1438</v>
      </c>
      <c r="J409" s="191">
        <v>1</v>
      </c>
      <c r="K409" s="189" t="str">
        <f t="shared" si="25"/>
        <v>DISTRIBUTOR</v>
      </c>
      <c r="L409" s="189" t="s">
        <v>37</v>
      </c>
      <c r="M409" s="191">
        <v>9</v>
      </c>
      <c r="N409" s="189" t="str">
        <f t="shared" si="20"/>
        <v>In Pcs</v>
      </c>
      <c r="O409" s="189" t="str">
        <f t="shared" si="21"/>
        <v>Pcs</v>
      </c>
      <c r="P409" s="191">
        <f t="shared" si="17"/>
        <v>4</v>
      </c>
      <c r="Q409" s="189" t="str">
        <f t="shared" si="18"/>
        <v>small</v>
      </c>
      <c r="R409" s="189">
        <v>576</v>
      </c>
      <c r="S409" s="192">
        <f>S408/12</f>
        <v>390</v>
      </c>
      <c r="T409" s="193">
        <f t="shared" si="26"/>
        <v>351.3513513513513</v>
      </c>
      <c r="U409" s="232"/>
      <c r="V409" s="232"/>
    </row>
    <row r="410" spans="1:22" s="95" customFormat="1" ht="22.5" hidden="1" customHeight="1">
      <c r="A410" s="194"/>
      <c r="B410" s="194"/>
      <c r="C410" s="195">
        <v>145</v>
      </c>
      <c r="D410" s="195"/>
      <c r="E410" s="196" t="s">
        <v>910</v>
      </c>
      <c r="F410" s="196" t="s">
        <v>906</v>
      </c>
      <c r="G410" s="196" t="s">
        <v>906</v>
      </c>
      <c r="H410" s="195" t="s">
        <v>1438</v>
      </c>
      <c r="I410" s="195" t="s">
        <v>1438</v>
      </c>
      <c r="J410" s="197">
        <v>1</v>
      </c>
      <c r="K410" s="195" t="str">
        <f t="shared" si="25"/>
        <v>DISTRIBUTOR</v>
      </c>
      <c r="L410" s="195" t="s">
        <v>37</v>
      </c>
      <c r="M410" s="197">
        <v>1</v>
      </c>
      <c r="N410" s="195" t="str">
        <f t="shared" si="20"/>
        <v>In Carton</v>
      </c>
      <c r="O410" s="195" t="str">
        <f t="shared" si="21"/>
        <v>Carton</v>
      </c>
      <c r="P410" s="197">
        <f t="shared" ref="P410:P511" si="27">IFERROR(VLOOKUP($M410,$M$3:$Q$14,4,0),"")</f>
        <v>1</v>
      </c>
      <c r="Q410" s="195" t="str">
        <f t="shared" ref="Q410:Q511" si="28">IFERROR(VLOOKUP($M410,$M$3:$Q$14,5,0),"")</f>
        <v>large</v>
      </c>
      <c r="R410" s="195">
        <v>1</v>
      </c>
      <c r="S410" s="198">
        <f>2250*120</f>
        <v>270000</v>
      </c>
      <c r="T410" s="199">
        <f t="shared" ref="T410:T511" si="29">S410/1.11</f>
        <v>243243.24324324323</v>
      </c>
      <c r="U410" s="233"/>
      <c r="V410" s="233"/>
    </row>
    <row r="411" spans="1:22" s="95" customFormat="1" ht="22.5" hidden="1" customHeight="1">
      <c r="A411" s="194"/>
      <c r="B411" s="194"/>
      <c r="C411" s="195">
        <v>145</v>
      </c>
      <c r="D411" s="195"/>
      <c r="E411" s="196" t="s">
        <v>910</v>
      </c>
      <c r="F411" s="196" t="s">
        <v>906</v>
      </c>
      <c r="G411" s="196" t="s">
        <v>906</v>
      </c>
      <c r="H411" s="195" t="s">
        <v>1438</v>
      </c>
      <c r="I411" s="195" t="s">
        <v>1438</v>
      </c>
      <c r="J411" s="197">
        <v>1</v>
      </c>
      <c r="K411" s="195" t="str">
        <f t="shared" si="25"/>
        <v>DISTRIBUTOR</v>
      </c>
      <c r="L411" s="195" t="s">
        <v>37</v>
      </c>
      <c r="M411" s="197">
        <v>3</v>
      </c>
      <c r="N411" s="195" t="str">
        <f t="shared" si="20"/>
        <v>In Pack</v>
      </c>
      <c r="O411" s="195" t="str">
        <f t="shared" si="21"/>
        <v>Pack</v>
      </c>
      <c r="P411" s="197">
        <f t="shared" si="27"/>
        <v>2</v>
      </c>
      <c r="Q411" s="195">
        <f t="shared" si="28"/>
        <v>0</v>
      </c>
      <c r="R411" s="195">
        <v>6</v>
      </c>
      <c r="S411" s="198">
        <f>S410/6</f>
        <v>45000</v>
      </c>
      <c r="T411" s="199">
        <f t="shared" si="29"/>
        <v>40540.54054054054</v>
      </c>
      <c r="U411" s="233"/>
      <c r="V411" s="233"/>
    </row>
    <row r="412" spans="1:22" s="95" customFormat="1" ht="22.5" hidden="1" customHeight="1">
      <c r="A412" s="194"/>
      <c r="B412" s="194"/>
      <c r="C412" s="195">
        <v>145</v>
      </c>
      <c r="D412" s="195"/>
      <c r="E412" s="196" t="s">
        <v>910</v>
      </c>
      <c r="F412" s="196" t="s">
        <v>906</v>
      </c>
      <c r="G412" s="196" t="s">
        <v>906</v>
      </c>
      <c r="H412" s="195" t="s">
        <v>1438</v>
      </c>
      <c r="I412" s="195" t="s">
        <v>1438</v>
      </c>
      <c r="J412" s="197">
        <v>1</v>
      </c>
      <c r="K412" s="195" t="str">
        <f t="shared" si="25"/>
        <v>DISTRIBUTOR</v>
      </c>
      <c r="L412" s="195" t="s">
        <v>37</v>
      </c>
      <c r="M412" s="197">
        <v>8</v>
      </c>
      <c r="N412" s="195" t="str">
        <f t="shared" si="20"/>
        <v>In Renceng</v>
      </c>
      <c r="O412" s="195" t="str">
        <f t="shared" si="21"/>
        <v>Renceng</v>
      </c>
      <c r="P412" s="197">
        <f t="shared" si="27"/>
        <v>3</v>
      </c>
      <c r="Q412" s="195">
        <f t="shared" si="28"/>
        <v>0</v>
      </c>
      <c r="R412" s="195">
        <v>12</v>
      </c>
      <c r="S412" s="198">
        <f>S411/2</f>
        <v>22500</v>
      </c>
      <c r="T412" s="199">
        <f t="shared" si="29"/>
        <v>20270.27027027027</v>
      </c>
      <c r="U412" s="233"/>
      <c r="V412" s="233"/>
    </row>
    <row r="413" spans="1:22" s="95" customFormat="1" ht="22.5" hidden="1" customHeight="1">
      <c r="A413" s="194"/>
      <c r="B413" s="194"/>
      <c r="C413" s="195">
        <v>145</v>
      </c>
      <c r="D413" s="195"/>
      <c r="E413" s="196" t="s">
        <v>910</v>
      </c>
      <c r="F413" s="196" t="s">
        <v>906</v>
      </c>
      <c r="G413" s="196" t="s">
        <v>906</v>
      </c>
      <c r="H413" s="195" t="s">
        <v>1438</v>
      </c>
      <c r="I413" s="195" t="s">
        <v>1438</v>
      </c>
      <c r="J413" s="197">
        <v>1</v>
      </c>
      <c r="K413" s="195" t="str">
        <f t="shared" si="25"/>
        <v>DISTRIBUTOR</v>
      </c>
      <c r="L413" s="195" t="s">
        <v>37</v>
      </c>
      <c r="M413" s="197">
        <v>9</v>
      </c>
      <c r="N413" s="195" t="str">
        <f t="shared" si="20"/>
        <v>In Pcs</v>
      </c>
      <c r="O413" s="195" t="str">
        <f t="shared" si="21"/>
        <v>Pcs</v>
      </c>
      <c r="P413" s="197">
        <f t="shared" si="27"/>
        <v>4</v>
      </c>
      <c r="Q413" s="195" t="str">
        <f t="shared" si="28"/>
        <v>small</v>
      </c>
      <c r="R413" s="195">
        <v>120</v>
      </c>
      <c r="S413" s="198">
        <f>S412/10</f>
        <v>2250</v>
      </c>
      <c r="T413" s="199">
        <f t="shared" si="29"/>
        <v>2027.0270270270269</v>
      </c>
      <c r="U413" s="233"/>
      <c r="V413" s="233"/>
    </row>
    <row r="414" spans="1:22" ht="22.5" hidden="1" customHeight="1">
      <c r="A414" s="109"/>
      <c r="B414" s="109"/>
      <c r="C414" s="189">
        <v>146</v>
      </c>
      <c r="D414" s="189"/>
      <c r="E414" s="190" t="s">
        <v>912</v>
      </c>
      <c r="F414" s="190" t="s">
        <v>906</v>
      </c>
      <c r="G414" s="190" t="s">
        <v>906</v>
      </c>
      <c r="H414" s="189" t="s">
        <v>1438</v>
      </c>
      <c r="I414" s="189" t="s">
        <v>1438</v>
      </c>
      <c r="J414" s="191">
        <v>1</v>
      </c>
      <c r="K414" s="189" t="str">
        <f t="shared" si="25"/>
        <v>DISTRIBUTOR</v>
      </c>
      <c r="L414" s="189" t="s">
        <v>37</v>
      </c>
      <c r="M414" s="191">
        <v>1</v>
      </c>
      <c r="N414" s="189" t="str">
        <f t="shared" si="20"/>
        <v>In Carton</v>
      </c>
      <c r="O414" s="189" t="str">
        <f t="shared" si="21"/>
        <v>Carton</v>
      </c>
      <c r="P414" s="191">
        <f t="shared" si="27"/>
        <v>1</v>
      </c>
      <c r="Q414" s="189" t="str">
        <f t="shared" si="28"/>
        <v>large</v>
      </c>
      <c r="R414" s="189">
        <v>1</v>
      </c>
      <c r="S414" s="192">
        <f>2500*24</f>
        <v>60000</v>
      </c>
      <c r="T414" s="193">
        <f t="shared" si="29"/>
        <v>54054.054054054046</v>
      </c>
      <c r="U414" s="232"/>
      <c r="V414" s="232"/>
    </row>
    <row r="415" spans="1:22" ht="22.5" hidden="1" customHeight="1">
      <c r="A415" s="109"/>
      <c r="B415" s="109"/>
      <c r="C415" s="189">
        <v>146</v>
      </c>
      <c r="D415" s="189"/>
      <c r="E415" s="190" t="s">
        <v>912</v>
      </c>
      <c r="F415" s="190" t="s">
        <v>906</v>
      </c>
      <c r="G415" s="190" t="s">
        <v>906</v>
      </c>
      <c r="H415" s="189" t="s">
        <v>1438</v>
      </c>
      <c r="I415" s="189" t="s">
        <v>1438</v>
      </c>
      <c r="J415" s="191">
        <v>1</v>
      </c>
      <c r="K415" s="189" t="str">
        <f t="shared" si="25"/>
        <v>DISTRIBUTOR</v>
      </c>
      <c r="L415" s="189" t="s">
        <v>37</v>
      </c>
      <c r="M415" s="191">
        <v>9</v>
      </c>
      <c r="N415" s="189" t="str">
        <f t="shared" si="20"/>
        <v>In Pcs</v>
      </c>
      <c r="O415" s="189" t="str">
        <f t="shared" si="21"/>
        <v>Pcs</v>
      </c>
      <c r="P415" s="191">
        <f t="shared" si="27"/>
        <v>4</v>
      </c>
      <c r="Q415" s="189" t="str">
        <f t="shared" si="28"/>
        <v>small</v>
      </c>
      <c r="R415" s="189">
        <v>24</v>
      </c>
      <c r="S415" s="192">
        <f>S414/24</f>
        <v>2500</v>
      </c>
      <c r="T415" s="193">
        <f t="shared" si="29"/>
        <v>2252.2522522522522</v>
      </c>
      <c r="U415" s="232"/>
      <c r="V415" s="232"/>
    </row>
    <row r="416" spans="1:22" ht="22.5" hidden="1" customHeight="1">
      <c r="A416" s="109"/>
      <c r="B416" s="109"/>
      <c r="C416" s="189">
        <v>147</v>
      </c>
      <c r="D416" s="189"/>
      <c r="E416" s="190" t="s">
        <v>914</v>
      </c>
      <c r="F416" s="190" t="s">
        <v>906</v>
      </c>
      <c r="G416" s="190" t="s">
        <v>906</v>
      </c>
      <c r="H416" s="189" t="s">
        <v>1438</v>
      </c>
      <c r="I416" s="189" t="s">
        <v>1438</v>
      </c>
      <c r="J416" s="191">
        <v>1</v>
      </c>
      <c r="K416" s="189" t="str">
        <f t="shared" si="25"/>
        <v>DISTRIBUTOR</v>
      </c>
      <c r="L416" s="189" t="s">
        <v>37</v>
      </c>
      <c r="M416" s="191">
        <v>1</v>
      </c>
      <c r="N416" s="189" t="str">
        <f t="shared" si="20"/>
        <v>In Carton</v>
      </c>
      <c r="O416" s="189" t="str">
        <f t="shared" si="21"/>
        <v>Carton</v>
      </c>
      <c r="P416" s="191">
        <f t="shared" si="27"/>
        <v>1</v>
      </c>
      <c r="Q416" s="189" t="str">
        <f t="shared" si="28"/>
        <v>large</v>
      </c>
      <c r="R416" s="189">
        <v>1</v>
      </c>
      <c r="S416" s="192">
        <f>21200*14</f>
        <v>296800</v>
      </c>
      <c r="T416" s="193">
        <f t="shared" si="29"/>
        <v>267387.38738738734</v>
      </c>
      <c r="U416" s="232"/>
      <c r="V416" s="232"/>
    </row>
    <row r="417" spans="1:22" ht="22.5" hidden="1" customHeight="1">
      <c r="A417" s="109"/>
      <c r="B417" s="109"/>
      <c r="C417" s="189">
        <v>147</v>
      </c>
      <c r="D417" s="189"/>
      <c r="E417" s="190" t="s">
        <v>914</v>
      </c>
      <c r="F417" s="190" t="s">
        <v>906</v>
      </c>
      <c r="G417" s="190" t="s">
        <v>906</v>
      </c>
      <c r="H417" s="189" t="s">
        <v>1438</v>
      </c>
      <c r="I417" s="189" t="s">
        <v>1438</v>
      </c>
      <c r="J417" s="191">
        <v>1</v>
      </c>
      <c r="K417" s="189" t="str">
        <f t="shared" si="25"/>
        <v>DISTRIBUTOR</v>
      </c>
      <c r="L417" s="189" t="s">
        <v>37</v>
      </c>
      <c r="M417" s="191">
        <v>3</v>
      </c>
      <c r="N417" s="189" t="str">
        <f t="shared" si="20"/>
        <v>In Pack</v>
      </c>
      <c r="O417" s="189" t="str">
        <f t="shared" si="21"/>
        <v>Pack</v>
      </c>
      <c r="P417" s="191">
        <f t="shared" si="27"/>
        <v>2</v>
      </c>
      <c r="Q417" s="189">
        <f t="shared" si="28"/>
        <v>0</v>
      </c>
      <c r="R417" s="189">
        <v>14</v>
      </c>
      <c r="S417" s="192">
        <f>S416/14</f>
        <v>21200</v>
      </c>
      <c r="T417" s="193">
        <f t="shared" si="29"/>
        <v>19099.099099099098</v>
      </c>
      <c r="U417" s="232"/>
      <c r="V417" s="232"/>
    </row>
    <row r="418" spans="1:22" ht="22.5" hidden="1" customHeight="1">
      <c r="A418" s="109"/>
      <c r="B418" s="109"/>
      <c r="C418" s="189">
        <v>147</v>
      </c>
      <c r="D418" s="189"/>
      <c r="E418" s="190" t="s">
        <v>914</v>
      </c>
      <c r="F418" s="190" t="s">
        <v>906</v>
      </c>
      <c r="G418" s="190" t="s">
        <v>906</v>
      </c>
      <c r="H418" s="189" t="s">
        <v>1438</v>
      </c>
      <c r="I418" s="189" t="s">
        <v>1438</v>
      </c>
      <c r="J418" s="191">
        <v>1</v>
      </c>
      <c r="K418" s="189" t="str">
        <f t="shared" si="25"/>
        <v>DISTRIBUTOR</v>
      </c>
      <c r="L418" s="189" t="s">
        <v>37</v>
      </c>
      <c r="M418" s="191">
        <v>9</v>
      </c>
      <c r="N418" s="189" t="str">
        <f t="shared" si="20"/>
        <v>In Pcs</v>
      </c>
      <c r="O418" s="189" t="str">
        <f t="shared" si="21"/>
        <v>Pcs</v>
      </c>
      <c r="P418" s="191">
        <f t="shared" si="27"/>
        <v>4</v>
      </c>
      <c r="Q418" s="189" t="str">
        <f t="shared" si="28"/>
        <v>small</v>
      </c>
      <c r="R418" s="189">
        <v>336</v>
      </c>
      <c r="S418" s="192">
        <f>S417/24</f>
        <v>883.33333333333337</v>
      </c>
      <c r="T418" s="193">
        <f t="shared" si="29"/>
        <v>795.79579579579581</v>
      </c>
      <c r="U418" s="232"/>
      <c r="V418" s="232"/>
    </row>
    <row r="419" spans="1:22" ht="22.5" hidden="1" customHeight="1">
      <c r="A419" s="109"/>
      <c r="B419" s="109"/>
      <c r="C419" s="189">
        <v>148</v>
      </c>
      <c r="D419" s="189"/>
      <c r="E419" s="190" t="s">
        <v>916</v>
      </c>
      <c r="F419" s="190" t="s">
        <v>906</v>
      </c>
      <c r="G419" s="190" t="s">
        <v>906</v>
      </c>
      <c r="H419" s="189" t="s">
        <v>1438</v>
      </c>
      <c r="I419" s="189" t="s">
        <v>1438</v>
      </c>
      <c r="J419" s="191">
        <v>1</v>
      </c>
      <c r="K419" s="189" t="str">
        <f t="shared" si="25"/>
        <v>DISTRIBUTOR</v>
      </c>
      <c r="L419" s="189" t="s">
        <v>37</v>
      </c>
      <c r="M419" s="191">
        <v>1</v>
      </c>
      <c r="N419" s="189" t="str">
        <f t="shared" ref="N419:N520" si="30">IFERROR(VLOOKUP($M419,$M$3:$Q$14,2,0),"")</f>
        <v>In Carton</v>
      </c>
      <c r="O419" s="189" t="str">
        <f t="shared" si="21"/>
        <v>Carton</v>
      </c>
      <c r="P419" s="191">
        <f t="shared" si="27"/>
        <v>1</v>
      </c>
      <c r="Q419" s="189" t="str">
        <f t="shared" si="28"/>
        <v>large</v>
      </c>
      <c r="R419" s="189">
        <v>1</v>
      </c>
      <c r="S419" s="192">
        <f>10500*60</f>
        <v>630000</v>
      </c>
      <c r="T419" s="193">
        <f t="shared" si="29"/>
        <v>567567.56756756757</v>
      </c>
      <c r="U419" s="232"/>
      <c r="V419" s="232"/>
    </row>
    <row r="420" spans="1:22" ht="22.5" hidden="1" customHeight="1">
      <c r="A420" s="109"/>
      <c r="B420" s="109"/>
      <c r="C420" s="189">
        <v>148</v>
      </c>
      <c r="D420" s="189"/>
      <c r="E420" s="190" t="s">
        <v>916</v>
      </c>
      <c r="F420" s="190" t="s">
        <v>906</v>
      </c>
      <c r="G420" s="190" t="s">
        <v>906</v>
      </c>
      <c r="H420" s="189" t="s">
        <v>1438</v>
      </c>
      <c r="I420" s="189" t="s">
        <v>1438</v>
      </c>
      <c r="J420" s="191">
        <v>1</v>
      </c>
      <c r="K420" s="189" t="str">
        <f t="shared" si="25"/>
        <v>DISTRIBUTOR</v>
      </c>
      <c r="L420" s="189" t="s">
        <v>37</v>
      </c>
      <c r="M420" s="191">
        <v>7</v>
      </c>
      <c r="N420" s="189" t="str">
        <f t="shared" si="30"/>
        <v>In Pack</v>
      </c>
      <c r="O420" s="189" t="str">
        <f t="shared" si="21"/>
        <v>Ball</v>
      </c>
      <c r="P420" s="191">
        <f t="shared" si="27"/>
        <v>2</v>
      </c>
      <c r="Q420" s="189">
        <f t="shared" si="28"/>
        <v>0</v>
      </c>
      <c r="R420" s="189">
        <v>3</v>
      </c>
      <c r="S420" s="192">
        <f>S419/3</f>
        <v>210000</v>
      </c>
      <c r="T420" s="193">
        <f t="shared" si="29"/>
        <v>189189.18918918917</v>
      </c>
      <c r="U420" s="232"/>
      <c r="V420" s="232"/>
    </row>
    <row r="421" spans="1:22" ht="22.5" hidden="1" customHeight="1">
      <c r="A421" s="109"/>
      <c r="B421" s="109"/>
      <c r="C421" s="189">
        <v>148</v>
      </c>
      <c r="D421" s="189"/>
      <c r="E421" s="190" t="s">
        <v>916</v>
      </c>
      <c r="F421" s="190" t="s">
        <v>906</v>
      </c>
      <c r="G421" s="190" t="s">
        <v>906</v>
      </c>
      <c r="H421" s="189" t="s">
        <v>1438</v>
      </c>
      <c r="I421" s="189" t="s">
        <v>1438</v>
      </c>
      <c r="J421" s="191">
        <v>1</v>
      </c>
      <c r="K421" s="189" t="str">
        <f t="shared" si="25"/>
        <v>DISTRIBUTOR</v>
      </c>
      <c r="L421" s="189" t="s">
        <v>37</v>
      </c>
      <c r="M421" s="191">
        <v>9</v>
      </c>
      <c r="N421" s="189" t="str">
        <f t="shared" si="30"/>
        <v>In Pcs</v>
      </c>
      <c r="O421" s="189" t="str">
        <f t="shared" si="21"/>
        <v>Pcs</v>
      </c>
      <c r="P421" s="191">
        <f t="shared" si="27"/>
        <v>4</v>
      </c>
      <c r="Q421" s="189" t="str">
        <f t="shared" si="28"/>
        <v>small</v>
      </c>
      <c r="R421" s="189">
        <v>60</v>
      </c>
      <c r="S421" s="192">
        <f>S420/20</f>
        <v>10500</v>
      </c>
      <c r="T421" s="193">
        <f t="shared" si="29"/>
        <v>9459.4594594594582</v>
      </c>
      <c r="U421" s="232"/>
      <c r="V421" s="232"/>
    </row>
    <row r="422" spans="1:22" ht="22.5" hidden="1" customHeight="1">
      <c r="A422" s="109"/>
      <c r="B422" s="109"/>
      <c r="C422" s="189">
        <v>149</v>
      </c>
      <c r="D422" s="189"/>
      <c r="E422" s="190" t="s">
        <v>918</v>
      </c>
      <c r="F422" s="190" t="s">
        <v>906</v>
      </c>
      <c r="G422" s="190" t="s">
        <v>906</v>
      </c>
      <c r="H422" s="189" t="s">
        <v>1438</v>
      </c>
      <c r="I422" s="189" t="s">
        <v>1438</v>
      </c>
      <c r="J422" s="191">
        <v>1</v>
      </c>
      <c r="K422" s="189" t="str">
        <f t="shared" si="25"/>
        <v>DISTRIBUTOR</v>
      </c>
      <c r="L422" s="189" t="s">
        <v>37</v>
      </c>
      <c r="M422" s="191">
        <v>1</v>
      </c>
      <c r="N422" s="189" t="str">
        <f t="shared" si="30"/>
        <v>In Carton</v>
      </c>
      <c r="O422" s="189" t="str">
        <f t="shared" si="21"/>
        <v>Carton</v>
      </c>
      <c r="P422" s="191">
        <f t="shared" si="27"/>
        <v>1</v>
      </c>
      <c r="Q422" s="189" t="str">
        <f t="shared" si="28"/>
        <v>large</v>
      </c>
      <c r="R422" s="189">
        <v>1</v>
      </c>
      <c r="S422" s="192">
        <f>4550*80</f>
        <v>364000</v>
      </c>
      <c r="T422" s="193">
        <f t="shared" si="29"/>
        <v>327927.92792792787</v>
      </c>
      <c r="U422" s="232"/>
      <c r="V422" s="232"/>
    </row>
    <row r="423" spans="1:22" ht="22.5" hidden="1" customHeight="1">
      <c r="A423" s="109"/>
      <c r="B423" s="109"/>
      <c r="C423" s="189">
        <v>149</v>
      </c>
      <c r="D423" s="189"/>
      <c r="E423" s="190" t="s">
        <v>918</v>
      </c>
      <c r="F423" s="190" t="s">
        <v>906</v>
      </c>
      <c r="G423" s="190" t="s">
        <v>906</v>
      </c>
      <c r="H423" s="189" t="s">
        <v>1438</v>
      </c>
      <c r="I423" s="189" t="s">
        <v>1438</v>
      </c>
      <c r="J423" s="191">
        <v>1</v>
      </c>
      <c r="K423" s="189" t="str">
        <f t="shared" si="25"/>
        <v>DISTRIBUTOR</v>
      </c>
      <c r="L423" s="189" t="s">
        <v>37</v>
      </c>
      <c r="M423" s="191">
        <v>7</v>
      </c>
      <c r="N423" s="189" t="str">
        <f t="shared" si="30"/>
        <v>In Pack</v>
      </c>
      <c r="O423" s="189" t="str">
        <f t="shared" si="21"/>
        <v>Ball</v>
      </c>
      <c r="P423" s="191">
        <f t="shared" si="27"/>
        <v>2</v>
      </c>
      <c r="Q423" s="189">
        <f t="shared" si="28"/>
        <v>0</v>
      </c>
      <c r="R423" s="189">
        <v>8</v>
      </c>
      <c r="S423" s="192">
        <f>S422/8</f>
        <v>45500</v>
      </c>
      <c r="T423" s="193">
        <f t="shared" si="29"/>
        <v>40990.990990990984</v>
      </c>
      <c r="U423" s="232"/>
      <c r="V423" s="232"/>
    </row>
    <row r="424" spans="1:22" ht="22.5" hidden="1" customHeight="1">
      <c r="A424" s="109"/>
      <c r="B424" s="109"/>
      <c r="C424" s="189">
        <v>149</v>
      </c>
      <c r="D424" s="189"/>
      <c r="E424" s="190" t="s">
        <v>918</v>
      </c>
      <c r="F424" s="190" t="s">
        <v>906</v>
      </c>
      <c r="G424" s="190" t="s">
        <v>906</v>
      </c>
      <c r="H424" s="189" t="s">
        <v>1438</v>
      </c>
      <c r="I424" s="189" t="s">
        <v>1438</v>
      </c>
      <c r="J424" s="191">
        <v>1</v>
      </c>
      <c r="K424" s="189" t="str">
        <f t="shared" si="25"/>
        <v>DISTRIBUTOR</v>
      </c>
      <c r="L424" s="189" t="s">
        <v>37</v>
      </c>
      <c r="M424" s="191">
        <v>9</v>
      </c>
      <c r="N424" s="189" t="str">
        <f t="shared" si="30"/>
        <v>In Pcs</v>
      </c>
      <c r="O424" s="189" t="str">
        <f t="shared" si="21"/>
        <v>Pcs</v>
      </c>
      <c r="P424" s="191">
        <f t="shared" si="27"/>
        <v>4</v>
      </c>
      <c r="Q424" s="189" t="str">
        <f t="shared" si="28"/>
        <v>small</v>
      </c>
      <c r="R424" s="189">
        <v>80</v>
      </c>
      <c r="S424" s="192">
        <f>S423/10</f>
        <v>4550</v>
      </c>
      <c r="T424" s="193">
        <f t="shared" si="29"/>
        <v>4099.0990990990986</v>
      </c>
      <c r="U424" s="232"/>
      <c r="V424" s="232"/>
    </row>
    <row r="425" spans="1:22" ht="22.5" hidden="1" customHeight="1">
      <c r="A425" s="109"/>
      <c r="B425" s="109"/>
      <c r="C425" s="189">
        <v>150</v>
      </c>
      <c r="D425" s="189"/>
      <c r="E425" s="190" t="s">
        <v>920</v>
      </c>
      <c r="F425" s="190" t="s">
        <v>906</v>
      </c>
      <c r="G425" s="190" t="s">
        <v>906</v>
      </c>
      <c r="H425" s="189" t="s">
        <v>1438</v>
      </c>
      <c r="I425" s="189" t="s">
        <v>1438</v>
      </c>
      <c r="J425" s="191">
        <v>1</v>
      </c>
      <c r="K425" s="189" t="str">
        <f t="shared" si="25"/>
        <v>DISTRIBUTOR</v>
      </c>
      <c r="L425" s="189" t="s">
        <v>37</v>
      </c>
      <c r="M425" s="191">
        <v>1</v>
      </c>
      <c r="N425" s="189" t="str">
        <f t="shared" si="30"/>
        <v>In Carton</v>
      </c>
      <c r="O425" s="189" t="str">
        <f t="shared" si="21"/>
        <v>Carton</v>
      </c>
      <c r="P425" s="191">
        <f t="shared" si="27"/>
        <v>1</v>
      </c>
      <c r="Q425" s="189" t="str">
        <f t="shared" si="28"/>
        <v>large</v>
      </c>
      <c r="R425" s="189">
        <v>1</v>
      </c>
      <c r="S425" s="192">
        <f>3700*40</f>
        <v>148000</v>
      </c>
      <c r="T425" s="193">
        <f t="shared" si="29"/>
        <v>133333.33333333331</v>
      </c>
      <c r="U425" s="232"/>
      <c r="V425" s="232"/>
    </row>
    <row r="426" spans="1:22" ht="22.5" hidden="1" customHeight="1">
      <c r="A426" s="109"/>
      <c r="B426" s="109"/>
      <c r="C426" s="189">
        <v>150</v>
      </c>
      <c r="D426" s="189"/>
      <c r="E426" s="190" t="s">
        <v>920</v>
      </c>
      <c r="F426" s="190" t="s">
        <v>906</v>
      </c>
      <c r="G426" s="190" t="s">
        <v>906</v>
      </c>
      <c r="H426" s="189" t="s">
        <v>1438</v>
      </c>
      <c r="I426" s="189" t="s">
        <v>1438</v>
      </c>
      <c r="J426" s="191">
        <v>1</v>
      </c>
      <c r="K426" s="189" t="str">
        <f t="shared" si="25"/>
        <v>DISTRIBUTOR</v>
      </c>
      <c r="L426" s="189" t="s">
        <v>37</v>
      </c>
      <c r="M426" s="191">
        <v>9</v>
      </c>
      <c r="N426" s="189" t="str">
        <f t="shared" si="30"/>
        <v>In Pcs</v>
      </c>
      <c r="O426" s="189" t="str">
        <f t="shared" si="21"/>
        <v>Pcs</v>
      </c>
      <c r="P426" s="191">
        <f t="shared" si="27"/>
        <v>4</v>
      </c>
      <c r="Q426" s="189" t="str">
        <f t="shared" si="28"/>
        <v>small</v>
      </c>
      <c r="R426" s="189">
        <v>40</v>
      </c>
      <c r="S426" s="192">
        <f>S425/40</f>
        <v>3700</v>
      </c>
      <c r="T426" s="193">
        <f t="shared" si="29"/>
        <v>3333.333333333333</v>
      </c>
      <c r="U426" s="232"/>
      <c r="V426" s="232"/>
    </row>
    <row r="427" spans="1:22" ht="22.5" hidden="1" customHeight="1">
      <c r="A427" s="109"/>
      <c r="B427" s="109"/>
      <c r="C427" s="189">
        <v>151</v>
      </c>
      <c r="D427" s="189"/>
      <c r="E427" s="190" t="s">
        <v>922</v>
      </c>
      <c r="F427" s="190" t="s">
        <v>906</v>
      </c>
      <c r="G427" s="190" t="s">
        <v>906</v>
      </c>
      <c r="H427" s="189" t="s">
        <v>1438</v>
      </c>
      <c r="I427" s="189" t="s">
        <v>1438</v>
      </c>
      <c r="J427" s="191">
        <v>1</v>
      </c>
      <c r="K427" s="189" t="str">
        <f t="shared" si="25"/>
        <v>DISTRIBUTOR</v>
      </c>
      <c r="L427" s="189" t="s">
        <v>37</v>
      </c>
      <c r="M427" s="191">
        <v>1</v>
      </c>
      <c r="N427" s="189" t="str">
        <f t="shared" si="30"/>
        <v>In Carton</v>
      </c>
      <c r="O427" s="189" t="str">
        <f t="shared" si="21"/>
        <v>Carton</v>
      </c>
      <c r="P427" s="191">
        <f t="shared" si="27"/>
        <v>1</v>
      </c>
      <c r="Q427" s="189" t="str">
        <f t="shared" si="28"/>
        <v>large</v>
      </c>
      <c r="R427" s="189">
        <v>1</v>
      </c>
      <c r="S427" s="192">
        <f>27000*12</f>
        <v>324000</v>
      </c>
      <c r="T427" s="193">
        <f t="shared" si="29"/>
        <v>291891.89189189189</v>
      </c>
      <c r="U427" s="232"/>
      <c r="V427" s="232"/>
    </row>
    <row r="428" spans="1:22" ht="22.5" hidden="1" customHeight="1">
      <c r="A428" s="109"/>
      <c r="B428" s="109"/>
      <c r="C428" s="189">
        <v>151</v>
      </c>
      <c r="D428" s="189"/>
      <c r="E428" s="190" t="s">
        <v>922</v>
      </c>
      <c r="F428" s="190" t="s">
        <v>906</v>
      </c>
      <c r="G428" s="190" t="s">
        <v>906</v>
      </c>
      <c r="H428" s="189" t="s">
        <v>1438</v>
      </c>
      <c r="I428" s="189" t="s">
        <v>1438</v>
      </c>
      <c r="J428" s="191">
        <v>1</v>
      </c>
      <c r="K428" s="189" t="str">
        <f t="shared" si="25"/>
        <v>DISTRIBUTOR</v>
      </c>
      <c r="L428" s="189" t="s">
        <v>37</v>
      </c>
      <c r="M428" s="191">
        <v>3</v>
      </c>
      <c r="N428" s="189" t="str">
        <f t="shared" si="30"/>
        <v>In Pack</v>
      </c>
      <c r="O428" s="189" t="str">
        <f t="shared" si="21"/>
        <v>Pack</v>
      </c>
      <c r="P428" s="191">
        <f t="shared" si="27"/>
        <v>2</v>
      </c>
      <c r="Q428" s="189">
        <f t="shared" si="28"/>
        <v>0</v>
      </c>
      <c r="R428" s="189">
        <v>12</v>
      </c>
      <c r="S428" s="192">
        <f>S427/12</f>
        <v>27000</v>
      </c>
      <c r="T428" s="193">
        <f t="shared" si="29"/>
        <v>24324.324324324323</v>
      </c>
      <c r="U428" s="232"/>
      <c r="V428" s="232"/>
    </row>
    <row r="429" spans="1:22" ht="22.5" hidden="1" customHeight="1">
      <c r="A429" s="109"/>
      <c r="B429" s="109"/>
      <c r="C429" s="189">
        <v>151</v>
      </c>
      <c r="D429" s="189"/>
      <c r="E429" s="190" t="s">
        <v>922</v>
      </c>
      <c r="F429" s="190" t="s">
        <v>906</v>
      </c>
      <c r="G429" s="190" t="s">
        <v>906</v>
      </c>
      <c r="H429" s="189" t="s">
        <v>1438</v>
      </c>
      <c r="I429" s="189" t="s">
        <v>1438</v>
      </c>
      <c r="J429" s="191">
        <v>1</v>
      </c>
      <c r="K429" s="189" t="str">
        <f t="shared" si="25"/>
        <v>DISTRIBUTOR</v>
      </c>
      <c r="L429" s="189" t="s">
        <v>37</v>
      </c>
      <c r="M429" s="191">
        <v>9</v>
      </c>
      <c r="N429" s="189" t="str">
        <f t="shared" si="30"/>
        <v>In Pcs</v>
      </c>
      <c r="O429" s="189" t="str">
        <f t="shared" si="21"/>
        <v>Pcs</v>
      </c>
      <c r="P429" s="191">
        <f t="shared" si="27"/>
        <v>4</v>
      </c>
      <c r="Q429" s="189" t="str">
        <f t="shared" si="28"/>
        <v>small</v>
      </c>
      <c r="R429" s="189">
        <v>120</v>
      </c>
      <c r="S429" s="192">
        <f>S428/10</f>
        <v>2700</v>
      </c>
      <c r="T429" s="193">
        <f t="shared" si="29"/>
        <v>2432.4324324324321</v>
      </c>
      <c r="U429" s="232"/>
      <c r="V429" s="232"/>
    </row>
    <row r="430" spans="1:22" ht="22.5" hidden="1" customHeight="1">
      <c r="A430" s="109"/>
      <c r="B430" s="109"/>
      <c r="C430" s="189">
        <v>152</v>
      </c>
      <c r="D430" s="189"/>
      <c r="E430" s="190" t="s">
        <v>924</v>
      </c>
      <c r="F430" s="190" t="s">
        <v>906</v>
      </c>
      <c r="G430" s="190" t="s">
        <v>906</v>
      </c>
      <c r="H430" s="189" t="s">
        <v>1438</v>
      </c>
      <c r="I430" s="189" t="s">
        <v>1438</v>
      </c>
      <c r="J430" s="191">
        <v>1</v>
      </c>
      <c r="K430" s="189" t="str">
        <f t="shared" si="25"/>
        <v>DISTRIBUTOR</v>
      </c>
      <c r="L430" s="189" t="s">
        <v>37</v>
      </c>
      <c r="M430" s="191">
        <v>1</v>
      </c>
      <c r="N430" s="189" t="str">
        <f t="shared" si="30"/>
        <v>In Carton</v>
      </c>
      <c r="O430" s="189" t="str">
        <f t="shared" si="21"/>
        <v>Carton</v>
      </c>
      <c r="P430" s="191">
        <f t="shared" si="27"/>
        <v>1</v>
      </c>
      <c r="Q430" s="189" t="str">
        <f t="shared" si="28"/>
        <v>large</v>
      </c>
      <c r="R430" s="189">
        <v>1</v>
      </c>
      <c r="S430" s="192">
        <f>3500*80</f>
        <v>280000</v>
      </c>
      <c r="T430" s="193">
        <f t="shared" si="29"/>
        <v>252252.25225225222</v>
      </c>
      <c r="U430" s="232"/>
      <c r="V430" s="232"/>
    </row>
    <row r="431" spans="1:22" ht="22.5" hidden="1" customHeight="1">
      <c r="A431" s="109"/>
      <c r="B431" s="109"/>
      <c r="C431" s="189">
        <v>152</v>
      </c>
      <c r="D431" s="189"/>
      <c r="E431" s="190" t="s">
        <v>924</v>
      </c>
      <c r="F431" s="190" t="s">
        <v>906</v>
      </c>
      <c r="G431" s="190" t="s">
        <v>906</v>
      </c>
      <c r="H431" s="189" t="s">
        <v>1438</v>
      </c>
      <c r="I431" s="189" t="s">
        <v>1438</v>
      </c>
      <c r="J431" s="191">
        <v>1</v>
      </c>
      <c r="K431" s="189" t="str">
        <f t="shared" si="25"/>
        <v>DISTRIBUTOR</v>
      </c>
      <c r="L431" s="189" t="s">
        <v>37</v>
      </c>
      <c r="M431" s="191">
        <v>9</v>
      </c>
      <c r="N431" s="189" t="str">
        <f t="shared" si="30"/>
        <v>In Pcs</v>
      </c>
      <c r="O431" s="189" t="str">
        <f t="shared" si="21"/>
        <v>Pcs</v>
      </c>
      <c r="P431" s="191">
        <f t="shared" si="27"/>
        <v>4</v>
      </c>
      <c r="Q431" s="189" t="str">
        <f t="shared" si="28"/>
        <v>small</v>
      </c>
      <c r="R431" s="189">
        <v>80</v>
      </c>
      <c r="S431" s="192">
        <f>S430/80</f>
        <v>3500</v>
      </c>
      <c r="T431" s="193">
        <f t="shared" si="29"/>
        <v>3153.1531531531527</v>
      </c>
      <c r="U431" s="232"/>
      <c r="V431" s="232"/>
    </row>
    <row r="432" spans="1:22" ht="22.5" hidden="1" customHeight="1">
      <c r="A432" s="109"/>
      <c r="B432" s="109"/>
      <c r="C432" s="189">
        <v>153</v>
      </c>
      <c r="D432" s="189"/>
      <c r="E432" s="190" t="s">
        <v>930</v>
      </c>
      <c r="F432" s="190" t="s">
        <v>906</v>
      </c>
      <c r="G432" s="190" t="s">
        <v>906</v>
      </c>
      <c r="H432" s="189" t="s">
        <v>1438</v>
      </c>
      <c r="I432" s="189" t="s">
        <v>1438</v>
      </c>
      <c r="J432" s="191">
        <v>1</v>
      </c>
      <c r="K432" s="189" t="str">
        <f t="shared" si="25"/>
        <v>DISTRIBUTOR</v>
      </c>
      <c r="L432" s="189" t="s">
        <v>37</v>
      </c>
      <c r="M432" s="191">
        <v>1</v>
      </c>
      <c r="N432" s="189" t="str">
        <f t="shared" si="30"/>
        <v>In Carton</v>
      </c>
      <c r="O432" s="189" t="str">
        <f t="shared" si="21"/>
        <v>Carton</v>
      </c>
      <c r="P432" s="191">
        <f t="shared" si="27"/>
        <v>1</v>
      </c>
      <c r="Q432" s="189" t="str">
        <f t="shared" si="28"/>
        <v>large</v>
      </c>
      <c r="R432" s="189">
        <v>1</v>
      </c>
      <c r="S432" s="192">
        <f>9000*20</f>
        <v>180000</v>
      </c>
      <c r="T432" s="193">
        <f t="shared" si="29"/>
        <v>162162.16216216216</v>
      </c>
      <c r="U432" s="232"/>
      <c r="V432" s="232"/>
    </row>
    <row r="433" spans="1:22" ht="22.5" hidden="1" customHeight="1">
      <c r="A433" s="109"/>
      <c r="B433" s="109"/>
      <c r="C433" s="189">
        <v>153</v>
      </c>
      <c r="D433" s="189"/>
      <c r="E433" s="190" t="s">
        <v>930</v>
      </c>
      <c r="F433" s="190" t="s">
        <v>906</v>
      </c>
      <c r="G433" s="190" t="s">
        <v>906</v>
      </c>
      <c r="H433" s="189" t="s">
        <v>1438</v>
      </c>
      <c r="I433" s="189" t="s">
        <v>1438</v>
      </c>
      <c r="J433" s="191">
        <v>1</v>
      </c>
      <c r="K433" s="189" t="str">
        <f t="shared" si="25"/>
        <v>DISTRIBUTOR</v>
      </c>
      <c r="L433" s="189" t="s">
        <v>37</v>
      </c>
      <c r="M433" s="191">
        <v>9</v>
      </c>
      <c r="N433" s="189" t="str">
        <f t="shared" si="30"/>
        <v>In Pcs</v>
      </c>
      <c r="O433" s="189" t="str">
        <f t="shared" si="21"/>
        <v>Pcs</v>
      </c>
      <c r="P433" s="191">
        <f t="shared" si="27"/>
        <v>4</v>
      </c>
      <c r="Q433" s="189" t="str">
        <f t="shared" si="28"/>
        <v>small</v>
      </c>
      <c r="R433" s="189">
        <v>20</v>
      </c>
      <c r="S433" s="192">
        <f>S432/20</f>
        <v>9000</v>
      </c>
      <c r="T433" s="193">
        <f t="shared" si="29"/>
        <v>8108.1081081081074</v>
      </c>
      <c r="U433" s="232"/>
      <c r="V433" s="232"/>
    </row>
    <row r="434" spans="1:22" ht="22.5" hidden="1" customHeight="1">
      <c r="A434" s="109"/>
      <c r="B434" s="109"/>
      <c r="C434" s="189">
        <v>154</v>
      </c>
      <c r="D434" s="189"/>
      <c r="E434" s="190" t="s">
        <v>934</v>
      </c>
      <c r="F434" s="190" t="s">
        <v>906</v>
      </c>
      <c r="G434" s="190" t="s">
        <v>906</v>
      </c>
      <c r="H434" s="189" t="s">
        <v>1438</v>
      </c>
      <c r="I434" s="189" t="s">
        <v>1438</v>
      </c>
      <c r="J434" s="191">
        <v>1</v>
      </c>
      <c r="K434" s="189" t="str">
        <f t="shared" si="25"/>
        <v>DISTRIBUTOR</v>
      </c>
      <c r="L434" s="189" t="s">
        <v>37</v>
      </c>
      <c r="M434" s="191">
        <v>1</v>
      </c>
      <c r="N434" s="189" t="str">
        <f t="shared" si="30"/>
        <v>In Carton</v>
      </c>
      <c r="O434" s="189" t="str">
        <f t="shared" si="21"/>
        <v>Carton</v>
      </c>
      <c r="P434" s="191">
        <f t="shared" si="27"/>
        <v>1</v>
      </c>
      <c r="Q434" s="189" t="str">
        <f t="shared" si="28"/>
        <v>large</v>
      </c>
      <c r="R434" s="189">
        <v>1</v>
      </c>
      <c r="S434" s="192">
        <f>4320*60</f>
        <v>259200</v>
      </c>
      <c r="T434" s="193">
        <f t="shared" si="29"/>
        <v>233513.51351351349</v>
      </c>
      <c r="U434" s="232"/>
      <c r="V434" s="232"/>
    </row>
    <row r="435" spans="1:22" ht="22.5" hidden="1" customHeight="1">
      <c r="A435" s="109"/>
      <c r="B435" s="109"/>
      <c r="C435" s="189">
        <v>154</v>
      </c>
      <c r="D435" s="189"/>
      <c r="E435" s="190" t="s">
        <v>934</v>
      </c>
      <c r="F435" s="190" t="s">
        <v>906</v>
      </c>
      <c r="G435" s="190" t="s">
        <v>906</v>
      </c>
      <c r="H435" s="189" t="s">
        <v>1438</v>
      </c>
      <c r="I435" s="189" t="s">
        <v>1438</v>
      </c>
      <c r="J435" s="191">
        <v>1</v>
      </c>
      <c r="K435" s="189" t="str">
        <f t="shared" si="25"/>
        <v>DISTRIBUTOR</v>
      </c>
      <c r="L435" s="189" t="s">
        <v>37</v>
      </c>
      <c r="M435" s="191">
        <v>3</v>
      </c>
      <c r="N435" s="189" t="str">
        <f t="shared" si="30"/>
        <v>In Pack</v>
      </c>
      <c r="O435" s="189" t="str">
        <f t="shared" si="21"/>
        <v>Pack</v>
      </c>
      <c r="P435" s="191">
        <f t="shared" si="27"/>
        <v>2</v>
      </c>
      <c r="Q435" s="189">
        <f t="shared" si="28"/>
        <v>0</v>
      </c>
      <c r="R435" s="189">
        <v>6</v>
      </c>
      <c r="S435" s="192">
        <f>S434/6</f>
        <v>43200</v>
      </c>
      <c r="T435" s="193">
        <f t="shared" si="29"/>
        <v>38918.918918918913</v>
      </c>
      <c r="U435" s="232"/>
      <c r="V435" s="232"/>
    </row>
    <row r="436" spans="1:22" ht="22.5" hidden="1" customHeight="1">
      <c r="A436" s="109"/>
      <c r="B436" s="109"/>
      <c r="C436" s="189">
        <v>154</v>
      </c>
      <c r="D436" s="189"/>
      <c r="E436" s="190" t="s">
        <v>934</v>
      </c>
      <c r="F436" s="190" t="s">
        <v>906</v>
      </c>
      <c r="G436" s="190" t="s">
        <v>906</v>
      </c>
      <c r="H436" s="189" t="s">
        <v>1438</v>
      </c>
      <c r="I436" s="189" t="s">
        <v>1438</v>
      </c>
      <c r="J436" s="191">
        <v>1</v>
      </c>
      <c r="K436" s="189" t="str">
        <f t="shared" si="25"/>
        <v>DISTRIBUTOR</v>
      </c>
      <c r="L436" s="189" t="s">
        <v>37</v>
      </c>
      <c r="M436" s="191">
        <v>8</v>
      </c>
      <c r="N436" s="189" t="str">
        <f t="shared" si="30"/>
        <v>In Renceng</v>
      </c>
      <c r="O436" s="189" t="str">
        <f t="shared" si="21"/>
        <v>Renceng</v>
      </c>
      <c r="P436" s="191">
        <f t="shared" si="27"/>
        <v>3</v>
      </c>
      <c r="Q436" s="189">
        <f t="shared" si="28"/>
        <v>0</v>
      </c>
      <c r="R436" s="189">
        <v>60</v>
      </c>
      <c r="S436" s="192">
        <f>S435/10</f>
        <v>4320</v>
      </c>
      <c r="T436" s="193">
        <f t="shared" si="29"/>
        <v>3891.8918918918916</v>
      </c>
      <c r="U436" s="232"/>
      <c r="V436" s="232"/>
    </row>
    <row r="437" spans="1:22" ht="22.5" hidden="1" customHeight="1">
      <c r="A437" s="109"/>
      <c r="B437" s="109"/>
      <c r="C437" s="189">
        <v>154</v>
      </c>
      <c r="D437" s="189"/>
      <c r="E437" s="190" t="s">
        <v>934</v>
      </c>
      <c r="F437" s="190" t="s">
        <v>906</v>
      </c>
      <c r="G437" s="190" t="s">
        <v>906</v>
      </c>
      <c r="H437" s="189" t="s">
        <v>1438</v>
      </c>
      <c r="I437" s="189" t="s">
        <v>1438</v>
      </c>
      <c r="J437" s="191">
        <v>1</v>
      </c>
      <c r="K437" s="189" t="str">
        <f t="shared" si="25"/>
        <v>DISTRIBUTOR</v>
      </c>
      <c r="L437" s="189" t="s">
        <v>37</v>
      </c>
      <c r="M437" s="191">
        <v>9</v>
      </c>
      <c r="N437" s="189" t="str">
        <f t="shared" si="30"/>
        <v>In Pcs</v>
      </c>
      <c r="O437" s="189" t="str">
        <f t="shared" si="21"/>
        <v>Pcs</v>
      </c>
      <c r="P437" s="191">
        <f t="shared" si="27"/>
        <v>4</v>
      </c>
      <c r="Q437" s="189" t="str">
        <f t="shared" si="28"/>
        <v>small</v>
      </c>
      <c r="R437" s="189">
        <v>720</v>
      </c>
      <c r="S437" s="192">
        <f>S436/12</f>
        <v>360</v>
      </c>
      <c r="T437" s="193">
        <f t="shared" si="29"/>
        <v>324.32432432432432</v>
      </c>
      <c r="U437" s="232"/>
      <c r="V437" s="232"/>
    </row>
    <row r="438" spans="1:22" ht="22.5" hidden="1" customHeight="1">
      <c r="A438" s="109"/>
      <c r="B438" s="109"/>
      <c r="C438" s="189">
        <v>155</v>
      </c>
      <c r="D438" s="189"/>
      <c r="E438" s="190" t="s">
        <v>940</v>
      </c>
      <c r="F438" s="190" t="s">
        <v>906</v>
      </c>
      <c r="G438" s="190" t="s">
        <v>906</v>
      </c>
      <c r="H438" s="189" t="s">
        <v>1438</v>
      </c>
      <c r="I438" s="189" t="s">
        <v>1438</v>
      </c>
      <c r="J438" s="191">
        <v>1</v>
      </c>
      <c r="K438" s="189" t="str">
        <f t="shared" si="25"/>
        <v>DISTRIBUTOR</v>
      </c>
      <c r="L438" s="189" t="s">
        <v>37</v>
      </c>
      <c r="M438" s="191">
        <v>1</v>
      </c>
      <c r="N438" s="189" t="str">
        <f t="shared" si="30"/>
        <v>In Carton</v>
      </c>
      <c r="O438" s="189" t="str">
        <f t="shared" si="21"/>
        <v>Carton</v>
      </c>
      <c r="P438" s="191">
        <f t="shared" si="27"/>
        <v>1</v>
      </c>
      <c r="Q438" s="189" t="str">
        <f t="shared" si="28"/>
        <v>large</v>
      </c>
      <c r="R438" s="189">
        <v>1</v>
      </c>
      <c r="S438" s="192">
        <v>270000</v>
      </c>
      <c r="T438" s="193">
        <f t="shared" si="29"/>
        <v>243243.24324324323</v>
      </c>
      <c r="U438" s="232"/>
      <c r="V438" s="232"/>
    </row>
    <row r="439" spans="1:22" ht="22.5" hidden="1" customHeight="1">
      <c r="A439" s="109"/>
      <c r="B439" s="109"/>
      <c r="C439" s="189">
        <v>155</v>
      </c>
      <c r="D439" s="189"/>
      <c r="E439" s="190" t="s">
        <v>940</v>
      </c>
      <c r="F439" s="190" t="s">
        <v>906</v>
      </c>
      <c r="G439" s="190" t="s">
        <v>906</v>
      </c>
      <c r="H439" s="189" t="s">
        <v>1438</v>
      </c>
      <c r="I439" s="189" t="s">
        <v>1438</v>
      </c>
      <c r="J439" s="191">
        <v>1</v>
      </c>
      <c r="K439" s="189" t="str">
        <f t="shared" si="25"/>
        <v>DISTRIBUTOR</v>
      </c>
      <c r="L439" s="189" t="s">
        <v>37</v>
      </c>
      <c r="M439" s="191">
        <v>3</v>
      </c>
      <c r="N439" s="189" t="str">
        <f t="shared" si="30"/>
        <v>In Pack</v>
      </c>
      <c r="O439" s="189" t="str">
        <f t="shared" ref="O439:O540" si="31">IFERROR(VLOOKUP($M439,$M$3:$Q$14,3,0),"")</f>
        <v>Pack</v>
      </c>
      <c r="P439" s="191">
        <f t="shared" si="27"/>
        <v>2</v>
      </c>
      <c r="Q439" s="189">
        <f t="shared" si="28"/>
        <v>0</v>
      </c>
      <c r="R439" s="189">
        <v>6</v>
      </c>
      <c r="S439" s="192">
        <v>45000</v>
      </c>
      <c r="T439" s="193">
        <f t="shared" si="29"/>
        <v>40540.54054054054</v>
      </c>
      <c r="U439" s="232"/>
      <c r="V439" s="232"/>
    </row>
    <row r="440" spans="1:22" ht="22.5" hidden="1" customHeight="1">
      <c r="A440" s="109"/>
      <c r="B440" s="109"/>
      <c r="C440" s="189">
        <v>155</v>
      </c>
      <c r="D440" s="189"/>
      <c r="E440" s="190" t="s">
        <v>940</v>
      </c>
      <c r="F440" s="190" t="s">
        <v>906</v>
      </c>
      <c r="G440" s="190" t="s">
        <v>906</v>
      </c>
      <c r="H440" s="189" t="s">
        <v>1438</v>
      </c>
      <c r="I440" s="189" t="s">
        <v>1438</v>
      </c>
      <c r="J440" s="191">
        <v>1</v>
      </c>
      <c r="K440" s="189" t="str">
        <f t="shared" si="25"/>
        <v>DISTRIBUTOR</v>
      </c>
      <c r="L440" s="189" t="s">
        <v>37</v>
      </c>
      <c r="M440" s="191">
        <v>8</v>
      </c>
      <c r="N440" s="189" t="str">
        <f t="shared" si="30"/>
        <v>In Renceng</v>
      </c>
      <c r="O440" s="189" t="str">
        <f t="shared" si="31"/>
        <v>Renceng</v>
      </c>
      <c r="P440" s="191">
        <f t="shared" si="27"/>
        <v>3</v>
      </c>
      <c r="Q440" s="189">
        <f t="shared" si="28"/>
        <v>0</v>
      </c>
      <c r="R440" s="189">
        <v>12</v>
      </c>
      <c r="S440" s="192">
        <v>22500</v>
      </c>
      <c r="T440" s="193">
        <f t="shared" si="29"/>
        <v>20270.27027027027</v>
      </c>
      <c r="U440" s="232"/>
      <c r="V440" s="232"/>
    </row>
    <row r="441" spans="1:22" ht="22.5" hidden="1" customHeight="1">
      <c r="A441" s="109"/>
      <c r="B441" s="109"/>
      <c r="C441" s="189">
        <v>155</v>
      </c>
      <c r="D441" s="189"/>
      <c r="E441" s="190" t="s">
        <v>940</v>
      </c>
      <c r="F441" s="190" t="s">
        <v>906</v>
      </c>
      <c r="G441" s="190" t="s">
        <v>906</v>
      </c>
      <c r="H441" s="189" t="s">
        <v>1438</v>
      </c>
      <c r="I441" s="189" t="s">
        <v>1438</v>
      </c>
      <c r="J441" s="191">
        <v>1</v>
      </c>
      <c r="K441" s="189" t="str">
        <f t="shared" si="25"/>
        <v>DISTRIBUTOR</v>
      </c>
      <c r="L441" s="189" t="s">
        <v>37</v>
      </c>
      <c r="M441" s="191">
        <v>9</v>
      </c>
      <c r="N441" s="189" t="str">
        <f t="shared" si="30"/>
        <v>In Pcs</v>
      </c>
      <c r="O441" s="189" t="str">
        <f t="shared" si="31"/>
        <v>Pcs</v>
      </c>
      <c r="P441" s="191">
        <f t="shared" si="27"/>
        <v>4</v>
      </c>
      <c r="Q441" s="189" t="str">
        <f t="shared" si="28"/>
        <v>small</v>
      </c>
      <c r="R441" s="189">
        <v>120</v>
      </c>
      <c r="S441" s="192">
        <v>2250</v>
      </c>
      <c r="T441" s="193">
        <f t="shared" si="29"/>
        <v>2027.0270270270269</v>
      </c>
      <c r="U441" s="232"/>
      <c r="V441" s="232"/>
    </row>
    <row r="442" spans="1:22" ht="22.5" hidden="1" customHeight="1">
      <c r="A442" s="109"/>
      <c r="B442" s="109"/>
      <c r="C442" s="189">
        <v>156</v>
      </c>
      <c r="D442" s="189"/>
      <c r="E442" s="190" t="s">
        <v>944</v>
      </c>
      <c r="F442" s="190" t="s">
        <v>906</v>
      </c>
      <c r="G442" s="190" t="s">
        <v>906</v>
      </c>
      <c r="H442" s="189" t="s">
        <v>1438</v>
      </c>
      <c r="I442" s="189" t="s">
        <v>1438</v>
      </c>
      <c r="J442" s="191">
        <v>1</v>
      </c>
      <c r="K442" s="189" t="str">
        <f t="shared" si="25"/>
        <v>DISTRIBUTOR</v>
      </c>
      <c r="L442" s="189" t="s">
        <v>37</v>
      </c>
      <c r="M442" s="191">
        <v>1</v>
      </c>
      <c r="N442" s="189" t="str">
        <f t="shared" si="30"/>
        <v>In Carton</v>
      </c>
      <c r="O442" s="189" t="str">
        <f t="shared" si="31"/>
        <v>Carton</v>
      </c>
      <c r="P442" s="191">
        <f t="shared" si="27"/>
        <v>1</v>
      </c>
      <c r="Q442" s="189" t="str">
        <f t="shared" si="28"/>
        <v>large</v>
      </c>
      <c r="R442" s="189">
        <v>1</v>
      </c>
      <c r="S442" s="192">
        <f>3438*40</f>
        <v>137520</v>
      </c>
      <c r="T442" s="193">
        <f t="shared" si="29"/>
        <v>123891.89189189188</v>
      </c>
      <c r="U442" s="232"/>
      <c r="V442" s="232"/>
    </row>
    <row r="443" spans="1:22" ht="22.5" hidden="1" customHeight="1">
      <c r="A443" s="109"/>
      <c r="B443" s="109"/>
      <c r="C443" s="189">
        <v>156</v>
      </c>
      <c r="D443" s="189"/>
      <c r="E443" s="190" t="s">
        <v>944</v>
      </c>
      <c r="F443" s="190" t="s">
        <v>906</v>
      </c>
      <c r="G443" s="190" t="s">
        <v>906</v>
      </c>
      <c r="H443" s="189" t="s">
        <v>1438</v>
      </c>
      <c r="I443" s="189" t="s">
        <v>1438</v>
      </c>
      <c r="J443" s="191">
        <v>1</v>
      </c>
      <c r="K443" s="189" t="str">
        <f t="shared" si="25"/>
        <v>DISTRIBUTOR</v>
      </c>
      <c r="L443" s="189" t="s">
        <v>37</v>
      </c>
      <c r="M443" s="191">
        <v>9</v>
      </c>
      <c r="N443" s="189" t="str">
        <f t="shared" si="30"/>
        <v>In Pcs</v>
      </c>
      <c r="O443" s="189" t="str">
        <f t="shared" si="31"/>
        <v>Pcs</v>
      </c>
      <c r="P443" s="191">
        <f t="shared" si="27"/>
        <v>4</v>
      </c>
      <c r="Q443" s="189" t="str">
        <f t="shared" si="28"/>
        <v>small</v>
      </c>
      <c r="R443" s="189">
        <v>40</v>
      </c>
      <c r="S443" s="192">
        <f>S442/40</f>
        <v>3438</v>
      </c>
      <c r="T443" s="193">
        <f t="shared" si="29"/>
        <v>3097.2972972972971</v>
      </c>
      <c r="U443" s="232"/>
      <c r="V443" s="232"/>
    </row>
    <row r="444" spans="1:22" ht="22.5" hidden="1" customHeight="1">
      <c r="A444" s="109"/>
      <c r="B444" s="109"/>
      <c r="C444" s="189">
        <v>157</v>
      </c>
      <c r="D444" s="189"/>
      <c r="E444" s="190" t="s">
        <v>946</v>
      </c>
      <c r="F444" s="190" t="s">
        <v>906</v>
      </c>
      <c r="G444" s="190" t="s">
        <v>906</v>
      </c>
      <c r="H444" s="189" t="s">
        <v>1438</v>
      </c>
      <c r="I444" s="189" t="s">
        <v>1438</v>
      </c>
      <c r="J444" s="191">
        <v>1</v>
      </c>
      <c r="K444" s="189" t="str">
        <f t="shared" si="25"/>
        <v>DISTRIBUTOR</v>
      </c>
      <c r="L444" s="189" t="s">
        <v>37</v>
      </c>
      <c r="M444" s="191">
        <v>1</v>
      </c>
      <c r="N444" s="189" t="str">
        <f t="shared" si="30"/>
        <v>In Carton</v>
      </c>
      <c r="O444" s="189" t="str">
        <f t="shared" si="31"/>
        <v>Carton</v>
      </c>
      <c r="P444" s="191">
        <f t="shared" si="27"/>
        <v>1</v>
      </c>
      <c r="Q444" s="189" t="str">
        <f t="shared" si="28"/>
        <v>large</v>
      </c>
      <c r="R444" s="189">
        <v>1</v>
      </c>
      <c r="S444" s="192">
        <f>8700*25</f>
        <v>217500</v>
      </c>
      <c r="T444" s="193">
        <f t="shared" si="29"/>
        <v>195945.94594594592</v>
      </c>
      <c r="U444" s="232"/>
      <c r="V444" s="232"/>
    </row>
    <row r="445" spans="1:22" ht="22.5" hidden="1" customHeight="1">
      <c r="A445" s="109"/>
      <c r="B445" s="109"/>
      <c r="C445" s="189">
        <v>157</v>
      </c>
      <c r="D445" s="189"/>
      <c r="E445" s="190" t="s">
        <v>946</v>
      </c>
      <c r="F445" s="190" t="s">
        <v>906</v>
      </c>
      <c r="G445" s="190" t="s">
        <v>906</v>
      </c>
      <c r="H445" s="189" t="s">
        <v>1438</v>
      </c>
      <c r="I445" s="189" t="s">
        <v>1438</v>
      </c>
      <c r="J445" s="191">
        <v>1</v>
      </c>
      <c r="K445" s="189" t="str">
        <f t="shared" si="25"/>
        <v>DISTRIBUTOR</v>
      </c>
      <c r="L445" s="189" t="s">
        <v>37</v>
      </c>
      <c r="M445" s="191">
        <v>9</v>
      </c>
      <c r="N445" s="189" t="str">
        <f t="shared" si="30"/>
        <v>In Pcs</v>
      </c>
      <c r="O445" s="189" t="str">
        <f t="shared" si="31"/>
        <v>Pcs</v>
      </c>
      <c r="P445" s="191">
        <f t="shared" si="27"/>
        <v>4</v>
      </c>
      <c r="Q445" s="189" t="str">
        <f t="shared" si="28"/>
        <v>small</v>
      </c>
      <c r="R445" s="189">
        <v>25</v>
      </c>
      <c r="S445" s="192">
        <f>S444/25</f>
        <v>8700</v>
      </c>
      <c r="T445" s="193">
        <f t="shared" si="29"/>
        <v>7837.8378378378375</v>
      </c>
      <c r="U445" s="232"/>
      <c r="V445" s="232"/>
    </row>
    <row r="446" spans="1:22" ht="22.5" hidden="1" customHeight="1">
      <c r="A446" s="109"/>
      <c r="B446" s="109"/>
      <c r="C446" s="189">
        <v>158</v>
      </c>
      <c r="D446" s="189"/>
      <c r="E446" s="190" t="s">
        <v>948</v>
      </c>
      <c r="F446" s="190" t="s">
        <v>906</v>
      </c>
      <c r="G446" s="190" t="s">
        <v>906</v>
      </c>
      <c r="H446" s="189" t="s">
        <v>1438</v>
      </c>
      <c r="I446" s="189" t="s">
        <v>1438</v>
      </c>
      <c r="J446" s="191">
        <v>1</v>
      </c>
      <c r="K446" s="189" t="str">
        <f t="shared" si="25"/>
        <v>DISTRIBUTOR</v>
      </c>
      <c r="L446" s="189" t="s">
        <v>37</v>
      </c>
      <c r="M446" s="191">
        <v>1</v>
      </c>
      <c r="N446" s="189" t="str">
        <f t="shared" si="30"/>
        <v>In Carton</v>
      </c>
      <c r="O446" s="189" t="str">
        <f t="shared" si="31"/>
        <v>Carton</v>
      </c>
      <c r="P446" s="191">
        <f t="shared" si="27"/>
        <v>1</v>
      </c>
      <c r="Q446" s="189" t="str">
        <f t="shared" si="28"/>
        <v>large</v>
      </c>
      <c r="R446" s="189">
        <v>1</v>
      </c>
      <c r="S446" s="192">
        <f>3438*80</f>
        <v>275040</v>
      </c>
      <c r="T446" s="193">
        <f t="shared" si="29"/>
        <v>247783.78378378376</v>
      </c>
      <c r="U446" s="232"/>
      <c r="V446" s="232"/>
    </row>
    <row r="447" spans="1:22" ht="22.5" hidden="1" customHeight="1">
      <c r="A447" s="109"/>
      <c r="B447" s="109"/>
      <c r="C447" s="189">
        <v>158</v>
      </c>
      <c r="D447" s="189"/>
      <c r="E447" s="190" t="s">
        <v>948</v>
      </c>
      <c r="F447" s="190" t="s">
        <v>906</v>
      </c>
      <c r="G447" s="190" t="s">
        <v>906</v>
      </c>
      <c r="H447" s="189" t="s">
        <v>1438</v>
      </c>
      <c r="I447" s="189" t="s">
        <v>1438</v>
      </c>
      <c r="J447" s="191">
        <v>1</v>
      </c>
      <c r="K447" s="189" t="str">
        <f t="shared" si="25"/>
        <v>DISTRIBUTOR</v>
      </c>
      <c r="L447" s="189" t="s">
        <v>37</v>
      </c>
      <c r="M447" s="191">
        <v>9</v>
      </c>
      <c r="N447" s="189" t="str">
        <f t="shared" si="30"/>
        <v>In Pcs</v>
      </c>
      <c r="O447" s="189" t="str">
        <f t="shared" si="31"/>
        <v>Pcs</v>
      </c>
      <c r="P447" s="191">
        <f t="shared" si="27"/>
        <v>4</v>
      </c>
      <c r="Q447" s="189" t="str">
        <f t="shared" si="28"/>
        <v>small</v>
      </c>
      <c r="R447" s="189">
        <v>80</v>
      </c>
      <c r="S447" s="192">
        <f>S446/80</f>
        <v>3438</v>
      </c>
      <c r="T447" s="193">
        <f t="shared" si="29"/>
        <v>3097.2972972972971</v>
      </c>
      <c r="U447" s="232"/>
      <c r="V447" s="232"/>
    </row>
    <row r="448" spans="1:22" ht="22.5" hidden="1" customHeight="1">
      <c r="A448" s="109"/>
      <c r="B448" s="109"/>
      <c r="C448" s="189">
        <v>159</v>
      </c>
      <c r="D448" s="189"/>
      <c r="E448" s="190" t="s">
        <v>950</v>
      </c>
      <c r="F448" s="190" t="s">
        <v>906</v>
      </c>
      <c r="G448" s="190" t="s">
        <v>906</v>
      </c>
      <c r="H448" s="189" t="s">
        <v>1438</v>
      </c>
      <c r="I448" s="189" t="s">
        <v>1438</v>
      </c>
      <c r="J448" s="191">
        <v>1</v>
      </c>
      <c r="K448" s="189" t="str">
        <f t="shared" si="25"/>
        <v>DISTRIBUTOR</v>
      </c>
      <c r="L448" s="189" t="s">
        <v>37</v>
      </c>
      <c r="M448" s="191">
        <v>1</v>
      </c>
      <c r="N448" s="189" t="str">
        <f t="shared" si="30"/>
        <v>In Carton</v>
      </c>
      <c r="O448" s="189" t="str">
        <f t="shared" si="31"/>
        <v>Carton</v>
      </c>
      <c r="P448" s="191">
        <f t="shared" si="27"/>
        <v>1</v>
      </c>
      <c r="Q448" s="189" t="str">
        <f t="shared" si="28"/>
        <v>large</v>
      </c>
      <c r="R448" s="189">
        <v>1</v>
      </c>
      <c r="S448" s="192">
        <f>2500*24</f>
        <v>60000</v>
      </c>
      <c r="T448" s="193">
        <f t="shared" si="29"/>
        <v>54054.054054054046</v>
      </c>
      <c r="U448" s="232"/>
      <c r="V448" s="232"/>
    </row>
    <row r="449" spans="1:22" ht="22.5" hidden="1" customHeight="1">
      <c r="A449" s="109"/>
      <c r="B449" s="109"/>
      <c r="C449" s="189">
        <v>159</v>
      </c>
      <c r="D449" s="189"/>
      <c r="E449" s="190" t="s">
        <v>950</v>
      </c>
      <c r="F449" s="190" t="s">
        <v>906</v>
      </c>
      <c r="G449" s="190" t="s">
        <v>906</v>
      </c>
      <c r="H449" s="189" t="s">
        <v>1438</v>
      </c>
      <c r="I449" s="189" t="s">
        <v>1438</v>
      </c>
      <c r="J449" s="191">
        <v>1</v>
      </c>
      <c r="K449" s="189" t="str">
        <f t="shared" si="25"/>
        <v>DISTRIBUTOR</v>
      </c>
      <c r="L449" s="189" t="s">
        <v>37</v>
      </c>
      <c r="M449" s="191">
        <v>9</v>
      </c>
      <c r="N449" s="189" t="str">
        <f t="shared" si="30"/>
        <v>In Pcs</v>
      </c>
      <c r="O449" s="189" t="str">
        <f t="shared" si="31"/>
        <v>Pcs</v>
      </c>
      <c r="P449" s="191">
        <f t="shared" si="27"/>
        <v>4</v>
      </c>
      <c r="Q449" s="189" t="str">
        <f t="shared" si="28"/>
        <v>small</v>
      </c>
      <c r="R449" s="189">
        <v>24</v>
      </c>
      <c r="S449" s="192">
        <f>S448/24</f>
        <v>2500</v>
      </c>
      <c r="T449" s="193">
        <f t="shared" si="29"/>
        <v>2252.2522522522522</v>
      </c>
      <c r="U449" s="232"/>
      <c r="V449" s="232"/>
    </row>
    <row r="450" spans="1:22" ht="22.5" hidden="1" customHeight="1">
      <c r="A450" s="109"/>
      <c r="B450" s="109"/>
      <c r="C450" s="189">
        <v>160</v>
      </c>
      <c r="D450" s="189"/>
      <c r="E450" s="190" t="s">
        <v>952</v>
      </c>
      <c r="F450" s="190" t="s">
        <v>906</v>
      </c>
      <c r="G450" s="190" t="s">
        <v>906</v>
      </c>
      <c r="H450" s="189" t="s">
        <v>1438</v>
      </c>
      <c r="I450" s="189" t="s">
        <v>1438</v>
      </c>
      <c r="J450" s="191">
        <v>1</v>
      </c>
      <c r="K450" s="189" t="str">
        <f t="shared" si="25"/>
        <v>DISTRIBUTOR</v>
      </c>
      <c r="L450" s="189" t="s">
        <v>37</v>
      </c>
      <c r="M450" s="191">
        <v>1</v>
      </c>
      <c r="N450" s="189" t="str">
        <f t="shared" si="30"/>
        <v>In Carton</v>
      </c>
      <c r="O450" s="189" t="str">
        <f t="shared" si="31"/>
        <v>Carton</v>
      </c>
      <c r="P450" s="191">
        <f t="shared" si="27"/>
        <v>1</v>
      </c>
      <c r="Q450" s="189" t="str">
        <f t="shared" si="28"/>
        <v>large</v>
      </c>
      <c r="R450" s="189">
        <v>1</v>
      </c>
      <c r="S450" s="192">
        <f>4320*60</f>
        <v>259200</v>
      </c>
      <c r="T450" s="193">
        <f t="shared" si="29"/>
        <v>233513.51351351349</v>
      </c>
      <c r="U450" s="232"/>
      <c r="V450" s="232"/>
    </row>
    <row r="451" spans="1:22" ht="22.5" hidden="1" customHeight="1">
      <c r="A451" s="109"/>
      <c r="B451" s="109"/>
      <c r="C451" s="189">
        <v>160</v>
      </c>
      <c r="D451" s="189"/>
      <c r="E451" s="190" t="s">
        <v>952</v>
      </c>
      <c r="F451" s="190" t="s">
        <v>906</v>
      </c>
      <c r="G451" s="190" t="s">
        <v>906</v>
      </c>
      <c r="H451" s="189" t="s">
        <v>1438</v>
      </c>
      <c r="I451" s="189" t="s">
        <v>1438</v>
      </c>
      <c r="J451" s="191">
        <v>1</v>
      </c>
      <c r="K451" s="189" t="str">
        <f t="shared" si="25"/>
        <v>DISTRIBUTOR</v>
      </c>
      <c r="L451" s="189" t="s">
        <v>37</v>
      </c>
      <c r="M451" s="191">
        <v>3</v>
      </c>
      <c r="N451" s="189" t="str">
        <f t="shared" si="30"/>
        <v>In Pack</v>
      </c>
      <c r="O451" s="189" t="str">
        <f t="shared" si="31"/>
        <v>Pack</v>
      </c>
      <c r="P451" s="191">
        <f t="shared" si="27"/>
        <v>2</v>
      </c>
      <c r="Q451" s="189">
        <f t="shared" si="28"/>
        <v>0</v>
      </c>
      <c r="R451" s="189">
        <v>6</v>
      </c>
      <c r="S451" s="192">
        <f>S450/6</f>
        <v>43200</v>
      </c>
      <c r="T451" s="193">
        <f t="shared" si="29"/>
        <v>38918.918918918913</v>
      </c>
      <c r="U451" s="232"/>
      <c r="V451" s="232"/>
    </row>
    <row r="452" spans="1:22" ht="22.5" hidden="1" customHeight="1">
      <c r="A452" s="109"/>
      <c r="B452" s="109"/>
      <c r="C452" s="189">
        <v>160</v>
      </c>
      <c r="D452" s="189"/>
      <c r="E452" s="190" t="s">
        <v>952</v>
      </c>
      <c r="F452" s="190" t="s">
        <v>906</v>
      </c>
      <c r="G452" s="190" t="s">
        <v>906</v>
      </c>
      <c r="H452" s="189" t="s">
        <v>1438</v>
      </c>
      <c r="I452" s="189" t="s">
        <v>1438</v>
      </c>
      <c r="J452" s="191">
        <v>1</v>
      </c>
      <c r="K452" s="189" t="str">
        <f t="shared" si="25"/>
        <v>DISTRIBUTOR</v>
      </c>
      <c r="L452" s="189" t="s">
        <v>37</v>
      </c>
      <c r="M452" s="191">
        <v>8</v>
      </c>
      <c r="N452" s="189" t="str">
        <f t="shared" si="30"/>
        <v>In Renceng</v>
      </c>
      <c r="O452" s="189" t="str">
        <f t="shared" si="31"/>
        <v>Renceng</v>
      </c>
      <c r="P452" s="191">
        <f t="shared" si="27"/>
        <v>3</v>
      </c>
      <c r="Q452" s="189">
        <f t="shared" si="28"/>
        <v>0</v>
      </c>
      <c r="R452" s="189">
        <v>60</v>
      </c>
      <c r="S452" s="192">
        <f>S451/10</f>
        <v>4320</v>
      </c>
      <c r="T452" s="193">
        <f t="shared" si="29"/>
        <v>3891.8918918918916</v>
      </c>
      <c r="U452" s="232"/>
      <c r="V452" s="232"/>
    </row>
    <row r="453" spans="1:22" ht="22.5" hidden="1" customHeight="1">
      <c r="A453" s="109"/>
      <c r="B453" s="109"/>
      <c r="C453" s="189">
        <v>160</v>
      </c>
      <c r="D453" s="189"/>
      <c r="E453" s="190" t="s">
        <v>952</v>
      </c>
      <c r="F453" s="190" t="s">
        <v>906</v>
      </c>
      <c r="G453" s="190" t="s">
        <v>906</v>
      </c>
      <c r="H453" s="189" t="s">
        <v>1438</v>
      </c>
      <c r="I453" s="189" t="s">
        <v>1438</v>
      </c>
      <c r="J453" s="191">
        <v>1</v>
      </c>
      <c r="K453" s="189" t="str">
        <f t="shared" si="25"/>
        <v>DISTRIBUTOR</v>
      </c>
      <c r="L453" s="189" t="s">
        <v>37</v>
      </c>
      <c r="M453" s="191">
        <v>9</v>
      </c>
      <c r="N453" s="189" t="str">
        <f t="shared" si="30"/>
        <v>In Pcs</v>
      </c>
      <c r="O453" s="189" t="str">
        <f t="shared" si="31"/>
        <v>Pcs</v>
      </c>
      <c r="P453" s="191">
        <f t="shared" si="27"/>
        <v>4</v>
      </c>
      <c r="Q453" s="189" t="str">
        <f t="shared" si="28"/>
        <v>small</v>
      </c>
      <c r="R453" s="189">
        <v>720</v>
      </c>
      <c r="S453" s="192">
        <f>S452/12</f>
        <v>360</v>
      </c>
      <c r="T453" s="193">
        <f t="shared" si="29"/>
        <v>324.32432432432432</v>
      </c>
      <c r="U453" s="232"/>
      <c r="V453" s="232"/>
    </row>
    <row r="454" spans="1:22" ht="22.5" hidden="1" customHeight="1">
      <c r="A454" s="109"/>
      <c r="B454" s="109"/>
      <c r="C454" s="189">
        <v>161</v>
      </c>
      <c r="D454" s="189"/>
      <c r="E454" s="190" t="s">
        <v>954</v>
      </c>
      <c r="F454" s="190" t="s">
        <v>906</v>
      </c>
      <c r="G454" s="190" t="s">
        <v>906</v>
      </c>
      <c r="H454" s="189" t="s">
        <v>1438</v>
      </c>
      <c r="I454" s="189" t="s">
        <v>1438</v>
      </c>
      <c r="J454" s="191">
        <v>1</v>
      </c>
      <c r="K454" s="189" t="str">
        <f t="shared" si="25"/>
        <v>DISTRIBUTOR</v>
      </c>
      <c r="L454" s="189" t="s">
        <v>37</v>
      </c>
      <c r="M454" s="191">
        <v>1</v>
      </c>
      <c r="N454" s="189" t="str">
        <f t="shared" si="30"/>
        <v>In Carton</v>
      </c>
      <c r="O454" s="189" t="str">
        <f t="shared" si="31"/>
        <v>Carton</v>
      </c>
      <c r="P454" s="191">
        <f t="shared" si="27"/>
        <v>1</v>
      </c>
      <c r="Q454" s="189" t="str">
        <f t="shared" si="28"/>
        <v>large</v>
      </c>
      <c r="R454" s="189">
        <v>1</v>
      </c>
      <c r="S454" s="192">
        <f>6750*40</f>
        <v>270000</v>
      </c>
      <c r="T454" s="193">
        <f t="shared" si="29"/>
        <v>243243.24324324323</v>
      </c>
      <c r="U454" s="232"/>
      <c r="V454" s="232"/>
    </row>
    <row r="455" spans="1:22" ht="22.5" hidden="1" customHeight="1">
      <c r="A455" s="109"/>
      <c r="B455" s="109"/>
      <c r="C455" s="189">
        <v>161</v>
      </c>
      <c r="D455" s="189"/>
      <c r="E455" s="190" t="s">
        <v>954</v>
      </c>
      <c r="F455" s="190" t="s">
        <v>906</v>
      </c>
      <c r="G455" s="190" t="s">
        <v>906</v>
      </c>
      <c r="H455" s="189" t="s">
        <v>1438</v>
      </c>
      <c r="I455" s="189" t="s">
        <v>1438</v>
      </c>
      <c r="J455" s="191">
        <v>1</v>
      </c>
      <c r="K455" s="189" t="s">
        <v>19</v>
      </c>
      <c r="L455" s="189" t="s">
        <v>37</v>
      </c>
      <c r="M455" s="191">
        <v>9</v>
      </c>
      <c r="N455" s="189" t="str">
        <f t="shared" si="30"/>
        <v>In Pcs</v>
      </c>
      <c r="O455" s="189" t="str">
        <f t="shared" si="31"/>
        <v>Pcs</v>
      </c>
      <c r="P455" s="191">
        <f t="shared" si="27"/>
        <v>4</v>
      </c>
      <c r="Q455" s="189" t="str">
        <f t="shared" si="28"/>
        <v>small</v>
      </c>
      <c r="R455" s="189">
        <v>40</v>
      </c>
      <c r="S455" s="192">
        <f>S454/40</f>
        <v>6750</v>
      </c>
      <c r="T455" s="193">
        <f t="shared" si="29"/>
        <v>6081.0810810810808</v>
      </c>
      <c r="U455" s="232"/>
      <c r="V455" s="232"/>
    </row>
    <row r="456" spans="1:22" ht="22.5" hidden="1" customHeight="1">
      <c r="A456" s="109"/>
      <c r="B456" s="109"/>
      <c r="C456" s="189">
        <v>162</v>
      </c>
      <c r="D456" s="189"/>
      <c r="E456" s="190" t="s">
        <v>957</v>
      </c>
      <c r="F456" s="190" t="s">
        <v>906</v>
      </c>
      <c r="G456" s="190" t="s">
        <v>906</v>
      </c>
      <c r="H456" s="189" t="s">
        <v>1438</v>
      </c>
      <c r="I456" s="189" t="s">
        <v>1438</v>
      </c>
      <c r="J456" s="191">
        <v>1</v>
      </c>
      <c r="K456" s="189" t="str">
        <f t="shared" si="25"/>
        <v>DISTRIBUTOR</v>
      </c>
      <c r="L456" s="189" t="s">
        <v>37</v>
      </c>
      <c r="M456" s="191">
        <v>1</v>
      </c>
      <c r="N456" s="189" t="str">
        <f t="shared" si="30"/>
        <v>In Carton</v>
      </c>
      <c r="O456" s="189" t="str">
        <f t="shared" si="31"/>
        <v>Carton</v>
      </c>
      <c r="P456" s="191">
        <f t="shared" si="27"/>
        <v>1</v>
      </c>
      <c r="Q456" s="189" t="str">
        <f t="shared" si="28"/>
        <v>large</v>
      </c>
      <c r="R456" s="189">
        <v>1</v>
      </c>
      <c r="S456" s="192">
        <f>6750*40</f>
        <v>270000</v>
      </c>
      <c r="T456" s="193">
        <f t="shared" si="29"/>
        <v>243243.24324324323</v>
      </c>
      <c r="U456" s="232"/>
      <c r="V456" s="232"/>
    </row>
    <row r="457" spans="1:22" ht="22.5" hidden="1" customHeight="1">
      <c r="A457" s="109"/>
      <c r="B457" s="109"/>
      <c r="C457" s="189">
        <v>162</v>
      </c>
      <c r="D457" s="189"/>
      <c r="E457" s="190" t="s">
        <v>957</v>
      </c>
      <c r="F457" s="190" t="s">
        <v>906</v>
      </c>
      <c r="G457" s="190" t="s">
        <v>906</v>
      </c>
      <c r="H457" s="189" t="s">
        <v>1438</v>
      </c>
      <c r="I457" s="189" t="s">
        <v>1438</v>
      </c>
      <c r="J457" s="191">
        <v>1</v>
      </c>
      <c r="K457" s="189" t="str">
        <f t="shared" si="25"/>
        <v>DISTRIBUTOR</v>
      </c>
      <c r="L457" s="189" t="s">
        <v>37</v>
      </c>
      <c r="M457" s="191">
        <v>9</v>
      </c>
      <c r="N457" s="189" t="str">
        <f t="shared" si="30"/>
        <v>In Pcs</v>
      </c>
      <c r="O457" s="189" t="str">
        <f t="shared" si="31"/>
        <v>Pcs</v>
      </c>
      <c r="P457" s="191">
        <f t="shared" si="27"/>
        <v>4</v>
      </c>
      <c r="Q457" s="189" t="str">
        <f t="shared" si="28"/>
        <v>small</v>
      </c>
      <c r="R457" s="189">
        <v>40</v>
      </c>
      <c r="S457" s="192">
        <f>S456/40</f>
        <v>6750</v>
      </c>
      <c r="T457" s="193">
        <f t="shared" si="29"/>
        <v>6081.0810810810808</v>
      </c>
      <c r="U457" s="232"/>
      <c r="V457" s="232"/>
    </row>
    <row r="458" spans="1:22" ht="22.5" customHeight="1">
      <c r="A458" s="109"/>
      <c r="B458" s="109"/>
      <c r="C458" s="200">
        <v>163</v>
      </c>
      <c r="D458" s="200"/>
      <c r="E458" s="201" t="s">
        <v>972</v>
      </c>
      <c r="F458" s="202" t="s">
        <v>970</v>
      </c>
      <c r="G458" s="202" t="s">
        <v>970</v>
      </c>
      <c r="H458" s="200" t="s">
        <v>1439</v>
      </c>
      <c r="I458" s="200" t="s">
        <v>1439</v>
      </c>
      <c r="J458" s="203">
        <v>1</v>
      </c>
      <c r="K458" s="200" t="str">
        <f t="shared" si="25"/>
        <v>DISTRIBUTOR</v>
      </c>
      <c r="L458" s="200" t="s">
        <v>37</v>
      </c>
      <c r="M458" s="203">
        <v>1</v>
      </c>
      <c r="N458" s="200" t="str">
        <f t="shared" si="30"/>
        <v>In Carton</v>
      </c>
      <c r="O458" s="200" t="str">
        <f t="shared" si="31"/>
        <v>Carton</v>
      </c>
      <c r="P458" s="203">
        <f t="shared" si="27"/>
        <v>1</v>
      </c>
      <c r="Q458" s="200" t="str">
        <f t="shared" si="28"/>
        <v>large</v>
      </c>
      <c r="R458" s="200">
        <v>1</v>
      </c>
      <c r="S458" s="204">
        <f>18750*4</f>
        <v>75000</v>
      </c>
      <c r="T458" s="205">
        <f t="shared" si="29"/>
        <v>67567.567567567559</v>
      </c>
      <c r="U458" s="234">
        <v>67500</v>
      </c>
      <c r="V458" s="234">
        <f>U458-(U458*11%)</f>
        <v>60075</v>
      </c>
    </row>
    <row r="459" spans="1:22" ht="22.5" customHeight="1">
      <c r="A459" s="109"/>
      <c r="B459" s="109"/>
      <c r="C459" s="200">
        <v>163</v>
      </c>
      <c r="D459" s="200"/>
      <c r="E459" s="201" t="s">
        <v>972</v>
      </c>
      <c r="F459" s="202" t="s">
        <v>970</v>
      </c>
      <c r="G459" s="202" t="s">
        <v>970</v>
      </c>
      <c r="H459" s="200" t="s">
        <v>1439</v>
      </c>
      <c r="I459" s="200" t="s">
        <v>1439</v>
      </c>
      <c r="J459" s="203">
        <v>1</v>
      </c>
      <c r="K459" s="200" t="str">
        <f t="shared" si="25"/>
        <v>DISTRIBUTOR</v>
      </c>
      <c r="L459" s="200" t="s">
        <v>37</v>
      </c>
      <c r="M459" s="203">
        <v>5</v>
      </c>
      <c r="N459" s="200" t="str">
        <f t="shared" si="30"/>
        <v>In Pack</v>
      </c>
      <c r="O459" s="200" t="str">
        <f t="shared" si="31"/>
        <v>Toples</v>
      </c>
      <c r="P459" s="203">
        <f t="shared" si="27"/>
        <v>2</v>
      </c>
      <c r="Q459" s="200">
        <f t="shared" si="28"/>
        <v>0</v>
      </c>
      <c r="R459" s="200">
        <v>4</v>
      </c>
      <c r="S459" s="204">
        <f>S458/4</f>
        <v>18750</v>
      </c>
      <c r="T459" s="205">
        <f t="shared" si="29"/>
        <v>16891.89189189189</v>
      </c>
      <c r="U459" s="234">
        <v>16875</v>
      </c>
      <c r="V459" s="234">
        <f t="shared" ref="V459:V478" si="32">U459-(U459*11%)</f>
        <v>15018.75</v>
      </c>
    </row>
    <row r="460" spans="1:22" ht="22.5" customHeight="1">
      <c r="A460" s="109"/>
      <c r="B460" s="109"/>
      <c r="C460" s="200">
        <v>163</v>
      </c>
      <c r="D460" s="200"/>
      <c r="E460" s="201" t="s">
        <v>972</v>
      </c>
      <c r="F460" s="202" t="s">
        <v>970</v>
      </c>
      <c r="G460" s="202" t="s">
        <v>970</v>
      </c>
      <c r="H460" s="200" t="s">
        <v>1439</v>
      </c>
      <c r="I460" s="200" t="s">
        <v>1439</v>
      </c>
      <c r="J460" s="203">
        <v>1</v>
      </c>
      <c r="K460" s="200" t="str">
        <f t="shared" si="25"/>
        <v>DISTRIBUTOR</v>
      </c>
      <c r="L460" s="200" t="s">
        <v>37</v>
      </c>
      <c r="M460" s="203">
        <v>9</v>
      </c>
      <c r="N460" s="200" t="str">
        <f t="shared" si="30"/>
        <v>In Pcs</v>
      </c>
      <c r="O460" s="200" t="str">
        <f t="shared" si="31"/>
        <v>Pcs</v>
      </c>
      <c r="P460" s="203">
        <f t="shared" si="27"/>
        <v>4</v>
      </c>
      <c r="Q460" s="200" t="str">
        <f t="shared" si="28"/>
        <v>small</v>
      </c>
      <c r="R460" s="200">
        <v>200</v>
      </c>
      <c r="S460" s="204">
        <f>S459/50</f>
        <v>375</v>
      </c>
      <c r="T460" s="205">
        <f t="shared" si="29"/>
        <v>337.83783783783781</v>
      </c>
      <c r="U460" s="234">
        <v>337</v>
      </c>
      <c r="V460" s="234">
        <f t="shared" si="32"/>
        <v>299.93</v>
      </c>
    </row>
    <row r="461" spans="1:22" ht="22.5" customHeight="1">
      <c r="A461" s="109"/>
      <c r="B461" s="109"/>
      <c r="C461" s="200">
        <v>164</v>
      </c>
      <c r="D461" s="200"/>
      <c r="E461" s="201" t="s">
        <v>974</v>
      </c>
      <c r="F461" s="202" t="s">
        <v>970</v>
      </c>
      <c r="G461" s="202" t="s">
        <v>970</v>
      </c>
      <c r="H461" s="200" t="s">
        <v>1439</v>
      </c>
      <c r="I461" s="200" t="s">
        <v>1439</v>
      </c>
      <c r="J461" s="203">
        <v>1</v>
      </c>
      <c r="K461" s="200" t="str">
        <f t="shared" si="25"/>
        <v>DISTRIBUTOR</v>
      </c>
      <c r="L461" s="200" t="s">
        <v>37</v>
      </c>
      <c r="M461" s="203">
        <v>1</v>
      </c>
      <c r="N461" s="200" t="str">
        <f t="shared" si="30"/>
        <v>In Carton</v>
      </c>
      <c r="O461" s="200" t="str">
        <f t="shared" si="31"/>
        <v>Carton</v>
      </c>
      <c r="P461" s="203">
        <f t="shared" si="27"/>
        <v>1</v>
      </c>
      <c r="Q461" s="200" t="str">
        <f t="shared" si="28"/>
        <v>large</v>
      </c>
      <c r="R461" s="200">
        <v>1</v>
      </c>
      <c r="S461" s="204">
        <f>14400*6</f>
        <v>86400</v>
      </c>
      <c r="T461" s="205">
        <f t="shared" si="29"/>
        <v>77837.837837837826</v>
      </c>
      <c r="U461" s="234">
        <v>77760</v>
      </c>
      <c r="V461" s="234">
        <f t="shared" si="32"/>
        <v>69206.399999999994</v>
      </c>
    </row>
    <row r="462" spans="1:22" ht="22.5" customHeight="1">
      <c r="A462" s="109"/>
      <c r="B462" s="109"/>
      <c r="C462" s="200">
        <v>164</v>
      </c>
      <c r="D462" s="200"/>
      <c r="E462" s="201" t="s">
        <v>974</v>
      </c>
      <c r="F462" s="202" t="s">
        <v>970</v>
      </c>
      <c r="G462" s="202" t="s">
        <v>970</v>
      </c>
      <c r="H462" s="200" t="s">
        <v>1439</v>
      </c>
      <c r="I462" s="200" t="s">
        <v>1439</v>
      </c>
      <c r="J462" s="203">
        <v>1</v>
      </c>
      <c r="K462" s="200" t="str">
        <f t="shared" si="25"/>
        <v>DISTRIBUTOR</v>
      </c>
      <c r="L462" s="200" t="s">
        <v>37</v>
      </c>
      <c r="M462" s="203">
        <v>3</v>
      </c>
      <c r="N462" s="200" t="str">
        <f t="shared" si="30"/>
        <v>In Pack</v>
      </c>
      <c r="O462" s="200" t="str">
        <f t="shared" si="31"/>
        <v>Pack</v>
      </c>
      <c r="P462" s="203">
        <f t="shared" si="27"/>
        <v>2</v>
      </c>
      <c r="Q462" s="200">
        <f t="shared" si="28"/>
        <v>0</v>
      </c>
      <c r="R462" s="200">
        <v>6</v>
      </c>
      <c r="S462" s="204">
        <f>S461/6</f>
        <v>14400</v>
      </c>
      <c r="T462" s="205">
        <f t="shared" si="29"/>
        <v>12972.972972972972</v>
      </c>
      <c r="U462" s="234">
        <v>12960</v>
      </c>
      <c r="V462" s="234">
        <f t="shared" si="32"/>
        <v>11534.4</v>
      </c>
    </row>
    <row r="463" spans="1:22" ht="22.5" customHeight="1">
      <c r="A463" s="109"/>
      <c r="B463" s="109"/>
      <c r="C463" s="200">
        <v>164</v>
      </c>
      <c r="D463" s="200"/>
      <c r="E463" s="201" t="s">
        <v>974</v>
      </c>
      <c r="F463" s="202" t="s">
        <v>970</v>
      </c>
      <c r="G463" s="202" t="s">
        <v>970</v>
      </c>
      <c r="H463" s="200" t="s">
        <v>1439</v>
      </c>
      <c r="I463" s="200" t="s">
        <v>1439</v>
      </c>
      <c r="J463" s="203">
        <v>1</v>
      </c>
      <c r="K463" s="200" t="str">
        <f t="shared" si="25"/>
        <v>DISTRIBUTOR</v>
      </c>
      <c r="L463" s="200" t="s">
        <v>37</v>
      </c>
      <c r="M463" s="203">
        <v>9</v>
      </c>
      <c r="N463" s="200" t="str">
        <f t="shared" si="30"/>
        <v>In Pcs</v>
      </c>
      <c r="O463" s="200" t="str">
        <f t="shared" si="31"/>
        <v>Pcs</v>
      </c>
      <c r="P463" s="203">
        <f t="shared" si="27"/>
        <v>4</v>
      </c>
      <c r="Q463" s="200" t="str">
        <f t="shared" si="28"/>
        <v>small</v>
      </c>
      <c r="R463" s="200">
        <v>240</v>
      </c>
      <c r="S463" s="204">
        <f>S462/40</f>
        <v>360</v>
      </c>
      <c r="T463" s="205">
        <f t="shared" si="29"/>
        <v>324.32432432432432</v>
      </c>
      <c r="U463" s="234">
        <v>324</v>
      </c>
      <c r="V463" s="234">
        <f t="shared" si="32"/>
        <v>288.36</v>
      </c>
    </row>
    <row r="464" spans="1:22" ht="22.5" customHeight="1">
      <c r="A464" s="109"/>
      <c r="B464" s="109"/>
      <c r="C464" s="200">
        <v>165</v>
      </c>
      <c r="D464" s="200"/>
      <c r="E464" s="201" t="s">
        <v>976</v>
      </c>
      <c r="F464" s="202" t="s">
        <v>970</v>
      </c>
      <c r="G464" s="202" t="s">
        <v>970</v>
      </c>
      <c r="H464" s="200" t="s">
        <v>1439</v>
      </c>
      <c r="I464" s="200" t="s">
        <v>1439</v>
      </c>
      <c r="J464" s="203">
        <v>1</v>
      </c>
      <c r="K464" s="200" t="str">
        <f t="shared" si="25"/>
        <v>DISTRIBUTOR</v>
      </c>
      <c r="L464" s="200" t="s">
        <v>37</v>
      </c>
      <c r="M464" s="203">
        <v>1</v>
      </c>
      <c r="N464" s="200" t="str">
        <f t="shared" si="30"/>
        <v>In Carton</v>
      </c>
      <c r="O464" s="200" t="str">
        <f t="shared" si="31"/>
        <v>Carton</v>
      </c>
      <c r="P464" s="203">
        <f t="shared" si="27"/>
        <v>1</v>
      </c>
      <c r="Q464" s="200" t="str">
        <f t="shared" si="28"/>
        <v>large</v>
      </c>
      <c r="R464" s="200">
        <v>1</v>
      </c>
      <c r="S464" s="204">
        <f>14000*6</f>
        <v>84000</v>
      </c>
      <c r="T464" s="205">
        <f t="shared" si="29"/>
        <v>75675.675675675666</v>
      </c>
      <c r="U464" s="234">
        <v>75600</v>
      </c>
      <c r="V464" s="234">
        <f t="shared" si="32"/>
        <v>67284</v>
      </c>
    </row>
    <row r="465" spans="1:22" ht="22.5" customHeight="1">
      <c r="A465" s="109"/>
      <c r="B465" s="109"/>
      <c r="C465" s="200">
        <v>165</v>
      </c>
      <c r="D465" s="200"/>
      <c r="E465" s="201" t="s">
        <v>976</v>
      </c>
      <c r="F465" s="202" t="s">
        <v>970</v>
      </c>
      <c r="G465" s="202" t="s">
        <v>970</v>
      </c>
      <c r="H465" s="200" t="s">
        <v>1439</v>
      </c>
      <c r="I465" s="200" t="s">
        <v>1439</v>
      </c>
      <c r="J465" s="203">
        <v>1</v>
      </c>
      <c r="K465" s="200" t="str">
        <f t="shared" si="25"/>
        <v>DISTRIBUTOR</v>
      </c>
      <c r="L465" s="200" t="s">
        <v>37</v>
      </c>
      <c r="M465" s="203">
        <v>3</v>
      </c>
      <c r="N465" s="200" t="str">
        <f t="shared" si="30"/>
        <v>In Pack</v>
      </c>
      <c r="O465" s="200" t="str">
        <f t="shared" si="31"/>
        <v>Pack</v>
      </c>
      <c r="P465" s="203">
        <f t="shared" si="27"/>
        <v>2</v>
      </c>
      <c r="Q465" s="200">
        <f t="shared" si="28"/>
        <v>0</v>
      </c>
      <c r="R465" s="200">
        <v>6</v>
      </c>
      <c r="S465" s="204">
        <f>S464/6</f>
        <v>14000</v>
      </c>
      <c r="T465" s="205">
        <f t="shared" si="29"/>
        <v>12612.612612612611</v>
      </c>
      <c r="U465" s="234">
        <v>12600</v>
      </c>
      <c r="V465" s="234">
        <f t="shared" si="32"/>
        <v>11214</v>
      </c>
    </row>
    <row r="466" spans="1:22" ht="22.5" customHeight="1">
      <c r="A466" s="109"/>
      <c r="B466" s="109"/>
      <c r="C466" s="200">
        <v>165</v>
      </c>
      <c r="D466" s="200"/>
      <c r="E466" s="201" t="s">
        <v>976</v>
      </c>
      <c r="F466" s="202" t="s">
        <v>970</v>
      </c>
      <c r="G466" s="202" t="s">
        <v>970</v>
      </c>
      <c r="H466" s="200" t="s">
        <v>1439</v>
      </c>
      <c r="I466" s="200" t="s">
        <v>1439</v>
      </c>
      <c r="J466" s="203">
        <v>1</v>
      </c>
      <c r="K466" s="200" t="str">
        <f t="shared" si="25"/>
        <v>DISTRIBUTOR</v>
      </c>
      <c r="L466" s="200" t="s">
        <v>37</v>
      </c>
      <c r="M466" s="203">
        <v>9</v>
      </c>
      <c r="N466" s="200" t="str">
        <f t="shared" si="30"/>
        <v>In Pcs</v>
      </c>
      <c r="O466" s="200" t="str">
        <f t="shared" si="31"/>
        <v>Pcs</v>
      </c>
      <c r="P466" s="203">
        <f t="shared" si="27"/>
        <v>4</v>
      </c>
      <c r="Q466" s="200" t="str">
        <f t="shared" si="28"/>
        <v>small</v>
      </c>
      <c r="R466" s="200">
        <v>120</v>
      </c>
      <c r="S466" s="204">
        <f>S465/20</f>
        <v>700</v>
      </c>
      <c r="T466" s="205">
        <f t="shared" si="29"/>
        <v>630.63063063063055</v>
      </c>
      <c r="U466" s="234">
        <v>630</v>
      </c>
      <c r="V466" s="234">
        <f t="shared" si="32"/>
        <v>560.70000000000005</v>
      </c>
    </row>
    <row r="467" spans="1:22" ht="22.5" customHeight="1">
      <c r="A467" s="109"/>
      <c r="B467" s="109"/>
      <c r="C467" s="200">
        <v>166</v>
      </c>
      <c r="D467" s="200"/>
      <c r="E467" s="201" t="s">
        <v>978</v>
      </c>
      <c r="F467" s="202" t="s">
        <v>970</v>
      </c>
      <c r="G467" s="202" t="s">
        <v>970</v>
      </c>
      <c r="H467" s="200" t="s">
        <v>1439</v>
      </c>
      <c r="I467" s="200" t="s">
        <v>1439</v>
      </c>
      <c r="J467" s="203">
        <v>1</v>
      </c>
      <c r="K467" s="200" t="str">
        <f t="shared" ref="K467:K546" si="33">IFERROR(VLOOKUP($J467,$J$10:$K$13,2,0),"")</f>
        <v>DISTRIBUTOR</v>
      </c>
      <c r="L467" s="200" t="s">
        <v>37</v>
      </c>
      <c r="M467" s="203">
        <v>1</v>
      </c>
      <c r="N467" s="200" t="str">
        <f t="shared" si="30"/>
        <v>In Carton</v>
      </c>
      <c r="O467" s="200" t="str">
        <f t="shared" si="31"/>
        <v>Carton</v>
      </c>
      <c r="P467" s="203">
        <f t="shared" si="27"/>
        <v>1</v>
      </c>
      <c r="Q467" s="200" t="str">
        <f t="shared" si="28"/>
        <v>large</v>
      </c>
      <c r="R467" s="200">
        <v>1</v>
      </c>
      <c r="S467" s="204">
        <f>14000*6</f>
        <v>84000</v>
      </c>
      <c r="T467" s="205">
        <f t="shared" si="29"/>
        <v>75675.675675675666</v>
      </c>
      <c r="U467" s="234">
        <v>75600</v>
      </c>
      <c r="V467" s="234">
        <f t="shared" si="32"/>
        <v>67284</v>
      </c>
    </row>
    <row r="468" spans="1:22" ht="22.5" customHeight="1">
      <c r="A468" s="109"/>
      <c r="B468" s="109"/>
      <c r="C468" s="200">
        <v>166</v>
      </c>
      <c r="D468" s="200"/>
      <c r="E468" s="201" t="s">
        <v>978</v>
      </c>
      <c r="F468" s="202" t="s">
        <v>970</v>
      </c>
      <c r="G468" s="202" t="s">
        <v>970</v>
      </c>
      <c r="H468" s="200" t="s">
        <v>1439</v>
      </c>
      <c r="I468" s="200" t="s">
        <v>1439</v>
      </c>
      <c r="J468" s="203">
        <v>1</v>
      </c>
      <c r="K468" s="200" t="str">
        <f t="shared" si="33"/>
        <v>DISTRIBUTOR</v>
      </c>
      <c r="L468" s="200" t="s">
        <v>37</v>
      </c>
      <c r="M468" s="203">
        <v>4</v>
      </c>
      <c r="N468" s="200" t="str">
        <f t="shared" si="30"/>
        <v>In Pack</v>
      </c>
      <c r="O468" s="200" t="str">
        <f t="shared" si="31"/>
        <v>Box</v>
      </c>
      <c r="P468" s="203">
        <f t="shared" si="27"/>
        <v>2</v>
      </c>
      <c r="Q468" s="200">
        <f t="shared" si="28"/>
        <v>0</v>
      </c>
      <c r="R468" s="200">
        <v>6</v>
      </c>
      <c r="S468" s="204">
        <f>S467/6</f>
        <v>14000</v>
      </c>
      <c r="T468" s="205">
        <f t="shared" si="29"/>
        <v>12612.612612612611</v>
      </c>
      <c r="U468" s="234">
        <v>12600</v>
      </c>
      <c r="V468" s="234">
        <f t="shared" si="32"/>
        <v>11214</v>
      </c>
    </row>
    <row r="469" spans="1:22" ht="22.5" customHeight="1">
      <c r="A469" s="109"/>
      <c r="B469" s="109"/>
      <c r="C469" s="200">
        <v>166</v>
      </c>
      <c r="D469" s="200"/>
      <c r="E469" s="201" t="s">
        <v>978</v>
      </c>
      <c r="F469" s="202" t="s">
        <v>970</v>
      </c>
      <c r="G469" s="202" t="s">
        <v>970</v>
      </c>
      <c r="H469" s="200" t="s">
        <v>1439</v>
      </c>
      <c r="I469" s="200" t="s">
        <v>1439</v>
      </c>
      <c r="J469" s="203">
        <v>1</v>
      </c>
      <c r="K469" s="200" t="str">
        <f t="shared" si="33"/>
        <v>DISTRIBUTOR</v>
      </c>
      <c r="L469" s="200" t="s">
        <v>37</v>
      </c>
      <c r="M469" s="203">
        <v>9</v>
      </c>
      <c r="N469" s="200" t="str">
        <f t="shared" si="30"/>
        <v>In Pcs</v>
      </c>
      <c r="O469" s="200" t="str">
        <f t="shared" si="31"/>
        <v>Pcs</v>
      </c>
      <c r="P469" s="203">
        <f t="shared" si="27"/>
        <v>4</v>
      </c>
      <c r="Q469" s="200" t="str">
        <f t="shared" si="28"/>
        <v>small</v>
      </c>
      <c r="R469" s="200">
        <v>120</v>
      </c>
      <c r="S469" s="204">
        <f>S468/20</f>
        <v>700</v>
      </c>
      <c r="T469" s="205">
        <f t="shared" si="29"/>
        <v>630.63063063063055</v>
      </c>
      <c r="U469" s="234">
        <v>630</v>
      </c>
      <c r="V469" s="234">
        <f t="shared" si="32"/>
        <v>560.70000000000005</v>
      </c>
    </row>
    <row r="470" spans="1:22" ht="22.5" customHeight="1">
      <c r="A470" s="109"/>
      <c r="B470" s="109"/>
      <c r="C470" s="200">
        <v>167</v>
      </c>
      <c r="D470" s="200"/>
      <c r="E470" s="201" t="s">
        <v>980</v>
      </c>
      <c r="F470" s="202" t="s">
        <v>970</v>
      </c>
      <c r="G470" s="202" t="s">
        <v>970</v>
      </c>
      <c r="H470" s="200" t="s">
        <v>1439</v>
      </c>
      <c r="I470" s="200" t="s">
        <v>1439</v>
      </c>
      <c r="J470" s="203">
        <v>1</v>
      </c>
      <c r="K470" s="200" t="str">
        <f t="shared" si="33"/>
        <v>DISTRIBUTOR</v>
      </c>
      <c r="L470" s="200" t="s">
        <v>37</v>
      </c>
      <c r="M470" s="203">
        <v>1</v>
      </c>
      <c r="N470" s="200" t="str">
        <f t="shared" si="30"/>
        <v>In Carton</v>
      </c>
      <c r="O470" s="200" t="str">
        <f t="shared" si="31"/>
        <v>Carton</v>
      </c>
      <c r="P470" s="203">
        <f t="shared" si="27"/>
        <v>1</v>
      </c>
      <c r="Q470" s="200" t="str">
        <f t="shared" si="28"/>
        <v>large</v>
      </c>
      <c r="R470" s="200">
        <v>1</v>
      </c>
      <c r="S470" s="204">
        <f>12000*6</f>
        <v>72000</v>
      </c>
      <c r="T470" s="205">
        <f t="shared" si="29"/>
        <v>64864.86486486486</v>
      </c>
      <c r="U470" s="234">
        <v>75600</v>
      </c>
      <c r="V470" s="234">
        <f t="shared" si="32"/>
        <v>67284</v>
      </c>
    </row>
    <row r="471" spans="1:22" ht="22.5" customHeight="1">
      <c r="A471" s="109"/>
      <c r="B471" s="109"/>
      <c r="C471" s="200">
        <v>167</v>
      </c>
      <c r="D471" s="200"/>
      <c r="E471" s="201" t="s">
        <v>980</v>
      </c>
      <c r="F471" s="202" t="s">
        <v>970</v>
      </c>
      <c r="G471" s="202" t="s">
        <v>970</v>
      </c>
      <c r="H471" s="200" t="s">
        <v>1439</v>
      </c>
      <c r="I471" s="200" t="s">
        <v>1439</v>
      </c>
      <c r="J471" s="203">
        <v>1</v>
      </c>
      <c r="K471" s="200" t="str">
        <f t="shared" si="33"/>
        <v>DISTRIBUTOR</v>
      </c>
      <c r="L471" s="200" t="s">
        <v>37</v>
      </c>
      <c r="M471" s="203">
        <v>5</v>
      </c>
      <c r="N471" s="200" t="str">
        <f t="shared" si="30"/>
        <v>In Pack</v>
      </c>
      <c r="O471" s="200" t="str">
        <f t="shared" si="31"/>
        <v>Toples</v>
      </c>
      <c r="P471" s="203">
        <f t="shared" si="27"/>
        <v>2</v>
      </c>
      <c r="Q471" s="200">
        <f t="shared" si="28"/>
        <v>0</v>
      </c>
      <c r="R471" s="200">
        <v>6</v>
      </c>
      <c r="S471" s="204">
        <f>S470/6</f>
        <v>12000</v>
      </c>
      <c r="T471" s="205">
        <f t="shared" si="29"/>
        <v>10810.81081081081</v>
      </c>
      <c r="U471" s="234">
        <v>12600</v>
      </c>
      <c r="V471" s="234">
        <f t="shared" si="32"/>
        <v>11214</v>
      </c>
    </row>
    <row r="472" spans="1:22" ht="22.5" customHeight="1">
      <c r="A472" s="109"/>
      <c r="B472" s="109"/>
      <c r="C472" s="200">
        <v>167</v>
      </c>
      <c r="D472" s="200"/>
      <c r="E472" s="201" t="s">
        <v>980</v>
      </c>
      <c r="F472" s="202" t="s">
        <v>970</v>
      </c>
      <c r="G472" s="202" t="s">
        <v>970</v>
      </c>
      <c r="H472" s="200" t="s">
        <v>1439</v>
      </c>
      <c r="I472" s="200" t="s">
        <v>1439</v>
      </c>
      <c r="J472" s="203">
        <v>1</v>
      </c>
      <c r="K472" s="200" t="str">
        <f t="shared" si="33"/>
        <v>DISTRIBUTOR</v>
      </c>
      <c r="L472" s="200" t="s">
        <v>37</v>
      </c>
      <c r="M472" s="203">
        <v>9</v>
      </c>
      <c r="N472" s="200" t="str">
        <f t="shared" si="30"/>
        <v>In Pcs</v>
      </c>
      <c r="O472" s="200" t="str">
        <f t="shared" si="31"/>
        <v>Pcs</v>
      </c>
      <c r="P472" s="203">
        <f t="shared" si="27"/>
        <v>4</v>
      </c>
      <c r="Q472" s="200" t="str">
        <f t="shared" si="28"/>
        <v>small</v>
      </c>
      <c r="R472" s="200">
        <v>120</v>
      </c>
      <c r="S472" s="204">
        <f>S471/20</f>
        <v>600</v>
      </c>
      <c r="T472" s="205">
        <f t="shared" si="29"/>
        <v>540.54054054054052</v>
      </c>
      <c r="U472" s="234">
        <v>630</v>
      </c>
      <c r="V472" s="234">
        <f t="shared" si="32"/>
        <v>560.70000000000005</v>
      </c>
    </row>
    <row r="473" spans="1:22" ht="22.5" customHeight="1">
      <c r="A473" s="109"/>
      <c r="B473" s="109"/>
      <c r="C473" s="200">
        <v>168</v>
      </c>
      <c r="D473" s="200"/>
      <c r="E473" s="201" t="s">
        <v>982</v>
      </c>
      <c r="F473" s="202" t="s">
        <v>970</v>
      </c>
      <c r="G473" s="202" t="s">
        <v>970</v>
      </c>
      <c r="H473" s="200" t="s">
        <v>1439</v>
      </c>
      <c r="I473" s="200" t="s">
        <v>1439</v>
      </c>
      <c r="J473" s="203">
        <v>1</v>
      </c>
      <c r="K473" s="200" t="str">
        <f t="shared" si="33"/>
        <v>DISTRIBUTOR</v>
      </c>
      <c r="L473" s="200" t="s">
        <v>37</v>
      </c>
      <c r="M473" s="203">
        <v>1</v>
      </c>
      <c r="N473" s="200" t="str">
        <f t="shared" si="30"/>
        <v>In Carton</v>
      </c>
      <c r="O473" s="200" t="str">
        <f t="shared" si="31"/>
        <v>Carton</v>
      </c>
      <c r="P473" s="203">
        <f t="shared" si="27"/>
        <v>1</v>
      </c>
      <c r="Q473" s="200" t="str">
        <f t="shared" si="28"/>
        <v>large</v>
      </c>
      <c r="R473" s="200">
        <v>1</v>
      </c>
      <c r="S473" s="204">
        <f>14000*6</f>
        <v>84000</v>
      </c>
      <c r="T473" s="205">
        <f t="shared" si="29"/>
        <v>75675.675675675666</v>
      </c>
      <c r="U473" s="234">
        <v>75600</v>
      </c>
      <c r="V473" s="234">
        <f t="shared" si="32"/>
        <v>67284</v>
      </c>
    </row>
    <row r="474" spans="1:22" ht="22.5" customHeight="1">
      <c r="A474" s="109"/>
      <c r="B474" s="109"/>
      <c r="C474" s="200">
        <v>168</v>
      </c>
      <c r="D474" s="200"/>
      <c r="E474" s="201" t="s">
        <v>982</v>
      </c>
      <c r="F474" s="202" t="s">
        <v>970</v>
      </c>
      <c r="G474" s="202" t="s">
        <v>970</v>
      </c>
      <c r="H474" s="200" t="s">
        <v>1439</v>
      </c>
      <c r="I474" s="200" t="s">
        <v>1439</v>
      </c>
      <c r="J474" s="203">
        <v>1</v>
      </c>
      <c r="K474" s="200" t="str">
        <f t="shared" si="33"/>
        <v>DISTRIBUTOR</v>
      </c>
      <c r="L474" s="200" t="s">
        <v>37</v>
      </c>
      <c r="M474" s="203">
        <v>4</v>
      </c>
      <c r="N474" s="200" t="str">
        <f t="shared" si="30"/>
        <v>In Pack</v>
      </c>
      <c r="O474" s="200" t="str">
        <f t="shared" si="31"/>
        <v>Box</v>
      </c>
      <c r="P474" s="203">
        <f t="shared" si="27"/>
        <v>2</v>
      </c>
      <c r="Q474" s="200">
        <f t="shared" si="28"/>
        <v>0</v>
      </c>
      <c r="R474" s="200">
        <v>6</v>
      </c>
      <c r="S474" s="204">
        <f>S473/6</f>
        <v>14000</v>
      </c>
      <c r="T474" s="205">
        <f t="shared" si="29"/>
        <v>12612.612612612611</v>
      </c>
      <c r="U474" s="234">
        <v>12600</v>
      </c>
      <c r="V474" s="234">
        <f t="shared" si="32"/>
        <v>11214</v>
      </c>
    </row>
    <row r="475" spans="1:22" ht="22.5" customHeight="1">
      <c r="A475" s="109"/>
      <c r="B475" s="109"/>
      <c r="C475" s="200">
        <v>168</v>
      </c>
      <c r="D475" s="200"/>
      <c r="E475" s="201" t="s">
        <v>982</v>
      </c>
      <c r="F475" s="202" t="s">
        <v>970</v>
      </c>
      <c r="G475" s="202" t="s">
        <v>970</v>
      </c>
      <c r="H475" s="200" t="s">
        <v>1439</v>
      </c>
      <c r="I475" s="200" t="s">
        <v>1439</v>
      </c>
      <c r="J475" s="203">
        <v>1</v>
      </c>
      <c r="K475" s="200" t="str">
        <f t="shared" si="33"/>
        <v>DISTRIBUTOR</v>
      </c>
      <c r="L475" s="200" t="s">
        <v>37</v>
      </c>
      <c r="M475" s="203">
        <v>9</v>
      </c>
      <c r="N475" s="200" t="str">
        <f t="shared" si="30"/>
        <v>In Pcs</v>
      </c>
      <c r="O475" s="200" t="str">
        <f t="shared" si="31"/>
        <v>Pcs</v>
      </c>
      <c r="P475" s="203">
        <f t="shared" si="27"/>
        <v>4</v>
      </c>
      <c r="Q475" s="200" t="str">
        <f t="shared" si="28"/>
        <v>small</v>
      </c>
      <c r="R475" s="200">
        <v>120</v>
      </c>
      <c r="S475" s="204">
        <f>S474/20</f>
        <v>700</v>
      </c>
      <c r="T475" s="205">
        <f t="shared" si="29"/>
        <v>630.63063063063055</v>
      </c>
      <c r="U475" s="234">
        <v>630</v>
      </c>
      <c r="V475" s="234">
        <f t="shared" si="32"/>
        <v>560.70000000000005</v>
      </c>
    </row>
    <row r="476" spans="1:22" ht="22.5" customHeight="1">
      <c r="A476" s="109"/>
      <c r="B476" s="109"/>
      <c r="C476" s="200">
        <v>169</v>
      </c>
      <c r="D476" s="200"/>
      <c r="E476" s="201" t="s">
        <v>984</v>
      </c>
      <c r="F476" s="202" t="s">
        <v>970</v>
      </c>
      <c r="G476" s="202" t="s">
        <v>970</v>
      </c>
      <c r="H476" s="200" t="s">
        <v>1439</v>
      </c>
      <c r="I476" s="200" t="s">
        <v>1439</v>
      </c>
      <c r="J476" s="203">
        <v>1</v>
      </c>
      <c r="K476" s="200" t="str">
        <f t="shared" si="33"/>
        <v>DISTRIBUTOR</v>
      </c>
      <c r="L476" s="200" t="s">
        <v>37</v>
      </c>
      <c r="M476" s="203">
        <v>1</v>
      </c>
      <c r="N476" s="200" t="str">
        <f t="shared" si="30"/>
        <v>In Carton</v>
      </c>
      <c r="O476" s="200" t="str">
        <f t="shared" si="31"/>
        <v>Carton</v>
      </c>
      <c r="P476" s="203">
        <f t="shared" si="27"/>
        <v>1</v>
      </c>
      <c r="Q476" s="200" t="str">
        <f t="shared" si="28"/>
        <v>large</v>
      </c>
      <c r="R476" s="200">
        <v>1</v>
      </c>
      <c r="S476" s="204">
        <f>14000*6</f>
        <v>84000</v>
      </c>
      <c r="T476" s="205">
        <f t="shared" si="29"/>
        <v>75675.675675675666</v>
      </c>
      <c r="U476" s="234">
        <v>75600</v>
      </c>
      <c r="V476" s="234">
        <f t="shared" si="32"/>
        <v>67284</v>
      </c>
    </row>
    <row r="477" spans="1:22" ht="22.5" customHeight="1">
      <c r="A477" s="109"/>
      <c r="B477" s="109"/>
      <c r="C477" s="200">
        <v>169</v>
      </c>
      <c r="D477" s="200"/>
      <c r="E477" s="201" t="s">
        <v>984</v>
      </c>
      <c r="F477" s="202" t="s">
        <v>970</v>
      </c>
      <c r="G477" s="202" t="s">
        <v>970</v>
      </c>
      <c r="H477" s="200" t="s">
        <v>1439</v>
      </c>
      <c r="I477" s="200" t="s">
        <v>1439</v>
      </c>
      <c r="J477" s="203">
        <v>1</v>
      </c>
      <c r="K477" s="200" t="str">
        <f t="shared" si="33"/>
        <v>DISTRIBUTOR</v>
      </c>
      <c r="L477" s="200" t="s">
        <v>37</v>
      </c>
      <c r="M477" s="203">
        <v>4</v>
      </c>
      <c r="N477" s="200" t="str">
        <f t="shared" si="30"/>
        <v>In Pack</v>
      </c>
      <c r="O477" s="200" t="str">
        <f t="shared" si="31"/>
        <v>Box</v>
      </c>
      <c r="P477" s="203">
        <f t="shared" si="27"/>
        <v>2</v>
      </c>
      <c r="Q477" s="200">
        <f t="shared" si="28"/>
        <v>0</v>
      </c>
      <c r="R477" s="200">
        <v>6</v>
      </c>
      <c r="S477" s="204">
        <f>S476/6</f>
        <v>14000</v>
      </c>
      <c r="T477" s="205">
        <f t="shared" si="29"/>
        <v>12612.612612612611</v>
      </c>
      <c r="U477" s="234">
        <v>12600</v>
      </c>
      <c r="V477" s="234">
        <f t="shared" si="32"/>
        <v>11214</v>
      </c>
    </row>
    <row r="478" spans="1:22" ht="22.5" customHeight="1">
      <c r="A478" s="109"/>
      <c r="B478" s="109"/>
      <c r="C478" s="200">
        <v>169</v>
      </c>
      <c r="D478" s="200"/>
      <c r="E478" s="201" t="s">
        <v>984</v>
      </c>
      <c r="F478" s="202" t="s">
        <v>970</v>
      </c>
      <c r="G478" s="202" t="s">
        <v>970</v>
      </c>
      <c r="H478" s="200" t="s">
        <v>1439</v>
      </c>
      <c r="I478" s="200" t="s">
        <v>1439</v>
      </c>
      <c r="J478" s="203">
        <v>1</v>
      </c>
      <c r="K478" s="200" t="str">
        <f t="shared" si="33"/>
        <v>DISTRIBUTOR</v>
      </c>
      <c r="L478" s="200" t="s">
        <v>37</v>
      </c>
      <c r="M478" s="203">
        <v>9</v>
      </c>
      <c r="N478" s="200" t="str">
        <f t="shared" si="30"/>
        <v>In Pcs</v>
      </c>
      <c r="O478" s="200" t="str">
        <f t="shared" si="31"/>
        <v>Pcs</v>
      </c>
      <c r="P478" s="203">
        <f t="shared" si="27"/>
        <v>4</v>
      </c>
      <c r="Q478" s="200" t="str">
        <f t="shared" si="28"/>
        <v>small</v>
      </c>
      <c r="R478" s="200">
        <v>120</v>
      </c>
      <c r="S478" s="204">
        <f>S477/20</f>
        <v>700</v>
      </c>
      <c r="T478" s="205">
        <f t="shared" si="29"/>
        <v>630.63063063063055</v>
      </c>
      <c r="U478" s="234">
        <v>630</v>
      </c>
      <c r="V478" s="234">
        <f t="shared" si="32"/>
        <v>560.70000000000005</v>
      </c>
    </row>
    <row r="479" spans="1:22" ht="22.5" customHeight="1">
      <c r="A479" s="109"/>
      <c r="B479" s="109"/>
      <c r="C479" s="206">
        <v>170</v>
      </c>
      <c r="D479" s="206"/>
      <c r="E479" s="207" t="s">
        <v>1440</v>
      </c>
      <c r="F479" s="207" t="s">
        <v>1441</v>
      </c>
      <c r="G479" s="207" t="s">
        <v>1441</v>
      </c>
      <c r="H479" s="207" t="s">
        <v>24</v>
      </c>
      <c r="I479" s="207" t="s">
        <v>24</v>
      </c>
      <c r="J479" s="208">
        <v>2</v>
      </c>
      <c r="K479" s="206" t="str">
        <f t="shared" si="33"/>
        <v>SUB DISTRIBUTOR</v>
      </c>
      <c r="L479" s="206" t="s">
        <v>37</v>
      </c>
      <c r="M479" s="208">
        <v>1</v>
      </c>
      <c r="N479" s="206" t="str">
        <f t="shared" si="30"/>
        <v>In Carton</v>
      </c>
      <c r="O479" s="206" t="str">
        <f t="shared" si="31"/>
        <v>Carton</v>
      </c>
      <c r="P479" s="208">
        <f t="shared" si="27"/>
        <v>1</v>
      </c>
      <c r="Q479" s="206" t="str">
        <f t="shared" si="28"/>
        <v>large</v>
      </c>
      <c r="R479" s="206">
        <v>1</v>
      </c>
      <c r="S479" s="209">
        <f>260000*4</f>
        <v>1040000</v>
      </c>
      <c r="T479" s="210">
        <f t="shared" si="29"/>
        <v>936936.93693693681</v>
      </c>
      <c r="U479" s="231">
        <f t="shared" ref="U479:U511" si="34">V479+(V479*11%)</f>
        <v>249989.76000000001</v>
      </c>
      <c r="V479" s="235">
        <v>225216</v>
      </c>
    </row>
    <row r="480" spans="1:22" ht="22.5" customHeight="1">
      <c r="A480" s="109"/>
      <c r="B480" s="109"/>
      <c r="C480" s="206">
        <v>170</v>
      </c>
      <c r="D480" s="206"/>
      <c r="E480" s="207" t="s">
        <v>1440</v>
      </c>
      <c r="F480" s="207" t="s">
        <v>1441</v>
      </c>
      <c r="G480" s="207" t="s">
        <v>1441</v>
      </c>
      <c r="H480" s="207" t="s">
        <v>24</v>
      </c>
      <c r="I480" s="207" t="s">
        <v>24</v>
      </c>
      <c r="J480" s="208">
        <v>2</v>
      </c>
      <c r="K480" s="206" t="str">
        <f t="shared" si="33"/>
        <v>SUB DISTRIBUTOR</v>
      </c>
      <c r="L480" s="206" t="s">
        <v>37</v>
      </c>
      <c r="M480" s="208">
        <v>4</v>
      </c>
      <c r="N480" s="206" t="str">
        <f t="shared" si="30"/>
        <v>In Pack</v>
      </c>
      <c r="O480" s="206" t="str">
        <f t="shared" si="31"/>
        <v>Box</v>
      </c>
      <c r="P480" s="208">
        <f t="shared" si="27"/>
        <v>2</v>
      </c>
      <c r="Q480" s="206">
        <f t="shared" si="28"/>
        <v>0</v>
      </c>
      <c r="R480" s="206">
        <v>4</v>
      </c>
      <c r="S480" s="209">
        <f>S479/4</f>
        <v>260000</v>
      </c>
      <c r="T480" s="210">
        <f t="shared" si="29"/>
        <v>234234.2342342342</v>
      </c>
      <c r="U480" s="231">
        <f t="shared" si="34"/>
        <v>62497.440000000002</v>
      </c>
      <c r="V480" s="235">
        <v>56304</v>
      </c>
    </row>
    <row r="481" spans="1:22" ht="22.5" customHeight="1">
      <c r="A481" s="109"/>
      <c r="B481" s="109"/>
      <c r="C481" s="206">
        <v>170</v>
      </c>
      <c r="D481" s="206"/>
      <c r="E481" s="207" t="s">
        <v>1440</v>
      </c>
      <c r="F481" s="207" t="s">
        <v>1441</v>
      </c>
      <c r="G481" s="207" t="s">
        <v>1441</v>
      </c>
      <c r="H481" s="207" t="s">
        <v>24</v>
      </c>
      <c r="I481" s="207" t="s">
        <v>24</v>
      </c>
      <c r="J481" s="208">
        <v>2</v>
      </c>
      <c r="K481" s="206" t="str">
        <f t="shared" si="33"/>
        <v>SUB DISTRIBUTOR</v>
      </c>
      <c r="L481" s="206" t="s">
        <v>37</v>
      </c>
      <c r="M481" s="208">
        <v>9</v>
      </c>
      <c r="N481" s="206" t="str">
        <f t="shared" si="30"/>
        <v>In Pcs</v>
      </c>
      <c r="O481" s="206" t="str">
        <f t="shared" si="31"/>
        <v>Pcs</v>
      </c>
      <c r="P481" s="208">
        <f t="shared" si="27"/>
        <v>4</v>
      </c>
      <c r="Q481" s="206" t="str">
        <f t="shared" si="28"/>
        <v>small</v>
      </c>
      <c r="R481" s="206">
        <v>144</v>
      </c>
      <c r="S481" s="209">
        <f>S480/36</f>
        <v>7222.2222222222226</v>
      </c>
      <c r="T481" s="210">
        <f t="shared" si="29"/>
        <v>6506.5065065065064</v>
      </c>
      <c r="U481" s="231">
        <f t="shared" si="34"/>
        <v>1736.04</v>
      </c>
      <c r="V481" s="235">
        <v>1564</v>
      </c>
    </row>
    <row r="482" spans="1:22">
      <c r="A482" s="109"/>
      <c r="B482" s="109"/>
      <c r="C482" s="163">
        <v>171</v>
      </c>
      <c r="D482" s="163"/>
      <c r="E482" s="211" t="s">
        <v>1446</v>
      </c>
      <c r="F482" s="211" t="s">
        <v>550</v>
      </c>
      <c r="G482" s="211" t="s">
        <v>550</v>
      </c>
      <c r="H482" s="211" t="s">
        <v>24</v>
      </c>
      <c r="I482" s="211" t="s">
        <v>24</v>
      </c>
      <c r="J482" s="164">
        <v>2</v>
      </c>
      <c r="K482" s="163" t="str">
        <f t="shared" si="33"/>
        <v>SUB DISTRIBUTOR</v>
      </c>
      <c r="L482" s="163" t="s">
        <v>37</v>
      </c>
      <c r="M482" s="164">
        <v>1</v>
      </c>
      <c r="N482" s="163" t="str">
        <f t="shared" si="30"/>
        <v>In Carton</v>
      </c>
      <c r="O482" s="163" t="str">
        <f t="shared" si="31"/>
        <v>Carton</v>
      </c>
      <c r="P482" s="164">
        <f t="shared" si="27"/>
        <v>1</v>
      </c>
      <c r="Q482" s="163" t="str">
        <f t="shared" si="28"/>
        <v>large</v>
      </c>
      <c r="R482" s="163">
        <v>1</v>
      </c>
      <c r="S482" s="165">
        <f>25530*12</f>
        <v>306360</v>
      </c>
      <c r="T482" s="166">
        <f t="shared" si="29"/>
        <v>276000</v>
      </c>
      <c r="U482" s="231">
        <f t="shared" si="34"/>
        <v>223030.08000000002</v>
      </c>
      <c r="V482" s="227">
        <v>200928</v>
      </c>
    </row>
    <row r="483" spans="1:22">
      <c r="A483" s="109"/>
      <c r="B483" s="109"/>
      <c r="C483" s="163">
        <v>171</v>
      </c>
      <c r="D483" s="163"/>
      <c r="E483" s="211" t="s">
        <v>1446</v>
      </c>
      <c r="F483" s="211" t="s">
        <v>550</v>
      </c>
      <c r="G483" s="211" t="s">
        <v>550</v>
      </c>
      <c r="H483" s="211" t="s">
        <v>24</v>
      </c>
      <c r="I483" s="211" t="s">
        <v>24</v>
      </c>
      <c r="J483" s="164">
        <v>2</v>
      </c>
      <c r="K483" s="163" t="str">
        <f t="shared" si="33"/>
        <v>SUB DISTRIBUTOR</v>
      </c>
      <c r="L483" s="163" t="s">
        <v>37</v>
      </c>
      <c r="M483" s="164">
        <v>8</v>
      </c>
      <c r="N483" s="163" t="str">
        <f t="shared" si="30"/>
        <v>In Renceng</v>
      </c>
      <c r="O483" s="163" t="str">
        <f t="shared" si="31"/>
        <v>Renceng</v>
      </c>
      <c r="P483" s="164">
        <f t="shared" si="27"/>
        <v>3</v>
      </c>
      <c r="Q483" s="163">
        <f t="shared" si="28"/>
        <v>0</v>
      </c>
      <c r="R483" s="163">
        <v>12</v>
      </c>
      <c r="S483" s="165">
        <f>S482/12</f>
        <v>25530</v>
      </c>
      <c r="T483" s="166">
        <f t="shared" si="29"/>
        <v>22999.999999999996</v>
      </c>
      <c r="U483" s="231">
        <f t="shared" si="34"/>
        <v>18585.84</v>
      </c>
      <c r="V483" s="227">
        <v>16744</v>
      </c>
    </row>
    <row r="484" spans="1:22">
      <c r="A484" s="109"/>
      <c r="B484" s="109"/>
      <c r="C484" s="163">
        <v>171</v>
      </c>
      <c r="D484" s="163"/>
      <c r="E484" s="211" t="s">
        <v>1446</v>
      </c>
      <c r="F484" s="211" t="s">
        <v>550</v>
      </c>
      <c r="G484" s="211" t="s">
        <v>550</v>
      </c>
      <c r="H484" s="211" t="s">
        <v>24</v>
      </c>
      <c r="I484" s="211" t="s">
        <v>24</v>
      </c>
      <c r="J484" s="164">
        <v>2</v>
      </c>
      <c r="K484" s="163" t="str">
        <f t="shared" si="33"/>
        <v>SUB DISTRIBUTOR</v>
      </c>
      <c r="L484" s="163" t="s">
        <v>37</v>
      </c>
      <c r="M484" s="164">
        <v>9</v>
      </c>
      <c r="N484" s="163" t="str">
        <f t="shared" si="30"/>
        <v>In Pcs</v>
      </c>
      <c r="O484" s="163" t="str">
        <f t="shared" si="31"/>
        <v>Pcs</v>
      </c>
      <c r="P484" s="164">
        <f t="shared" si="27"/>
        <v>4</v>
      </c>
      <c r="Q484" s="163" t="str">
        <f t="shared" si="28"/>
        <v>small</v>
      </c>
      <c r="R484" s="163">
        <v>120</v>
      </c>
      <c r="S484" s="165">
        <f>S483/10</f>
        <v>2553</v>
      </c>
      <c r="T484" s="166">
        <f t="shared" si="29"/>
        <v>2300</v>
      </c>
      <c r="U484" s="231">
        <f t="shared" si="34"/>
        <v>1858.14</v>
      </c>
      <c r="V484" s="227">
        <v>1674</v>
      </c>
    </row>
    <row r="485" spans="1:22">
      <c r="A485" s="109"/>
      <c r="B485" s="109"/>
      <c r="C485" s="163">
        <v>172</v>
      </c>
      <c r="D485" s="163"/>
      <c r="E485" s="211" t="s">
        <v>1449</v>
      </c>
      <c r="F485" s="211" t="s">
        <v>550</v>
      </c>
      <c r="G485" s="211" t="s">
        <v>550</v>
      </c>
      <c r="H485" s="211" t="s">
        <v>24</v>
      </c>
      <c r="I485" s="211" t="s">
        <v>24</v>
      </c>
      <c r="J485" s="164">
        <v>2</v>
      </c>
      <c r="K485" s="163" t="str">
        <f t="shared" si="33"/>
        <v>SUB DISTRIBUTOR</v>
      </c>
      <c r="L485" s="163" t="s">
        <v>37</v>
      </c>
      <c r="M485" s="164">
        <v>1</v>
      </c>
      <c r="N485" s="163" t="str">
        <f t="shared" si="30"/>
        <v>In Carton</v>
      </c>
      <c r="O485" s="163" t="str">
        <f t="shared" si="31"/>
        <v>Carton</v>
      </c>
      <c r="P485" s="164">
        <f t="shared" si="27"/>
        <v>1</v>
      </c>
      <c r="Q485" s="163" t="str">
        <f t="shared" si="28"/>
        <v>large</v>
      </c>
      <c r="R485" s="163">
        <v>1</v>
      </c>
      <c r="S485" s="165">
        <f>51100*6</f>
        <v>306600</v>
      </c>
      <c r="T485" s="166">
        <f t="shared" ref="T485:T487" si="35">S485/1.11</f>
        <v>276216.21621621621</v>
      </c>
      <c r="U485" s="231">
        <f t="shared" si="34"/>
        <v>223030.08000000002</v>
      </c>
      <c r="V485" s="227">
        <v>200928</v>
      </c>
    </row>
    <row r="486" spans="1:22">
      <c r="A486" s="109"/>
      <c r="B486" s="109"/>
      <c r="C486" s="163">
        <v>172</v>
      </c>
      <c r="D486" s="163"/>
      <c r="E486" s="211" t="s">
        <v>1449</v>
      </c>
      <c r="F486" s="211" t="s">
        <v>550</v>
      </c>
      <c r="G486" s="211" t="s">
        <v>550</v>
      </c>
      <c r="H486" s="211" t="s">
        <v>24</v>
      </c>
      <c r="I486" s="211" t="s">
        <v>24</v>
      </c>
      <c r="J486" s="164">
        <v>2</v>
      </c>
      <c r="K486" s="163" t="str">
        <f t="shared" si="33"/>
        <v>SUB DISTRIBUTOR</v>
      </c>
      <c r="L486" s="163" t="s">
        <v>37</v>
      </c>
      <c r="M486" s="164">
        <v>4</v>
      </c>
      <c r="N486" s="163" t="str">
        <f t="shared" si="30"/>
        <v>In Pack</v>
      </c>
      <c r="O486" s="163" t="str">
        <f t="shared" si="31"/>
        <v>Box</v>
      </c>
      <c r="P486" s="164">
        <f t="shared" si="27"/>
        <v>2</v>
      </c>
      <c r="Q486" s="163">
        <f t="shared" si="28"/>
        <v>0</v>
      </c>
      <c r="R486" s="163">
        <v>6</v>
      </c>
      <c r="S486" s="165">
        <f>S485/6</f>
        <v>51100</v>
      </c>
      <c r="T486" s="166">
        <f t="shared" si="35"/>
        <v>46036.036036036036</v>
      </c>
      <c r="U486" s="231">
        <f t="shared" si="34"/>
        <v>37171.68</v>
      </c>
      <c r="V486" s="227">
        <v>33488</v>
      </c>
    </row>
    <row r="487" spans="1:22">
      <c r="A487" s="109"/>
      <c r="B487" s="109"/>
      <c r="C487" s="163">
        <v>172</v>
      </c>
      <c r="D487" s="163"/>
      <c r="E487" s="211" t="s">
        <v>1449</v>
      </c>
      <c r="F487" s="211" t="s">
        <v>550</v>
      </c>
      <c r="G487" s="211" t="s">
        <v>550</v>
      </c>
      <c r="H487" s="211" t="s">
        <v>24</v>
      </c>
      <c r="I487" s="211" t="s">
        <v>24</v>
      </c>
      <c r="J487" s="164">
        <v>2</v>
      </c>
      <c r="K487" s="163" t="str">
        <f t="shared" si="33"/>
        <v>SUB DISTRIBUTOR</v>
      </c>
      <c r="L487" s="163" t="s">
        <v>37</v>
      </c>
      <c r="M487" s="164">
        <v>9</v>
      </c>
      <c r="N487" s="163" t="str">
        <f t="shared" si="30"/>
        <v>In Pcs</v>
      </c>
      <c r="O487" s="163" t="str">
        <f t="shared" si="31"/>
        <v>Pcs</v>
      </c>
      <c r="P487" s="164">
        <f t="shared" si="27"/>
        <v>4</v>
      </c>
      <c r="Q487" s="163" t="str">
        <f t="shared" si="28"/>
        <v>small</v>
      </c>
      <c r="R487" s="163">
        <v>120</v>
      </c>
      <c r="S487" s="165">
        <f>S486/20</f>
        <v>2555</v>
      </c>
      <c r="T487" s="166">
        <f t="shared" si="35"/>
        <v>2301.8018018018015</v>
      </c>
      <c r="U487" s="231">
        <f t="shared" si="34"/>
        <v>3716.28</v>
      </c>
      <c r="V487" s="227">
        <v>3348</v>
      </c>
    </row>
    <row r="488" spans="1:22">
      <c r="A488" s="109"/>
      <c r="B488" s="109"/>
      <c r="C488" s="163">
        <v>173</v>
      </c>
      <c r="D488" s="163"/>
      <c r="E488" s="211" t="s">
        <v>1447</v>
      </c>
      <c r="F488" s="211" t="s">
        <v>550</v>
      </c>
      <c r="G488" s="211" t="s">
        <v>550</v>
      </c>
      <c r="H488" s="211" t="s">
        <v>24</v>
      </c>
      <c r="I488" s="211" t="s">
        <v>24</v>
      </c>
      <c r="J488" s="164">
        <v>2</v>
      </c>
      <c r="K488" s="163" t="str">
        <f t="shared" si="33"/>
        <v>SUB DISTRIBUTOR</v>
      </c>
      <c r="L488" s="163" t="s">
        <v>37</v>
      </c>
      <c r="M488" s="164">
        <v>1</v>
      </c>
      <c r="N488" s="163" t="str">
        <f t="shared" si="30"/>
        <v>In Carton</v>
      </c>
      <c r="O488" s="163" t="str">
        <f t="shared" si="31"/>
        <v>Carton</v>
      </c>
      <c r="P488" s="164">
        <f t="shared" si="27"/>
        <v>1</v>
      </c>
      <c r="Q488" s="163" t="str">
        <f t="shared" si="28"/>
        <v>large</v>
      </c>
      <c r="R488" s="163">
        <v>1</v>
      </c>
      <c r="S488" s="165">
        <f>42624*6</f>
        <v>255744</v>
      </c>
      <c r="T488" s="166">
        <f t="shared" si="29"/>
        <v>230399.99999999997</v>
      </c>
      <c r="U488" s="231">
        <f t="shared" si="34"/>
        <v>116363.52</v>
      </c>
      <c r="V488" s="227">
        <v>104832</v>
      </c>
    </row>
    <row r="489" spans="1:22">
      <c r="A489" s="109"/>
      <c r="B489" s="109"/>
      <c r="C489" s="163">
        <v>173</v>
      </c>
      <c r="D489" s="163"/>
      <c r="E489" s="211" t="s">
        <v>1447</v>
      </c>
      <c r="F489" s="211" t="s">
        <v>550</v>
      </c>
      <c r="G489" s="211" t="s">
        <v>550</v>
      </c>
      <c r="H489" s="211" t="s">
        <v>24</v>
      </c>
      <c r="I489" s="211" t="s">
        <v>24</v>
      </c>
      <c r="J489" s="164">
        <v>2</v>
      </c>
      <c r="K489" s="163" t="str">
        <f t="shared" si="33"/>
        <v>SUB DISTRIBUTOR</v>
      </c>
      <c r="L489" s="163" t="s">
        <v>37</v>
      </c>
      <c r="M489" s="164">
        <v>4</v>
      </c>
      <c r="N489" s="163" t="str">
        <f t="shared" si="30"/>
        <v>In Pack</v>
      </c>
      <c r="O489" s="163" t="str">
        <f t="shared" si="31"/>
        <v>Box</v>
      </c>
      <c r="P489" s="164">
        <f t="shared" si="27"/>
        <v>2</v>
      </c>
      <c r="Q489" s="163">
        <f t="shared" si="28"/>
        <v>0</v>
      </c>
      <c r="R489" s="163">
        <v>6</v>
      </c>
      <c r="S489" s="165">
        <f>S488/6</f>
        <v>42624</v>
      </c>
      <c r="T489" s="166">
        <f t="shared" si="29"/>
        <v>38400</v>
      </c>
      <c r="U489" s="231">
        <f t="shared" si="34"/>
        <v>19393.919999999998</v>
      </c>
      <c r="V489" s="227">
        <v>17472</v>
      </c>
    </row>
    <row r="490" spans="1:22">
      <c r="A490" s="109"/>
      <c r="B490" s="109"/>
      <c r="C490" s="163">
        <v>173</v>
      </c>
      <c r="D490" s="163"/>
      <c r="E490" s="211" t="s">
        <v>1447</v>
      </c>
      <c r="F490" s="211" t="s">
        <v>550</v>
      </c>
      <c r="G490" s="211" t="s">
        <v>550</v>
      </c>
      <c r="H490" s="211" t="s">
        <v>24</v>
      </c>
      <c r="I490" s="211" t="s">
        <v>24</v>
      </c>
      <c r="J490" s="164">
        <v>2</v>
      </c>
      <c r="K490" s="163" t="str">
        <f t="shared" si="33"/>
        <v>SUB DISTRIBUTOR</v>
      </c>
      <c r="L490" s="163" t="s">
        <v>37</v>
      </c>
      <c r="M490" s="164">
        <v>9</v>
      </c>
      <c r="N490" s="163" t="str">
        <f t="shared" si="30"/>
        <v>In Pcs</v>
      </c>
      <c r="O490" s="163" t="str">
        <f t="shared" si="31"/>
        <v>Pcs</v>
      </c>
      <c r="P490" s="164">
        <f t="shared" si="27"/>
        <v>4</v>
      </c>
      <c r="Q490" s="163" t="str">
        <f t="shared" si="28"/>
        <v>small</v>
      </c>
      <c r="R490" s="163">
        <v>120</v>
      </c>
      <c r="S490" s="212">
        <v>4262</v>
      </c>
      <c r="T490" s="166">
        <f t="shared" si="29"/>
        <v>3839.6396396396394</v>
      </c>
      <c r="U490" s="231">
        <f t="shared" si="34"/>
        <v>969.03</v>
      </c>
      <c r="V490" s="227">
        <v>873</v>
      </c>
    </row>
    <row r="491" spans="1:22">
      <c r="A491" s="109"/>
      <c r="B491" s="109"/>
      <c r="C491" s="163">
        <v>174</v>
      </c>
      <c r="D491" s="163"/>
      <c r="E491" s="211" t="s">
        <v>1448</v>
      </c>
      <c r="F491" s="211" t="s">
        <v>550</v>
      </c>
      <c r="G491" s="211" t="s">
        <v>550</v>
      </c>
      <c r="H491" s="211" t="s">
        <v>24</v>
      </c>
      <c r="I491" s="211" t="s">
        <v>24</v>
      </c>
      <c r="J491" s="164">
        <v>2</v>
      </c>
      <c r="K491" s="163" t="str">
        <f t="shared" si="33"/>
        <v>SUB DISTRIBUTOR</v>
      </c>
      <c r="L491" s="163" t="s">
        <v>37</v>
      </c>
      <c r="M491" s="164">
        <v>1</v>
      </c>
      <c r="N491" s="163" t="str">
        <f t="shared" si="30"/>
        <v>In Carton</v>
      </c>
      <c r="O491" s="163" t="str">
        <f t="shared" si="31"/>
        <v>Carton</v>
      </c>
      <c r="P491" s="164">
        <f t="shared" si="27"/>
        <v>1</v>
      </c>
      <c r="Q491" s="163" t="str">
        <f t="shared" si="28"/>
        <v>large</v>
      </c>
      <c r="R491" s="163">
        <v>1</v>
      </c>
      <c r="S491" s="165">
        <f>21312*6</f>
        <v>127872</v>
      </c>
      <c r="T491" s="166">
        <f t="shared" si="29"/>
        <v>115199.99999999999</v>
      </c>
      <c r="U491" s="231">
        <f t="shared" si="34"/>
        <v>116363.52</v>
      </c>
      <c r="V491" s="227">
        <v>104832</v>
      </c>
    </row>
    <row r="492" spans="1:22">
      <c r="A492" s="109"/>
      <c r="B492" s="109"/>
      <c r="C492" s="163">
        <v>174</v>
      </c>
      <c r="D492" s="163"/>
      <c r="E492" s="211" t="s">
        <v>1448</v>
      </c>
      <c r="F492" s="211" t="s">
        <v>550</v>
      </c>
      <c r="G492" s="211" t="s">
        <v>550</v>
      </c>
      <c r="H492" s="211" t="s">
        <v>24</v>
      </c>
      <c r="I492" s="211" t="s">
        <v>24</v>
      </c>
      <c r="J492" s="164">
        <v>2</v>
      </c>
      <c r="K492" s="163" t="str">
        <f t="shared" si="33"/>
        <v>SUB DISTRIBUTOR</v>
      </c>
      <c r="L492" s="163" t="s">
        <v>37</v>
      </c>
      <c r="M492" s="164">
        <v>8</v>
      </c>
      <c r="N492" s="163" t="str">
        <f t="shared" si="30"/>
        <v>In Renceng</v>
      </c>
      <c r="O492" s="163" t="str">
        <f t="shared" si="31"/>
        <v>Renceng</v>
      </c>
      <c r="P492" s="164">
        <f t="shared" si="27"/>
        <v>3</v>
      </c>
      <c r="Q492" s="163">
        <f t="shared" si="28"/>
        <v>0</v>
      </c>
      <c r="R492" s="163">
        <v>12</v>
      </c>
      <c r="S492" s="165">
        <f>S491/6</f>
        <v>21312</v>
      </c>
      <c r="T492" s="166">
        <f t="shared" si="29"/>
        <v>19200</v>
      </c>
      <c r="U492" s="231">
        <f t="shared" si="34"/>
        <v>9696.9599999999991</v>
      </c>
      <c r="V492" s="227">
        <v>8736</v>
      </c>
    </row>
    <row r="493" spans="1:22">
      <c r="A493" s="109"/>
      <c r="B493" s="109"/>
      <c r="C493" s="163">
        <v>174</v>
      </c>
      <c r="D493" s="163"/>
      <c r="E493" s="211" t="s">
        <v>1448</v>
      </c>
      <c r="F493" s="211" t="s">
        <v>550</v>
      </c>
      <c r="G493" s="211" t="s">
        <v>550</v>
      </c>
      <c r="H493" s="211" t="s">
        <v>24</v>
      </c>
      <c r="I493" s="211" t="s">
        <v>24</v>
      </c>
      <c r="J493" s="164">
        <v>2</v>
      </c>
      <c r="K493" s="163" t="str">
        <f t="shared" si="33"/>
        <v>SUB DISTRIBUTOR</v>
      </c>
      <c r="L493" s="163" t="s">
        <v>37</v>
      </c>
      <c r="M493" s="164">
        <v>9</v>
      </c>
      <c r="N493" s="163" t="str">
        <f t="shared" si="30"/>
        <v>In Pcs</v>
      </c>
      <c r="O493" s="163" t="str">
        <f t="shared" si="31"/>
        <v>Pcs</v>
      </c>
      <c r="P493" s="164">
        <f t="shared" si="27"/>
        <v>4</v>
      </c>
      <c r="Q493" s="163" t="str">
        <f t="shared" si="28"/>
        <v>small</v>
      </c>
      <c r="R493" s="163">
        <v>120</v>
      </c>
      <c r="S493" s="212">
        <v>2131</v>
      </c>
      <c r="T493" s="166">
        <f t="shared" si="29"/>
        <v>1919.8198198198197</v>
      </c>
      <c r="U493" s="231">
        <f t="shared" si="34"/>
        <v>969.03</v>
      </c>
      <c r="V493" s="227">
        <v>873</v>
      </c>
    </row>
    <row r="494" spans="1:22">
      <c r="A494" s="109"/>
      <c r="B494" s="109"/>
      <c r="C494" s="124">
        <v>175</v>
      </c>
      <c r="D494" s="124"/>
      <c r="E494" s="213" t="s">
        <v>1450</v>
      </c>
      <c r="F494" s="213" t="s">
        <v>1456</v>
      </c>
      <c r="G494" s="213" t="s">
        <v>1456</v>
      </c>
      <c r="H494" s="213" t="s">
        <v>24</v>
      </c>
      <c r="I494" s="213" t="s">
        <v>24</v>
      </c>
      <c r="J494" s="127">
        <v>2</v>
      </c>
      <c r="K494" s="124" t="str">
        <f t="shared" si="33"/>
        <v>SUB DISTRIBUTOR</v>
      </c>
      <c r="L494" s="124" t="s">
        <v>37</v>
      </c>
      <c r="M494" s="127">
        <v>1</v>
      </c>
      <c r="N494" s="124" t="str">
        <f t="shared" si="30"/>
        <v>In Carton</v>
      </c>
      <c r="O494" s="124" t="str">
        <f t="shared" si="31"/>
        <v>Carton</v>
      </c>
      <c r="P494" s="127">
        <f t="shared" si="27"/>
        <v>1</v>
      </c>
      <c r="Q494" s="124" t="str">
        <f t="shared" si="28"/>
        <v>large</v>
      </c>
      <c r="R494" s="124">
        <v>1</v>
      </c>
      <c r="S494" s="128">
        <f>51500*10</f>
        <v>515000</v>
      </c>
      <c r="T494" s="129">
        <f t="shared" si="29"/>
        <v>463963.96396396391</v>
      </c>
      <c r="U494" s="219">
        <f t="shared" si="34"/>
        <v>469752</v>
      </c>
      <c r="V494" s="219">
        <v>423200</v>
      </c>
    </row>
    <row r="495" spans="1:22">
      <c r="A495" s="109"/>
      <c r="B495" s="109"/>
      <c r="C495" s="124">
        <v>175</v>
      </c>
      <c r="D495" s="124"/>
      <c r="E495" s="213" t="s">
        <v>1450</v>
      </c>
      <c r="F495" s="213" t="s">
        <v>1456</v>
      </c>
      <c r="G495" s="213" t="s">
        <v>1456</v>
      </c>
      <c r="H495" s="213" t="s">
        <v>24</v>
      </c>
      <c r="I495" s="213" t="s">
        <v>24</v>
      </c>
      <c r="J495" s="127">
        <v>2</v>
      </c>
      <c r="K495" s="124" t="str">
        <f t="shared" si="33"/>
        <v>SUB DISTRIBUTOR</v>
      </c>
      <c r="L495" s="124" t="s">
        <v>37</v>
      </c>
      <c r="M495" s="127">
        <v>4</v>
      </c>
      <c r="N495" s="124" t="str">
        <f t="shared" si="30"/>
        <v>In Pack</v>
      </c>
      <c r="O495" s="124" t="str">
        <f t="shared" si="31"/>
        <v>Box</v>
      </c>
      <c r="P495" s="127">
        <f t="shared" si="27"/>
        <v>2</v>
      </c>
      <c r="Q495" s="124">
        <f t="shared" si="28"/>
        <v>0</v>
      </c>
      <c r="R495" s="124">
        <v>10</v>
      </c>
      <c r="S495" s="128">
        <f>S494/10</f>
        <v>51500</v>
      </c>
      <c r="T495" s="129">
        <f t="shared" si="29"/>
        <v>46396.396396396391</v>
      </c>
      <c r="U495" s="219">
        <f t="shared" si="34"/>
        <v>46975.199999999997</v>
      </c>
      <c r="V495" s="219">
        <v>42320</v>
      </c>
    </row>
    <row r="496" spans="1:22">
      <c r="A496" s="109"/>
      <c r="B496" s="109"/>
      <c r="C496" s="124">
        <v>175</v>
      </c>
      <c r="D496" s="124"/>
      <c r="E496" s="213" t="s">
        <v>1450</v>
      </c>
      <c r="F496" s="213" t="s">
        <v>1456</v>
      </c>
      <c r="G496" s="213" t="s">
        <v>1456</v>
      </c>
      <c r="H496" s="213" t="s">
        <v>24</v>
      </c>
      <c r="I496" s="213" t="s">
        <v>24</v>
      </c>
      <c r="J496" s="127">
        <v>2</v>
      </c>
      <c r="K496" s="124" t="str">
        <f t="shared" si="33"/>
        <v>SUB DISTRIBUTOR</v>
      </c>
      <c r="L496" s="124" t="s">
        <v>37</v>
      </c>
      <c r="M496" s="127">
        <v>9</v>
      </c>
      <c r="N496" s="124" t="str">
        <f t="shared" si="30"/>
        <v>In Pcs</v>
      </c>
      <c r="O496" s="124" t="str">
        <f t="shared" si="31"/>
        <v>Pcs</v>
      </c>
      <c r="P496" s="127">
        <f t="shared" si="27"/>
        <v>4</v>
      </c>
      <c r="Q496" s="124" t="str">
        <f t="shared" si="28"/>
        <v>small</v>
      </c>
      <c r="R496" s="124">
        <v>120</v>
      </c>
      <c r="S496" s="128">
        <f>S495/12</f>
        <v>4291.666666666667</v>
      </c>
      <c r="T496" s="129">
        <f t="shared" si="29"/>
        <v>3866.3663663663665</v>
      </c>
      <c r="U496" s="219">
        <f t="shared" si="34"/>
        <v>3913.86</v>
      </c>
      <c r="V496" s="219">
        <v>3526</v>
      </c>
    </row>
    <row r="497" spans="1:22">
      <c r="A497" s="109"/>
      <c r="B497" s="109"/>
      <c r="C497" s="124">
        <v>176</v>
      </c>
      <c r="D497" s="124"/>
      <c r="E497" s="213" t="s">
        <v>1454</v>
      </c>
      <c r="F497" s="213" t="s">
        <v>1456</v>
      </c>
      <c r="G497" s="213" t="s">
        <v>1456</v>
      </c>
      <c r="H497" s="213" t="s">
        <v>24</v>
      </c>
      <c r="I497" s="213" t="s">
        <v>24</v>
      </c>
      <c r="J497" s="127">
        <v>2</v>
      </c>
      <c r="K497" s="124" t="str">
        <f t="shared" si="33"/>
        <v>SUB DISTRIBUTOR</v>
      </c>
      <c r="L497" s="124" t="s">
        <v>37</v>
      </c>
      <c r="M497" s="127">
        <v>1</v>
      </c>
      <c r="N497" s="124" t="str">
        <f t="shared" si="30"/>
        <v>In Carton</v>
      </c>
      <c r="O497" s="124" t="str">
        <f t="shared" si="31"/>
        <v>Carton</v>
      </c>
      <c r="P497" s="127">
        <f t="shared" si="27"/>
        <v>1</v>
      </c>
      <c r="Q497" s="124" t="str">
        <f t="shared" si="28"/>
        <v>large</v>
      </c>
      <c r="R497" s="124">
        <v>1</v>
      </c>
      <c r="S497" s="128">
        <f>51500*10</f>
        <v>515000</v>
      </c>
      <c r="T497" s="129">
        <f t="shared" si="29"/>
        <v>463963.96396396391</v>
      </c>
      <c r="U497" s="219">
        <f t="shared" si="34"/>
        <v>469752</v>
      </c>
      <c r="V497" s="219">
        <v>423200</v>
      </c>
    </row>
    <row r="498" spans="1:22">
      <c r="A498" s="109"/>
      <c r="B498" s="109"/>
      <c r="C498" s="124">
        <v>176</v>
      </c>
      <c r="D498" s="124"/>
      <c r="E498" s="213" t="s">
        <v>1454</v>
      </c>
      <c r="F498" s="213" t="s">
        <v>1456</v>
      </c>
      <c r="G498" s="213" t="s">
        <v>1456</v>
      </c>
      <c r="H498" s="213" t="s">
        <v>24</v>
      </c>
      <c r="I498" s="213" t="s">
        <v>24</v>
      </c>
      <c r="J498" s="127">
        <v>2</v>
      </c>
      <c r="K498" s="124" t="str">
        <f t="shared" si="33"/>
        <v>SUB DISTRIBUTOR</v>
      </c>
      <c r="L498" s="124" t="s">
        <v>37</v>
      </c>
      <c r="M498" s="127">
        <v>4</v>
      </c>
      <c r="N498" s="124" t="str">
        <f t="shared" si="30"/>
        <v>In Pack</v>
      </c>
      <c r="O498" s="124" t="str">
        <f t="shared" si="31"/>
        <v>Box</v>
      </c>
      <c r="P498" s="127">
        <f t="shared" si="27"/>
        <v>2</v>
      </c>
      <c r="Q498" s="124">
        <f t="shared" si="28"/>
        <v>0</v>
      </c>
      <c r="R498" s="124">
        <v>10</v>
      </c>
      <c r="S498" s="128">
        <f>S497/10</f>
        <v>51500</v>
      </c>
      <c r="T498" s="129">
        <f t="shared" si="29"/>
        <v>46396.396396396391</v>
      </c>
      <c r="U498" s="219">
        <f t="shared" si="34"/>
        <v>46975.199999999997</v>
      </c>
      <c r="V498" s="219">
        <v>42320</v>
      </c>
    </row>
    <row r="499" spans="1:22">
      <c r="A499" s="109"/>
      <c r="B499" s="109"/>
      <c r="C499" s="124">
        <v>176</v>
      </c>
      <c r="D499" s="124"/>
      <c r="E499" s="213" t="s">
        <v>1454</v>
      </c>
      <c r="F499" s="213" t="s">
        <v>1456</v>
      </c>
      <c r="G499" s="213" t="s">
        <v>1456</v>
      </c>
      <c r="H499" s="213" t="s">
        <v>24</v>
      </c>
      <c r="I499" s="213" t="s">
        <v>24</v>
      </c>
      <c r="J499" s="127">
        <v>2</v>
      </c>
      <c r="K499" s="124" t="str">
        <f t="shared" si="33"/>
        <v>SUB DISTRIBUTOR</v>
      </c>
      <c r="L499" s="124" t="s">
        <v>37</v>
      </c>
      <c r="M499" s="127">
        <v>9</v>
      </c>
      <c r="N499" s="124" t="str">
        <f t="shared" si="30"/>
        <v>In Pcs</v>
      </c>
      <c r="O499" s="124" t="str">
        <f t="shared" si="31"/>
        <v>Pcs</v>
      </c>
      <c r="P499" s="127">
        <f t="shared" si="27"/>
        <v>4</v>
      </c>
      <c r="Q499" s="124" t="str">
        <f t="shared" si="28"/>
        <v>small</v>
      </c>
      <c r="R499" s="124">
        <v>120</v>
      </c>
      <c r="S499" s="128">
        <f>S498/12</f>
        <v>4291.666666666667</v>
      </c>
      <c r="T499" s="129">
        <f t="shared" si="29"/>
        <v>3866.3663663663665</v>
      </c>
      <c r="U499" s="219">
        <f t="shared" si="34"/>
        <v>3913.86</v>
      </c>
      <c r="V499" s="219">
        <v>3526</v>
      </c>
    </row>
    <row r="500" spans="1:22">
      <c r="A500" s="109"/>
      <c r="B500" s="109"/>
      <c r="C500" s="124">
        <v>177</v>
      </c>
      <c r="D500" s="124"/>
      <c r="E500" s="213" t="s">
        <v>1455</v>
      </c>
      <c r="F500" s="213" t="s">
        <v>1456</v>
      </c>
      <c r="G500" s="213" t="s">
        <v>1456</v>
      </c>
      <c r="H500" s="213" t="s">
        <v>24</v>
      </c>
      <c r="I500" s="213" t="s">
        <v>24</v>
      </c>
      <c r="J500" s="127">
        <v>2</v>
      </c>
      <c r="K500" s="124" t="str">
        <f t="shared" si="33"/>
        <v>SUB DISTRIBUTOR</v>
      </c>
      <c r="L500" s="124" t="s">
        <v>37</v>
      </c>
      <c r="M500" s="127">
        <v>1</v>
      </c>
      <c r="N500" s="124" t="str">
        <f t="shared" si="30"/>
        <v>In Carton</v>
      </c>
      <c r="O500" s="124" t="str">
        <f t="shared" si="31"/>
        <v>Carton</v>
      </c>
      <c r="P500" s="127">
        <f t="shared" si="27"/>
        <v>1</v>
      </c>
      <c r="Q500" s="124" t="str">
        <f t="shared" si="28"/>
        <v>large</v>
      </c>
      <c r="R500" s="124">
        <v>1</v>
      </c>
      <c r="S500" s="128">
        <f>51500*10</f>
        <v>515000</v>
      </c>
      <c r="T500" s="129">
        <f t="shared" si="29"/>
        <v>463963.96396396391</v>
      </c>
      <c r="U500" s="219">
        <f t="shared" si="34"/>
        <v>469752</v>
      </c>
      <c r="V500" s="219">
        <v>423200</v>
      </c>
    </row>
    <row r="501" spans="1:22">
      <c r="A501" s="109"/>
      <c r="B501" s="109"/>
      <c r="C501" s="124">
        <v>177</v>
      </c>
      <c r="D501" s="124"/>
      <c r="E501" s="213" t="s">
        <v>1457</v>
      </c>
      <c r="F501" s="213" t="s">
        <v>1456</v>
      </c>
      <c r="G501" s="213" t="s">
        <v>1456</v>
      </c>
      <c r="H501" s="213" t="s">
        <v>24</v>
      </c>
      <c r="I501" s="213" t="s">
        <v>24</v>
      </c>
      <c r="J501" s="127">
        <v>2</v>
      </c>
      <c r="K501" s="124" t="str">
        <f t="shared" si="33"/>
        <v>SUB DISTRIBUTOR</v>
      </c>
      <c r="L501" s="124" t="s">
        <v>37</v>
      </c>
      <c r="M501" s="127">
        <v>4</v>
      </c>
      <c r="N501" s="124" t="str">
        <f t="shared" si="30"/>
        <v>In Pack</v>
      </c>
      <c r="O501" s="124" t="str">
        <f t="shared" si="31"/>
        <v>Box</v>
      </c>
      <c r="P501" s="127">
        <f t="shared" si="27"/>
        <v>2</v>
      </c>
      <c r="Q501" s="124">
        <f t="shared" si="28"/>
        <v>0</v>
      </c>
      <c r="R501" s="124">
        <v>10</v>
      </c>
      <c r="S501" s="128">
        <f>S500/10</f>
        <v>51500</v>
      </c>
      <c r="T501" s="129">
        <f t="shared" si="29"/>
        <v>46396.396396396391</v>
      </c>
      <c r="U501" s="219">
        <f t="shared" si="34"/>
        <v>46975.199999999997</v>
      </c>
      <c r="V501" s="219">
        <v>42320</v>
      </c>
    </row>
    <row r="502" spans="1:22">
      <c r="A502" s="109"/>
      <c r="B502" s="109"/>
      <c r="C502" s="124">
        <v>177</v>
      </c>
      <c r="D502" s="124"/>
      <c r="E502" s="213" t="s">
        <v>1458</v>
      </c>
      <c r="F502" s="213" t="s">
        <v>1456</v>
      </c>
      <c r="G502" s="213" t="s">
        <v>1456</v>
      </c>
      <c r="H502" s="213" t="s">
        <v>24</v>
      </c>
      <c r="I502" s="213" t="s">
        <v>24</v>
      </c>
      <c r="J502" s="127">
        <v>2</v>
      </c>
      <c r="K502" s="124" t="str">
        <f t="shared" si="33"/>
        <v>SUB DISTRIBUTOR</v>
      </c>
      <c r="L502" s="124" t="s">
        <v>37</v>
      </c>
      <c r="M502" s="127">
        <v>9</v>
      </c>
      <c r="N502" s="124" t="str">
        <f t="shared" si="30"/>
        <v>In Pcs</v>
      </c>
      <c r="O502" s="124" t="str">
        <f t="shared" si="31"/>
        <v>Pcs</v>
      </c>
      <c r="P502" s="127">
        <f t="shared" si="27"/>
        <v>4</v>
      </c>
      <c r="Q502" s="124" t="str">
        <f t="shared" si="28"/>
        <v>small</v>
      </c>
      <c r="R502" s="124">
        <v>120</v>
      </c>
      <c r="S502" s="128">
        <f>S501/12</f>
        <v>4291.666666666667</v>
      </c>
      <c r="T502" s="129">
        <f t="shared" si="29"/>
        <v>3866.3663663663665</v>
      </c>
      <c r="U502" s="219">
        <f t="shared" si="34"/>
        <v>3913.86</v>
      </c>
      <c r="V502" s="219">
        <v>3526</v>
      </c>
    </row>
    <row r="503" spans="1:22">
      <c r="A503" s="109"/>
      <c r="B503" s="109"/>
      <c r="C503" s="124">
        <v>178</v>
      </c>
      <c r="D503" s="124"/>
      <c r="E503" s="213" t="s">
        <v>1451</v>
      </c>
      <c r="F503" s="213" t="s">
        <v>1456</v>
      </c>
      <c r="G503" s="213" t="s">
        <v>1456</v>
      </c>
      <c r="H503" s="213" t="s">
        <v>24</v>
      </c>
      <c r="I503" s="213" t="s">
        <v>24</v>
      </c>
      <c r="J503" s="127">
        <v>2</v>
      </c>
      <c r="K503" s="124" t="str">
        <f t="shared" si="33"/>
        <v>SUB DISTRIBUTOR</v>
      </c>
      <c r="L503" s="124" t="s">
        <v>37</v>
      </c>
      <c r="M503" s="127">
        <v>1</v>
      </c>
      <c r="N503" s="124" t="str">
        <f t="shared" si="30"/>
        <v>In Carton</v>
      </c>
      <c r="O503" s="124" t="str">
        <f t="shared" si="31"/>
        <v>Carton</v>
      </c>
      <c r="P503" s="127">
        <f t="shared" si="27"/>
        <v>1</v>
      </c>
      <c r="Q503" s="124" t="str">
        <f t="shared" si="28"/>
        <v>large</v>
      </c>
      <c r="R503" s="124">
        <v>1</v>
      </c>
      <c r="S503" s="128">
        <f>51500*10</f>
        <v>515000</v>
      </c>
      <c r="T503" s="129">
        <f t="shared" si="29"/>
        <v>463963.96396396391</v>
      </c>
      <c r="U503" s="219">
        <f t="shared" si="34"/>
        <v>469752</v>
      </c>
      <c r="V503" s="219">
        <v>423200</v>
      </c>
    </row>
    <row r="504" spans="1:22">
      <c r="A504" s="109"/>
      <c r="B504" s="109"/>
      <c r="C504" s="124">
        <v>178</v>
      </c>
      <c r="D504" s="124"/>
      <c r="E504" s="213" t="s">
        <v>1451</v>
      </c>
      <c r="F504" s="213" t="s">
        <v>1456</v>
      </c>
      <c r="G504" s="213" t="s">
        <v>1456</v>
      </c>
      <c r="H504" s="213" t="s">
        <v>24</v>
      </c>
      <c r="I504" s="213" t="s">
        <v>24</v>
      </c>
      <c r="J504" s="127">
        <v>2</v>
      </c>
      <c r="K504" s="124" t="str">
        <f t="shared" si="33"/>
        <v>SUB DISTRIBUTOR</v>
      </c>
      <c r="L504" s="124" t="s">
        <v>37</v>
      </c>
      <c r="M504" s="127">
        <v>4</v>
      </c>
      <c r="N504" s="124" t="str">
        <f t="shared" si="30"/>
        <v>In Pack</v>
      </c>
      <c r="O504" s="124" t="str">
        <f t="shared" si="31"/>
        <v>Box</v>
      </c>
      <c r="P504" s="127">
        <f t="shared" si="27"/>
        <v>2</v>
      </c>
      <c r="Q504" s="124">
        <f t="shared" si="28"/>
        <v>0</v>
      </c>
      <c r="R504" s="124">
        <v>10</v>
      </c>
      <c r="S504" s="128">
        <f>S503/10</f>
        <v>51500</v>
      </c>
      <c r="T504" s="129">
        <f t="shared" si="29"/>
        <v>46396.396396396391</v>
      </c>
      <c r="U504" s="219">
        <f t="shared" si="34"/>
        <v>46975.199999999997</v>
      </c>
      <c r="V504" s="219">
        <v>42320</v>
      </c>
    </row>
    <row r="505" spans="1:22">
      <c r="A505" s="109"/>
      <c r="B505" s="109"/>
      <c r="C505" s="124">
        <v>178</v>
      </c>
      <c r="D505" s="124"/>
      <c r="E505" s="213" t="s">
        <v>1451</v>
      </c>
      <c r="F505" s="213" t="s">
        <v>1456</v>
      </c>
      <c r="G505" s="213" t="s">
        <v>1456</v>
      </c>
      <c r="H505" s="213" t="s">
        <v>24</v>
      </c>
      <c r="I505" s="213" t="s">
        <v>24</v>
      </c>
      <c r="J505" s="127">
        <v>2</v>
      </c>
      <c r="K505" s="124" t="str">
        <f t="shared" si="33"/>
        <v>SUB DISTRIBUTOR</v>
      </c>
      <c r="L505" s="124" t="s">
        <v>37</v>
      </c>
      <c r="M505" s="127">
        <v>9</v>
      </c>
      <c r="N505" s="124" t="str">
        <f t="shared" si="30"/>
        <v>In Pcs</v>
      </c>
      <c r="O505" s="124" t="str">
        <f t="shared" si="31"/>
        <v>Pcs</v>
      </c>
      <c r="P505" s="127">
        <f t="shared" si="27"/>
        <v>4</v>
      </c>
      <c r="Q505" s="124" t="str">
        <f t="shared" si="28"/>
        <v>small</v>
      </c>
      <c r="R505" s="124">
        <v>120</v>
      </c>
      <c r="S505" s="128">
        <f>S504/12</f>
        <v>4291.666666666667</v>
      </c>
      <c r="T505" s="129">
        <f t="shared" si="29"/>
        <v>3866.3663663663665</v>
      </c>
      <c r="U505" s="219">
        <f t="shared" si="34"/>
        <v>3913.86</v>
      </c>
      <c r="V505" s="219">
        <v>3526</v>
      </c>
    </row>
    <row r="506" spans="1:22">
      <c r="A506" s="109"/>
      <c r="B506" s="109"/>
      <c r="C506" s="124">
        <v>179</v>
      </c>
      <c r="D506" s="124"/>
      <c r="E506" s="213" t="s">
        <v>1452</v>
      </c>
      <c r="F506" s="213" t="s">
        <v>1456</v>
      </c>
      <c r="G506" s="213" t="s">
        <v>1456</v>
      </c>
      <c r="H506" s="213" t="s">
        <v>24</v>
      </c>
      <c r="I506" s="213" t="s">
        <v>24</v>
      </c>
      <c r="J506" s="127">
        <v>2</v>
      </c>
      <c r="K506" s="124" t="str">
        <f t="shared" si="33"/>
        <v>SUB DISTRIBUTOR</v>
      </c>
      <c r="L506" s="124" t="s">
        <v>37</v>
      </c>
      <c r="M506" s="127">
        <v>1</v>
      </c>
      <c r="N506" s="124" t="str">
        <f t="shared" si="30"/>
        <v>In Carton</v>
      </c>
      <c r="O506" s="124" t="str">
        <f t="shared" si="31"/>
        <v>Carton</v>
      </c>
      <c r="P506" s="127">
        <f t="shared" si="27"/>
        <v>1</v>
      </c>
      <c r="Q506" s="124" t="str">
        <f t="shared" si="28"/>
        <v>large</v>
      </c>
      <c r="R506" s="124">
        <v>1</v>
      </c>
      <c r="S506" s="128">
        <f>35100*12</f>
        <v>421200</v>
      </c>
      <c r="T506" s="129">
        <f t="shared" si="29"/>
        <v>379459.45945945941</v>
      </c>
      <c r="U506" s="219">
        <f t="shared" si="34"/>
        <v>387239.04</v>
      </c>
      <c r="V506" s="219">
        <v>348864</v>
      </c>
    </row>
    <row r="507" spans="1:22">
      <c r="A507" s="109"/>
      <c r="B507" s="109"/>
      <c r="C507" s="124">
        <v>179</v>
      </c>
      <c r="D507" s="124"/>
      <c r="E507" s="213" t="s">
        <v>1452</v>
      </c>
      <c r="F507" s="213" t="s">
        <v>1456</v>
      </c>
      <c r="G507" s="213" t="s">
        <v>1456</v>
      </c>
      <c r="H507" s="213" t="s">
        <v>24</v>
      </c>
      <c r="I507" s="213" t="s">
        <v>24</v>
      </c>
      <c r="J507" s="127">
        <v>2</v>
      </c>
      <c r="K507" s="124" t="str">
        <f t="shared" si="33"/>
        <v>SUB DISTRIBUTOR</v>
      </c>
      <c r="L507" s="124" t="s">
        <v>37</v>
      </c>
      <c r="M507" s="127">
        <v>4</v>
      </c>
      <c r="N507" s="124" t="str">
        <f t="shared" si="30"/>
        <v>In Pack</v>
      </c>
      <c r="O507" s="124" t="str">
        <f t="shared" si="31"/>
        <v>Box</v>
      </c>
      <c r="P507" s="127">
        <f t="shared" si="27"/>
        <v>2</v>
      </c>
      <c r="Q507" s="124">
        <f t="shared" si="28"/>
        <v>0</v>
      </c>
      <c r="R507" s="124">
        <v>12</v>
      </c>
      <c r="S507" s="128">
        <f>S506/12</f>
        <v>35100</v>
      </c>
      <c r="T507" s="129">
        <f t="shared" si="29"/>
        <v>31621.62162162162</v>
      </c>
      <c r="U507" s="219">
        <f t="shared" si="34"/>
        <v>32269.919999999998</v>
      </c>
      <c r="V507" s="219">
        <v>29072</v>
      </c>
    </row>
    <row r="508" spans="1:22">
      <c r="A508" s="109"/>
      <c r="B508" s="109"/>
      <c r="C508" s="124">
        <v>179</v>
      </c>
      <c r="D508" s="124"/>
      <c r="E508" s="213" t="s">
        <v>1452</v>
      </c>
      <c r="F508" s="213" t="s">
        <v>1456</v>
      </c>
      <c r="G508" s="213" t="s">
        <v>1456</v>
      </c>
      <c r="H508" s="213" t="s">
        <v>24</v>
      </c>
      <c r="I508" s="213" t="s">
        <v>24</v>
      </c>
      <c r="J508" s="127">
        <v>2</v>
      </c>
      <c r="K508" s="124" t="str">
        <f t="shared" si="33"/>
        <v>SUB DISTRIBUTOR</v>
      </c>
      <c r="L508" s="124" t="s">
        <v>37</v>
      </c>
      <c r="M508" s="127">
        <v>9</v>
      </c>
      <c r="N508" s="124" t="str">
        <f t="shared" si="30"/>
        <v>In Pcs</v>
      </c>
      <c r="O508" s="124" t="str">
        <f t="shared" si="31"/>
        <v>Pcs</v>
      </c>
      <c r="P508" s="127">
        <f t="shared" si="27"/>
        <v>4</v>
      </c>
      <c r="Q508" s="124" t="str">
        <f t="shared" si="28"/>
        <v>small</v>
      </c>
      <c r="R508" s="124">
        <v>240</v>
      </c>
      <c r="S508" s="128">
        <f>S507/20</f>
        <v>1755</v>
      </c>
      <c r="T508" s="129">
        <f t="shared" si="29"/>
        <v>1581.081081081081</v>
      </c>
      <c r="U508" s="219">
        <f t="shared" si="34"/>
        <v>1612.83</v>
      </c>
      <c r="V508" s="219">
        <v>1453</v>
      </c>
    </row>
    <row r="509" spans="1:22">
      <c r="A509" s="109"/>
      <c r="B509" s="109"/>
      <c r="C509" s="124">
        <v>180</v>
      </c>
      <c r="D509" s="124"/>
      <c r="E509" s="213" t="s">
        <v>1453</v>
      </c>
      <c r="F509" s="213" t="s">
        <v>1456</v>
      </c>
      <c r="G509" s="213" t="s">
        <v>1456</v>
      </c>
      <c r="H509" s="213" t="s">
        <v>24</v>
      </c>
      <c r="I509" s="213" t="s">
        <v>24</v>
      </c>
      <c r="J509" s="127">
        <v>2</v>
      </c>
      <c r="K509" s="124" t="str">
        <f t="shared" si="33"/>
        <v>SUB DISTRIBUTOR</v>
      </c>
      <c r="L509" s="124" t="s">
        <v>37</v>
      </c>
      <c r="M509" s="127">
        <v>1</v>
      </c>
      <c r="N509" s="124" t="str">
        <f t="shared" si="30"/>
        <v>In Carton</v>
      </c>
      <c r="O509" s="124" t="str">
        <f t="shared" si="31"/>
        <v>Carton</v>
      </c>
      <c r="P509" s="127">
        <f t="shared" si="27"/>
        <v>1</v>
      </c>
      <c r="Q509" s="124" t="str">
        <f t="shared" si="28"/>
        <v>large</v>
      </c>
      <c r="R509" s="124">
        <v>1</v>
      </c>
      <c r="S509" s="128">
        <f>35100*12</f>
        <v>421200</v>
      </c>
      <c r="T509" s="129">
        <f t="shared" si="29"/>
        <v>379459.45945945941</v>
      </c>
      <c r="U509" s="219">
        <f t="shared" si="34"/>
        <v>387239.04</v>
      </c>
      <c r="V509" s="219">
        <v>348864</v>
      </c>
    </row>
    <row r="510" spans="1:22">
      <c r="A510" s="109"/>
      <c r="B510" s="109"/>
      <c r="C510" s="124">
        <v>180</v>
      </c>
      <c r="D510" s="124"/>
      <c r="E510" s="213" t="s">
        <v>1453</v>
      </c>
      <c r="F510" s="213" t="s">
        <v>1456</v>
      </c>
      <c r="G510" s="213" t="s">
        <v>1456</v>
      </c>
      <c r="H510" s="213" t="s">
        <v>24</v>
      </c>
      <c r="I510" s="213" t="s">
        <v>24</v>
      </c>
      <c r="J510" s="127">
        <v>2</v>
      </c>
      <c r="K510" s="124" t="str">
        <f t="shared" si="33"/>
        <v>SUB DISTRIBUTOR</v>
      </c>
      <c r="L510" s="124" t="s">
        <v>37</v>
      </c>
      <c r="M510" s="127">
        <v>4</v>
      </c>
      <c r="N510" s="124" t="str">
        <f t="shared" si="30"/>
        <v>In Pack</v>
      </c>
      <c r="O510" s="124" t="str">
        <f t="shared" si="31"/>
        <v>Box</v>
      </c>
      <c r="P510" s="127">
        <f t="shared" si="27"/>
        <v>2</v>
      </c>
      <c r="Q510" s="124">
        <f t="shared" si="28"/>
        <v>0</v>
      </c>
      <c r="R510" s="124">
        <v>12</v>
      </c>
      <c r="S510" s="128">
        <f>S509/12</f>
        <v>35100</v>
      </c>
      <c r="T510" s="129">
        <f t="shared" si="29"/>
        <v>31621.62162162162</v>
      </c>
      <c r="U510" s="219">
        <f t="shared" si="34"/>
        <v>32269.919999999998</v>
      </c>
      <c r="V510" s="219">
        <v>29072</v>
      </c>
    </row>
    <row r="511" spans="1:22">
      <c r="A511" s="109"/>
      <c r="B511" s="109"/>
      <c r="C511" s="124">
        <v>180</v>
      </c>
      <c r="D511" s="124"/>
      <c r="E511" s="213" t="s">
        <v>1453</v>
      </c>
      <c r="F511" s="213" t="s">
        <v>1456</v>
      </c>
      <c r="G511" s="213" t="s">
        <v>1456</v>
      </c>
      <c r="H511" s="213" t="s">
        <v>24</v>
      </c>
      <c r="I511" s="213" t="s">
        <v>24</v>
      </c>
      <c r="J511" s="127">
        <v>2</v>
      </c>
      <c r="K511" s="124" t="str">
        <f t="shared" si="33"/>
        <v>SUB DISTRIBUTOR</v>
      </c>
      <c r="L511" s="124" t="s">
        <v>37</v>
      </c>
      <c r="M511" s="127">
        <v>9</v>
      </c>
      <c r="N511" s="124" t="str">
        <f t="shared" si="30"/>
        <v>In Pcs</v>
      </c>
      <c r="O511" s="124" t="str">
        <f t="shared" si="31"/>
        <v>Pcs</v>
      </c>
      <c r="P511" s="127">
        <f t="shared" si="27"/>
        <v>4</v>
      </c>
      <c r="Q511" s="124" t="str">
        <f t="shared" si="28"/>
        <v>small</v>
      </c>
      <c r="R511" s="124">
        <v>240</v>
      </c>
      <c r="S511" s="128">
        <f>S510/20</f>
        <v>1755</v>
      </c>
      <c r="T511" s="129">
        <f t="shared" si="29"/>
        <v>1581.081081081081</v>
      </c>
      <c r="U511" s="219">
        <f t="shared" si="34"/>
        <v>1612.83</v>
      </c>
      <c r="V511" s="219">
        <v>1453</v>
      </c>
    </row>
    <row r="512" spans="1:22">
      <c r="K512" s="92" t="str">
        <f t="shared" si="33"/>
        <v/>
      </c>
      <c r="L512" s="92" t="s">
        <v>37</v>
      </c>
      <c r="M512" s="93"/>
      <c r="N512" s="92" t="str">
        <f t="shared" si="30"/>
        <v/>
      </c>
      <c r="O512" s="92" t="str">
        <f t="shared" si="31"/>
        <v/>
      </c>
      <c r="P512" s="93" t="str">
        <f t="shared" ref="P512:P546" si="36">IFERROR(VLOOKUP($M512,$M$3:$Q$14,4,0),"")</f>
        <v/>
      </c>
      <c r="Q512" s="92" t="str">
        <f t="shared" ref="Q512:Q546" si="37">IFERROR(VLOOKUP($M512,$M$3:$Q$14,5,0),"")</f>
        <v/>
      </c>
      <c r="T512" s="94">
        <f t="shared" ref="T512:T546" si="38">S512/1.11</f>
        <v>0</v>
      </c>
    </row>
    <row r="513" spans="11:20">
      <c r="K513" s="92" t="str">
        <f t="shared" si="33"/>
        <v/>
      </c>
      <c r="L513" s="92" t="s">
        <v>37</v>
      </c>
      <c r="M513" s="93"/>
      <c r="N513" s="92" t="str">
        <f t="shared" si="30"/>
        <v/>
      </c>
      <c r="O513" s="92" t="str">
        <f t="shared" si="31"/>
        <v/>
      </c>
      <c r="P513" s="93" t="str">
        <f t="shared" si="36"/>
        <v/>
      </c>
      <c r="Q513" s="92" t="str">
        <f t="shared" si="37"/>
        <v/>
      </c>
      <c r="T513" s="94">
        <f t="shared" si="38"/>
        <v>0</v>
      </c>
    </row>
    <row r="514" spans="11:20">
      <c r="K514" s="92" t="str">
        <f t="shared" si="33"/>
        <v/>
      </c>
      <c r="L514" s="92" t="s">
        <v>37</v>
      </c>
      <c r="M514" s="93"/>
      <c r="N514" s="92" t="str">
        <f t="shared" si="30"/>
        <v/>
      </c>
      <c r="O514" s="92" t="str">
        <f t="shared" si="31"/>
        <v/>
      </c>
      <c r="P514" s="93" t="str">
        <f t="shared" si="36"/>
        <v/>
      </c>
      <c r="Q514" s="92" t="str">
        <f t="shared" si="37"/>
        <v/>
      </c>
      <c r="T514" s="94">
        <f t="shared" si="38"/>
        <v>0</v>
      </c>
    </row>
    <row r="515" spans="11:20">
      <c r="K515" s="92" t="str">
        <f t="shared" si="33"/>
        <v/>
      </c>
      <c r="L515" s="92" t="s">
        <v>37</v>
      </c>
      <c r="M515" s="93"/>
      <c r="N515" s="92" t="str">
        <f t="shared" si="30"/>
        <v/>
      </c>
      <c r="O515" s="92" t="str">
        <f t="shared" si="31"/>
        <v/>
      </c>
      <c r="P515" s="93" t="str">
        <f t="shared" si="36"/>
        <v/>
      </c>
      <c r="Q515" s="92" t="str">
        <f t="shared" si="37"/>
        <v/>
      </c>
      <c r="T515" s="94">
        <f t="shared" si="38"/>
        <v>0</v>
      </c>
    </row>
    <row r="516" spans="11:20">
      <c r="K516" s="92" t="str">
        <f t="shared" si="33"/>
        <v/>
      </c>
      <c r="L516" s="92" t="s">
        <v>37</v>
      </c>
      <c r="M516" s="93"/>
      <c r="N516" s="92" t="str">
        <f t="shared" si="30"/>
        <v/>
      </c>
      <c r="O516" s="92" t="str">
        <f t="shared" si="31"/>
        <v/>
      </c>
      <c r="P516" s="93" t="str">
        <f t="shared" si="36"/>
        <v/>
      </c>
      <c r="Q516" s="92" t="str">
        <f t="shared" si="37"/>
        <v/>
      </c>
      <c r="T516" s="94">
        <f t="shared" si="38"/>
        <v>0</v>
      </c>
    </row>
    <row r="517" spans="11:20">
      <c r="K517" s="92" t="str">
        <f t="shared" si="33"/>
        <v/>
      </c>
      <c r="L517" s="92" t="s">
        <v>37</v>
      </c>
      <c r="M517" s="93"/>
      <c r="N517" s="92" t="str">
        <f t="shared" si="30"/>
        <v/>
      </c>
      <c r="O517" s="92" t="str">
        <f t="shared" si="31"/>
        <v/>
      </c>
      <c r="P517" s="93" t="str">
        <f t="shared" si="36"/>
        <v/>
      </c>
      <c r="Q517" s="92" t="str">
        <f t="shared" si="37"/>
        <v/>
      </c>
      <c r="T517" s="94">
        <f t="shared" si="38"/>
        <v>0</v>
      </c>
    </row>
    <row r="518" spans="11:20">
      <c r="K518" s="92" t="str">
        <f t="shared" si="33"/>
        <v/>
      </c>
      <c r="L518" s="92" t="s">
        <v>37</v>
      </c>
      <c r="M518" s="93"/>
      <c r="N518" s="92" t="str">
        <f t="shared" si="30"/>
        <v/>
      </c>
      <c r="O518" s="92" t="str">
        <f t="shared" si="31"/>
        <v/>
      </c>
      <c r="P518" s="93" t="str">
        <f t="shared" si="36"/>
        <v/>
      </c>
      <c r="Q518" s="92" t="str">
        <f t="shared" si="37"/>
        <v/>
      </c>
      <c r="T518" s="94">
        <f t="shared" si="38"/>
        <v>0</v>
      </c>
    </row>
    <row r="519" spans="11:20">
      <c r="K519" s="92" t="str">
        <f t="shared" si="33"/>
        <v/>
      </c>
      <c r="L519" s="92" t="s">
        <v>37</v>
      </c>
      <c r="M519" s="93"/>
      <c r="N519" s="92" t="str">
        <f t="shared" si="30"/>
        <v/>
      </c>
      <c r="O519" s="92" t="str">
        <f t="shared" si="31"/>
        <v/>
      </c>
      <c r="P519" s="93" t="str">
        <f t="shared" si="36"/>
        <v/>
      </c>
      <c r="Q519" s="92" t="str">
        <f t="shared" si="37"/>
        <v/>
      </c>
      <c r="T519" s="94">
        <f t="shared" si="38"/>
        <v>0</v>
      </c>
    </row>
    <row r="520" spans="11:20">
      <c r="K520" s="92" t="str">
        <f t="shared" si="33"/>
        <v/>
      </c>
      <c r="L520" s="92" t="s">
        <v>37</v>
      </c>
      <c r="M520" s="93"/>
      <c r="N520" s="92" t="str">
        <f t="shared" si="30"/>
        <v/>
      </c>
      <c r="O520" s="92" t="str">
        <f t="shared" si="31"/>
        <v/>
      </c>
      <c r="P520" s="93" t="str">
        <f t="shared" si="36"/>
        <v/>
      </c>
      <c r="Q520" s="92" t="str">
        <f t="shared" si="37"/>
        <v/>
      </c>
      <c r="T520" s="94">
        <f t="shared" si="38"/>
        <v>0</v>
      </c>
    </row>
    <row r="521" spans="11:20">
      <c r="K521" s="92" t="str">
        <f t="shared" si="33"/>
        <v/>
      </c>
      <c r="L521" s="92" t="s">
        <v>37</v>
      </c>
      <c r="M521" s="93"/>
      <c r="N521" s="92" t="str">
        <f t="shared" ref="N521:N546" si="39">IFERROR(VLOOKUP($M521,$M$3:$Q$14,2,0),"")</f>
        <v/>
      </c>
      <c r="O521" s="92" t="str">
        <f t="shared" si="31"/>
        <v/>
      </c>
      <c r="P521" s="93" t="str">
        <f t="shared" si="36"/>
        <v/>
      </c>
      <c r="Q521" s="92" t="str">
        <f t="shared" si="37"/>
        <v/>
      </c>
      <c r="T521" s="94">
        <f t="shared" si="38"/>
        <v>0</v>
      </c>
    </row>
    <row r="522" spans="11:20">
      <c r="K522" s="92" t="str">
        <f t="shared" si="33"/>
        <v/>
      </c>
      <c r="L522" s="92" t="s">
        <v>37</v>
      </c>
      <c r="M522" s="93"/>
      <c r="N522" s="92" t="str">
        <f t="shared" si="39"/>
        <v/>
      </c>
      <c r="O522" s="92" t="str">
        <f t="shared" si="31"/>
        <v/>
      </c>
      <c r="P522" s="93" t="str">
        <f t="shared" si="36"/>
        <v/>
      </c>
      <c r="Q522" s="92" t="str">
        <f t="shared" si="37"/>
        <v/>
      </c>
      <c r="T522" s="94">
        <f t="shared" si="38"/>
        <v>0</v>
      </c>
    </row>
    <row r="523" spans="11:20">
      <c r="K523" s="92" t="str">
        <f t="shared" si="33"/>
        <v/>
      </c>
      <c r="L523" s="92" t="s">
        <v>37</v>
      </c>
      <c r="M523" s="93"/>
      <c r="N523" s="92" t="str">
        <f t="shared" si="39"/>
        <v/>
      </c>
      <c r="O523" s="92" t="str">
        <f t="shared" si="31"/>
        <v/>
      </c>
      <c r="P523" s="93" t="str">
        <f t="shared" si="36"/>
        <v/>
      </c>
      <c r="Q523" s="92" t="str">
        <f t="shared" si="37"/>
        <v/>
      </c>
      <c r="T523" s="94">
        <f t="shared" si="38"/>
        <v>0</v>
      </c>
    </row>
    <row r="524" spans="11:20">
      <c r="K524" s="92" t="str">
        <f t="shared" si="33"/>
        <v/>
      </c>
      <c r="L524" s="92" t="s">
        <v>37</v>
      </c>
      <c r="M524" s="93"/>
      <c r="N524" s="92" t="str">
        <f t="shared" si="39"/>
        <v/>
      </c>
      <c r="O524" s="92" t="str">
        <f t="shared" si="31"/>
        <v/>
      </c>
      <c r="P524" s="93" t="str">
        <f t="shared" si="36"/>
        <v/>
      </c>
      <c r="Q524" s="92" t="str">
        <f t="shared" si="37"/>
        <v/>
      </c>
      <c r="T524" s="94">
        <f t="shared" si="38"/>
        <v>0</v>
      </c>
    </row>
    <row r="525" spans="11:20">
      <c r="K525" s="92" t="str">
        <f t="shared" si="33"/>
        <v/>
      </c>
      <c r="L525" s="92" t="s">
        <v>37</v>
      </c>
      <c r="M525" s="93"/>
      <c r="N525" s="92" t="str">
        <f t="shared" si="39"/>
        <v/>
      </c>
      <c r="O525" s="92" t="str">
        <f t="shared" si="31"/>
        <v/>
      </c>
      <c r="P525" s="93" t="str">
        <f t="shared" si="36"/>
        <v/>
      </c>
      <c r="Q525" s="92" t="str">
        <f t="shared" si="37"/>
        <v/>
      </c>
      <c r="T525" s="94">
        <f t="shared" si="38"/>
        <v>0</v>
      </c>
    </row>
    <row r="526" spans="11:20">
      <c r="K526" s="92" t="str">
        <f t="shared" si="33"/>
        <v/>
      </c>
      <c r="L526" s="92" t="s">
        <v>37</v>
      </c>
      <c r="M526" s="93"/>
      <c r="N526" s="92" t="str">
        <f t="shared" si="39"/>
        <v/>
      </c>
      <c r="O526" s="92" t="str">
        <f t="shared" si="31"/>
        <v/>
      </c>
      <c r="P526" s="93" t="str">
        <f t="shared" si="36"/>
        <v/>
      </c>
      <c r="Q526" s="92" t="str">
        <f t="shared" si="37"/>
        <v/>
      </c>
      <c r="T526" s="94">
        <f t="shared" si="38"/>
        <v>0</v>
      </c>
    </row>
    <row r="527" spans="11:20">
      <c r="K527" s="92" t="str">
        <f t="shared" si="33"/>
        <v/>
      </c>
      <c r="L527" s="92" t="s">
        <v>37</v>
      </c>
      <c r="M527" s="93"/>
      <c r="N527" s="92" t="str">
        <f t="shared" si="39"/>
        <v/>
      </c>
      <c r="O527" s="92" t="str">
        <f t="shared" si="31"/>
        <v/>
      </c>
      <c r="P527" s="93" t="str">
        <f t="shared" si="36"/>
        <v/>
      </c>
      <c r="Q527" s="92" t="str">
        <f t="shared" si="37"/>
        <v/>
      </c>
      <c r="T527" s="94">
        <f t="shared" si="38"/>
        <v>0</v>
      </c>
    </row>
    <row r="528" spans="11:20">
      <c r="K528" s="92" t="str">
        <f t="shared" si="33"/>
        <v/>
      </c>
      <c r="L528" s="92" t="s">
        <v>37</v>
      </c>
      <c r="M528" s="93"/>
      <c r="N528" s="92" t="str">
        <f t="shared" si="39"/>
        <v/>
      </c>
      <c r="O528" s="92" t="str">
        <f t="shared" si="31"/>
        <v/>
      </c>
      <c r="P528" s="93" t="str">
        <f t="shared" si="36"/>
        <v/>
      </c>
      <c r="Q528" s="92" t="str">
        <f t="shared" si="37"/>
        <v/>
      </c>
      <c r="T528" s="94">
        <f t="shared" si="38"/>
        <v>0</v>
      </c>
    </row>
    <row r="529" spans="11:20">
      <c r="K529" s="92" t="str">
        <f t="shared" si="33"/>
        <v/>
      </c>
      <c r="L529" s="92" t="s">
        <v>37</v>
      </c>
      <c r="M529" s="93"/>
      <c r="N529" s="92" t="str">
        <f t="shared" si="39"/>
        <v/>
      </c>
      <c r="O529" s="92" t="str">
        <f t="shared" si="31"/>
        <v/>
      </c>
      <c r="P529" s="93" t="str">
        <f t="shared" si="36"/>
        <v/>
      </c>
      <c r="Q529" s="92" t="str">
        <f t="shared" si="37"/>
        <v/>
      </c>
      <c r="T529" s="94">
        <f t="shared" si="38"/>
        <v>0</v>
      </c>
    </row>
    <row r="530" spans="11:20">
      <c r="K530" s="92" t="str">
        <f t="shared" si="33"/>
        <v/>
      </c>
      <c r="L530" s="92" t="s">
        <v>37</v>
      </c>
      <c r="M530" s="93"/>
      <c r="N530" s="92" t="str">
        <f t="shared" si="39"/>
        <v/>
      </c>
      <c r="O530" s="92" t="str">
        <f t="shared" si="31"/>
        <v/>
      </c>
      <c r="P530" s="93" t="str">
        <f t="shared" si="36"/>
        <v/>
      </c>
      <c r="Q530" s="92" t="str">
        <f t="shared" si="37"/>
        <v/>
      </c>
      <c r="T530" s="94">
        <f t="shared" si="38"/>
        <v>0</v>
      </c>
    </row>
    <row r="531" spans="11:20">
      <c r="K531" s="92" t="str">
        <f t="shared" si="33"/>
        <v/>
      </c>
      <c r="L531" s="92" t="s">
        <v>37</v>
      </c>
      <c r="M531" s="93"/>
      <c r="N531" s="92" t="str">
        <f t="shared" si="39"/>
        <v/>
      </c>
      <c r="O531" s="92" t="str">
        <f t="shared" si="31"/>
        <v/>
      </c>
      <c r="P531" s="93" t="str">
        <f t="shared" si="36"/>
        <v/>
      </c>
      <c r="Q531" s="92" t="str">
        <f t="shared" si="37"/>
        <v/>
      </c>
      <c r="T531" s="94">
        <f t="shared" si="38"/>
        <v>0</v>
      </c>
    </row>
    <row r="532" spans="11:20">
      <c r="K532" s="92" t="str">
        <f t="shared" si="33"/>
        <v/>
      </c>
      <c r="L532" s="92" t="s">
        <v>37</v>
      </c>
      <c r="M532" s="93"/>
      <c r="N532" s="92" t="str">
        <f t="shared" si="39"/>
        <v/>
      </c>
      <c r="O532" s="92" t="str">
        <f t="shared" si="31"/>
        <v/>
      </c>
      <c r="P532" s="93" t="str">
        <f t="shared" si="36"/>
        <v/>
      </c>
      <c r="Q532" s="92" t="str">
        <f t="shared" si="37"/>
        <v/>
      </c>
      <c r="T532" s="94">
        <f t="shared" si="38"/>
        <v>0</v>
      </c>
    </row>
    <row r="533" spans="11:20">
      <c r="K533" s="92" t="str">
        <f t="shared" si="33"/>
        <v/>
      </c>
      <c r="L533" s="92" t="s">
        <v>37</v>
      </c>
      <c r="M533" s="93"/>
      <c r="N533" s="92" t="str">
        <f t="shared" si="39"/>
        <v/>
      </c>
      <c r="O533" s="92" t="str">
        <f t="shared" si="31"/>
        <v/>
      </c>
      <c r="P533" s="93" t="str">
        <f t="shared" si="36"/>
        <v/>
      </c>
      <c r="Q533" s="92" t="str">
        <f t="shared" si="37"/>
        <v/>
      </c>
      <c r="T533" s="94">
        <f t="shared" si="38"/>
        <v>0</v>
      </c>
    </row>
    <row r="534" spans="11:20">
      <c r="K534" s="92" t="str">
        <f t="shared" si="33"/>
        <v/>
      </c>
      <c r="L534" s="92" t="s">
        <v>37</v>
      </c>
      <c r="M534" s="93"/>
      <c r="N534" s="92" t="str">
        <f t="shared" si="39"/>
        <v/>
      </c>
      <c r="O534" s="92" t="str">
        <f t="shared" si="31"/>
        <v/>
      </c>
      <c r="P534" s="93" t="str">
        <f t="shared" si="36"/>
        <v/>
      </c>
      <c r="Q534" s="92" t="str">
        <f t="shared" si="37"/>
        <v/>
      </c>
      <c r="T534" s="94">
        <f t="shared" si="38"/>
        <v>0</v>
      </c>
    </row>
    <row r="535" spans="11:20">
      <c r="K535" s="92" t="str">
        <f t="shared" si="33"/>
        <v/>
      </c>
      <c r="L535" s="92" t="s">
        <v>37</v>
      </c>
      <c r="M535" s="93"/>
      <c r="N535" s="92" t="str">
        <f t="shared" si="39"/>
        <v/>
      </c>
      <c r="O535" s="92" t="str">
        <f t="shared" si="31"/>
        <v/>
      </c>
      <c r="P535" s="93" t="str">
        <f t="shared" si="36"/>
        <v/>
      </c>
      <c r="Q535" s="92" t="str">
        <f t="shared" si="37"/>
        <v/>
      </c>
      <c r="T535" s="94">
        <f t="shared" si="38"/>
        <v>0</v>
      </c>
    </row>
    <row r="536" spans="11:20">
      <c r="K536" s="92" t="str">
        <f t="shared" si="33"/>
        <v/>
      </c>
      <c r="L536" s="92" t="s">
        <v>37</v>
      </c>
      <c r="M536" s="93"/>
      <c r="N536" s="92" t="str">
        <f t="shared" si="39"/>
        <v/>
      </c>
      <c r="O536" s="92" t="str">
        <f t="shared" si="31"/>
        <v/>
      </c>
      <c r="P536" s="93" t="str">
        <f t="shared" si="36"/>
        <v/>
      </c>
      <c r="Q536" s="92" t="str">
        <f t="shared" si="37"/>
        <v/>
      </c>
      <c r="T536" s="94">
        <f t="shared" si="38"/>
        <v>0</v>
      </c>
    </row>
    <row r="537" spans="11:20">
      <c r="K537" s="92" t="str">
        <f t="shared" si="33"/>
        <v/>
      </c>
      <c r="L537" s="92" t="s">
        <v>37</v>
      </c>
      <c r="M537" s="93"/>
      <c r="N537" s="92" t="str">
        <f t="shared" si="39"/>
        <v/>
      </c>
      <c r="O537" s="92" t="str">
        <f t="shared" si="31"/>
        <v/>
      </c>
      <c r="P537" s="93" t="str">
        <f t="shared" si="36"/>
        <v/>
      </c>
      <c r="Q537" s="92" t="str">
        <f t="shared" si="37"/>
        <v/>
      </c>
      <c r="T537" s="94">
        <f t="shared" si="38"/>
        <v>0</v>
      </c>
    </row>
    <row r="538" spans="11:20">
      <c r="K538" s="92" t="str">
        <f t="shared" si="33"/>
        <v/>
      </c>
      <c r="L538" s="92" t="s">
        <v>37</v>
      </c>
      <c r="M538" s="93"/>
      <c r="N538" s="92" t="str">
        <f t="shared" si="39"/>
        <v/>
      </c>
      <c r="O538" s="92" t="str">
        <f t="shared" si="31"/>
        <v/>
      </c>
      <c r="P538" s="93" t="str">
        <f t="shared" si="36"/>
        <v/>
      </c>
      <c r="Q538" s="92" t="str">
        <f t="shared" si="37"/>
        <v/>
      </c>
      <c r="T538" s="94">
        <f t="shared" si="38"/>
        <v>0</v>
      </c>
    </row>
    <row r="539" spans="11:20">
      <c r="K539" s="92" t="str">
        <f t="shared" si="33"/>
        <v/>
      </c>
      <c r="L539" s="92" t="s">
        <v>37</v>
      </c>
      <c r="M539" s="93"/>
      <c r="N539" s="92" t="str">
        <f t="shared" si="39"/>
        <v/>
      </c>
      <c r="O539" s="92" t="str">
        <f t="shared" si="31"/>
        <v/>
      </c>
      <c r="P539" s="93" t="str">
        <f t="shared" si="36"/>
        <v/>
      </c>
      <c r="Q539" s="92" t="str">
        <f t="shared" si="37"/>
        <v/>
      </c>
      <c r="T539" s="94">
        <f t="shared" si="38"/>
        <v>0</v>
      </c>
    </row>
    <row r="540" spans="11:20">
      <c r="K540" s="92" t="str">
        <f t="shared" si="33"/>
        <v/>
      </c>
      <c r="L540" s="92" t="s">
        <v>37</v>
      </c>
      <c r="M540" s="93"/>
      <c r="N540" s="92" t="str">
        <f t="shared" si="39"/>
        <v/>
      </c>
      <c r="O540" s="92" t="str">
        <f t="shared" si="31"/>
        <v/>
      </c>
      <c r="P540" s="93" t="str">
        <f t="shared" si="36"/>
        <v/>
      </c>
      <c r="Q540" s="92" t="str">
        <f t="shared" si="37"/>
        <v/>
      </c>
      <c r="T540" s="94">
        <f t="shared" si="38"/>
        <v>0</v>
      </c>
    </row>
    <row r="541" spans="11:20">
      <c r="K541" s="92" t="str">
        <f t="shared" si="33"/>
        <v/>
      </c>
      <c r="L541" s="92" t="s">
        <v>37</v>
      </c>
      <c r="M541" s="93"/>
      <c r="N541" s="92" t="str">
        <f t="shared" si="39"/>
        <v/>
      </c>
      <c r="O541" s="92" t="str">
        <f t="shared" ref="O541:O546" si="40">IFERROR(VLOOKUP($M541,$M$3:$Q$14,3,0),"")</f>
        <v/>
      </c>
      <c r="P541" s="93" t="str">
        <f t="shared" si="36"/>
        <v/>
      </c>
      <c r="Q541" s="92" t="str">
        <f t="shared" si="37"/>
        <v/>
      </c>
      <c r="T541" s="94">
        <f t="shared" si="38"/>
        <v>0</v>
      </c>
    </row>
    <row r="542" spans="11:20">
      <c r="K542" s="92" t="str">
        <f t="shared" si="33"/>
        <v/>
      </c>
      <c r="L542" s="92" t="s">
        <v>37</v>
      </c>
      <c r="M542" s="93"/>
      <c r="N542" s="92" t="str">
        <f t="shared" si="39"/>
        <v/>
      </c>
      <c r="O542" s="92" t="str">
        <f t="shared" si="40"/>
        <v/>
      </c>
      <c r="P542" s="93" t="str">
        <f t="shared" si="36"/>
        <v/>
      </c>
      <c r="Q542" s="92" t="str">
        <f t="shared" si="37"/>
        <v/>
      </c>
      <c r="T542" s="94">
        <f t="shared" si="38"/>
        <v>0</v>
      </c>
    </row>
    <row r="543" spans="11:20">
      <c r="K543" s="92" t="str">
        <f t="shared" si="33"/>
        <v/>
      </c>
      <c r="L543" s="92" t="s">
        <v>37</v>
      </c>
      <c r="M543" s="93"/>
      <c r="N543" s="92" t="str">
        <f t="shared" si="39"/>
        <v/>
      </c>
      <c r="O543" s="92" t="str">
        <f t="shared" si="40"/>
        <v/>
      </c>
      <c r="P543" s="93" t="str">
        <f t="shared" si="36"/>
        <v/>
      </c>
      <c r="Q543" s="92" t="str">
        <f t="shared" si="37"/>
        <v/>
      </c>
      <c r="T543" s="94">
        <f t="shared" si="38"/>
        <v>0</v>
      </c>
    </row>
    <row r="544" spans="11:20">
      <c r="K544" s="92" t="str">
        <f t="shared" si="33"/>
        <v/>
      </c>
      <c r="L544" s="92" t="s">
        <v>37</v>
      </c>
      <c r="M544" s="93"/>
      <c r="N544" s="92" t="str">
        <f t="shared" si="39"/>
        <v/>
      </c>
      <c r="O544" s="92" t="str">
        <f t="shared" si="40"/>
        <v/>
      </c>
      <c r="P544" s="93" t="str">
        <f t="shared" si="36"/>
        <v/>
      </c>
      <c r="Q544" s="92" t="str">
        <f t="shared" si="37"/>
        <v/>
      </c>
      <c r="T544" s="94">
        <f t="shared" si="38"/>
        <v>0</v>
      </c>
    </row>
    <row r="545" spans="11:20">
      <c r="K545" s="92" t="str">
        <f t="shared" si="33"/>
        <v/>
      </c>
      <c r="L545" s="92" t="s">
        <v>37</v>
      </c>
      <c r="M545" s="93"/>
      <c r="N545" s="92" t="str">
        <f t="shared" si="39"/>
        <v/>
      </c>
      <c r="O545" s="92" t="str">
        <f t="shared" si="40"/>
        <v/>
      </c>
      <c r="P545" s="93" t="str">
        <f t="shared" si="36"/>
        <v/>
      </c>
      <c r="Q545" s="92" t="str">
        <f t="shared" si="37"/>
        <v/>
      </c>
      <c r="T545" s="94">
        <f t="shared" si="38"/>
        <v>0</v>
      </c>
    </row>
    <row r="546" spans="11:20">
      <c r="K546" s="92" t="str">
        <f t="shared" si="33"/>
        <v/>
      </c>
      <c r="L546" s="92" t="s">
        <v>37</v>
      </c>
      <c r="M546" s="93"/>
      <c r="N546" s="92" t="str">
        <f t="shared" si="39"/>
        <v/>
      </c>
      <c r="O546" s="92" t="str">
        <f t="shared" si="40"/>
        <v/>
      </c>
      <c r="P546" s="93" t="str">
        <f t="shared" si="36"/>
        <v/>
      </c>
      <c r="Q546" s="92" t="str">
        <f t="shared" si="37"/>
        <v/>
      </c>
      <c r="T546" s="94">
        <f t="shared" si="38"/>
        <v>0</v>
      </c>
    </row>
  </sheetData>
  <mergeCells count="3">
    <mergeCell ref="AB17:AC17"/>
    <mergeCell ref="AD17:AH17"/>
    <mergeCell ref="AJ17:AK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30"/>
  <sheetViews>
    <sheetView topLeftCell="A97" zoomScale="70" zoomScaleNormal="70" workbookViewId="0">
      <selection activeCell="E126" sqref="E126:J126"/>
    </sheetView>
  </sheetViews>
  <sheetFormatPr defaultRowHeight="15"/>
  <cols>
    <col min="1" max="1" width="5.28515625" customWidth="1"/>
    <col min="2" max="2" width="22.85546875" customWidth="1"/>
    <col min="3" max="3" width="32.85546875" bestFit="1" customWidth="1"/>
    <col min="4" max="4" width="27.85546875" customWidth="1"/>
    <col min="5" max="5" width="47.7109375" bestFit="1" customWidth="1"/>
    <col min="6" max="6" width="18.140625" bestFit="1" customWidth="1"/>
    <col min="7" max="7" width="24.85546875" bestFit="1" customWidth="1"/>
    <col min="8" max="8" width="30.85546875" bestFit="1" customWidth="1"/>
    <col min="9" max="9" width="37.5703125" bestFit="1" customWidth="1"/>
    <col min="10" max="10" width="29.42578125" bestFit="1" customWidth="1"/>
    <col min="11" max="11" width="29.42578125" customWidth="1"/>
    <col min="12" max="17" width="20.28515625" hidden="1" customWidth="1"/>
    <col min="18" max="20" width="24.140625" hidden="1" customWidth="1"/>
    <col min="21" max="21" width="20.28515625" hidden="1" customWidth="1"/>
    <col min="22" max="22" width="17.140625" customWidth="1"/>
    <col min="23" max="23" width="24.140625" bestFit="1" customWidth="1"/>
    <col min="24" max="24" width="26.5703125" customWidth="1"/>
    <col min="25" max="25" width="20.42578125" customWidth="1"/>
    <col min="26" max="26" width="17.140625" customWidth="1"/>
    <col min="27" max="27" width="14.42578125" customWidth="1"/>
    <col min="28" max="28" width="26.5703125" customWidth="1"/>
    <col min="29" max="29" width="20.42578125" customWidth="1"/>
    <col min="30" max="30" width="9.85546875" bestFit="1" customWidth="1"/>
  </cols>
  <sheetData>
    <row r="1" spans="1:30">
      <c r="J1" s="4" t="s">
        <v>18</v>
      </c>
      <c r="K1" s="4" t="s">
        <v>35</v>
      </c>
    </row>
    <row r="2" spans="1:30">
      <c r="J2" s="4" t="s">
        <v>19</v>
      </c>
      <c r="K2" s="4" t="s">
        <v>36</v>
      </c>
    </row>
    <row r="3" spans="1:30">
      <c r="J3" s="4" t="s">
        <v>25</v>
      </c>
      <c r="K3" s="4" t="s">
        <v>37</v>
      </c>
    </row>
    <row r="4" spans="1:30">
      <c r="J4" s="4" t="s">
        <v>20</v>
      </c>
      <c r="K4" s="4" t="s">
        <v>38</v>
      </c>
    </row>
    <row r="5" spans="1:30">
      <c r="J5" s="4"/>
      <c r="K5" s="4" t="s">
        <v>39</v>
      </c>
    </row>
    <row r="6" spans="1:30" ht="15.75">
      <c r="J6" s="4"/>
      <c r="K6" s="4" t="s">
        <v>40</v>
      </c>
      <c r="L6" s="2" t="s">
        <v>9</v>
      </c>
    </row>
    <row r="7" spans="1:30" ht="15.75">
      <c r="A7" s="38"/>
      <c r="B7" s="40"/>
      <c r="C7" s="36"/>
      <c r="D7" s="39"/>
      <c r="E7" s="39"/>
      <c r="F7" s="39"/>
      <c r="G7" s="39"/>
      <c r="H7" s="39"/>
      <c r="I7" s="39"/>
      <c r="J7" s="39"/>
      <c r="K7" s="39"/>
      <c r="L7" s="97" t="s">
        <v>1374</v>
      </c>
      <c r="M7" s="99"/>
      <c r="N7" s="97" t="s">
        <v>1375</v>
      </c>
      <c r="O7" s="98"/>
      <c r="P7" s="98"/>
      <c r="Q7" s="98"/>
      <c r="R7" s="99"/>
      <c r="S7" s="2" t="s">
        <v>1378</v>
      </c>
      <c r="T7" s="97" t="s">
        <v>1377</v>
      </c>
      <c r="U7" s="99"/>
      <c r="V7" s="3" t="s">
        <v>13</v>
      </c>
      <c r="W7" s="3"/>
      <c r="X7" s="3"/>
      <c r="Y7" s="3"/>
      <c r="Z7" s="3" t="s">
        <v>12</v>
      </c>
      <c r="AA7" s="3"/>
      <c r="AB7" s="3"/>
      <c r="AC7" s="3"/>
      <c r="AD7" s="1"/>
    </row>
    <row r="8" spans="1:30" s="48" customFormat="1" ht="31.5">
      <c r="A8" s="41" t="s">
        <v>6</v>
      </c>
      <c r="B8" s="42" t="s">
        <v>7</v>
      </c>
      <c r="C8" s="43" t="s">
        <v>1363</v>
      </c>
      <c r="D8" s="44" t="s">
        <v>8</v>
      </c>
      <c r="E8" s="44" t="s">
        <v>0</v>
      </c>
      <c r="F8" s="44" t="s">
        <v>44</v>
      </c>
      <c r="G8" s="44" t="s">
        <v>1364</v>
      </c>
      <c r="H8" s="44" t="s">
        <v>1</v>
      </c>
      <c r="I8" s="44" t="s">
        <v>16</v>
      </c>
      <c r="J8" s="44" t="s">
        <v>17</v>
      </c>
      <c r="K8" s="44" t="s">
        <v>43</v>
      </c>
      <c r="L8" s="45" t="s">
        <v>1380</v>
      </c>
      <c r="M8" s="45" t="s">
        <v>1381</v>
      </c>
      <c r="N8" s="45" t="s">
        <v>1379</v>
      </c>
      <c r="O8" s="45" t="s">
        <v>1382</v>
      </c>
      <c r="P8" s="45" t="s">
        <v>1383</v>
      </c>
      <c r="Q8" s="45" t="s">
        <v>1385</v>
      </c>
      <c r="R8" s="45" t="s">
        <v>1386</v>
      </c>
      <c r="S8" s="45" t="s">
        <v>1387</v>
      </c>
      <c r="T8" s="45" t="s">
        <v>1388</v>
      </c>
      <c r="U8" s="45" t="s">
        <v>1389</v>
      </c>
      <c r="V8" s="46" t="s">
        <v>4</v>
      </c>
      <c r="W8" s="46" t="s">
        <v>5</v>
      </c>
      <c r="X8" s="46" t="s">
        <v>2</v>
      </c>
      <c r="Y8" s="46" t="s">
        <v>3</v>
      </c>
      <c r="Z8" s="46" t="s">
        <v>4</v>
      </c>
      <c r="AA8" s="46" t="s">
        <v>5</v>
      </c>
      <c r="AB8" s="46" t="s">
        <v>2</v>
      </c>
      <c r="AC8" s="46" t="s">
        <v>3</v>
      </c>
      <c r="AD8" s="47"/>
    </row>
    <row r="9" spans="1:30" s="11" customFormat="1">
      <c r="A9" s="10">
        <v>1</v>
      </c>
      <c r="B9" s="10"/>
      <c r="C9" s="10">
        <v>1</v>
      </c>
      <c r="D9" s="10">
        <v>859288</v>
      </c>
      <c r="E9" s="10" t="s">
        <v>47</v>
      </c>
      <c r="F9" s="10" t="s">
        <v>30</v>
      </c>
      <c r="G9" s="10" t="s">
        <v>28</v>
      </c>
      <c r="H9" s="10" t="s">
        <v>34</v>
      </c>
      <c r="I9" s="10" t="s">
        <v>33</v>
      </c>
      <c r="J9" s="10" t="s">
        <v>20</v>
      </c>
      <c r="K9" s="10" t="s">
        <v>37</v>
      </c>
      <c r="L9" s="10">
        <v>1</v>
      </c>
      <c r="M9" s="10"/>
      <c r="N9" s="10"/>
      <c r="O9" s="10"/>
      <c r="P9" s="10"/>
      <c r="Q9" s="10">
        <v>6</v>
      </c>
      <c r="R9" s="10"/>
      <c r="S9" s="10"/>
      <c r="T9" s="10"/>
      <c r="U9" s="10">
        <v>48</v>
      </c>
      <c r="V9" s="10"/>
      <c r="W9" s="10"/>
      <c r="X9" s="10"/>
      <c r="Y9" s="10"/>
      <c r="Z9" s="10"/>
      <c r="AA9" s="10"/>
      <c r="AB9" s="10"/>
      <c r="AC9" s="10"/>
      <c r="AD9" s="10"/>
    </row>
    <row r="10" spans="1:30" s="11" customFormat="1">
      <c r="A10" s="10">
        <v>2</v>
      </c>
      <c r="B10" s="10"/>
      <c r="C10" s="10">
        <f>C9+1</f>
        <v>2</v>
      </c>
      <c r="D10" s="10"/>
      <c r="E10" s="10" t="s">
        <v>48</v>
      </c>
      <c r="F10" s="10" t="s">
        <v>30</v>
      </c>
      <c r="G10" s="10" t="s">
        <v>28</v>
      </c>
      <c r="H10" s="10" t="s">
        <v>34</v>
      </c>
      <c r="I10" s="10" t="s">
        <v>33</v>
      </c>
      <c r="J10" s="10" t="s">
        <v>20</v>
      </c>
      <c r="K10" s="10" t="s">
        <v>37</v>
      </c>
      <c r="L10" s="10">
        <v>1</v>
      </c>
      <c r="M10" s="10"/>
      <c r="N10" s="10"/>
      <c r="O10" s="10"/>
      <c r="P10" s="10"/>
      <c r="Q10" s="10"/>
      <c r="R10" s="10"/>
      <c r="S10" s="10"/>
      <c r="T10" s="10"/>
      <c r="U10" s="10">
        <v>24</v>
      </c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s="11" customFormat="1">
      <c r="A11" s="10">
        <v>3</v>
      </c>
      <c r="B11" s="10"/>
      <c r="C11" s="10">
        <f t="shared" ref="C11:C74" si="0">C10+1</f>
        <v>3</v>
      </c>
      <c r="D11" s="10">
        <v>859290</v>
      </c>
      <c r="E11" s="10" t="s">
        <v>49</v>
      </c>
      <c r="F11" s="10" t="s">
        <v>30</v>
      </c>
      <c r="G11" s="10" t="s">
        <v>28</v>
      </c>
      <c r="H11" s="10" t="s">
        <v>34</v>
      </c>
      <c r="I11" s="10" t="s">
        <v>33</v>
      </c>
      <c r="J11" s="10" t="s">
        <v>20</v>
      </c>
      <c r="K11" s="10" t="s">
        <v>37</v>
      </c>
      <c r="L11" s="10">
        <v>1</v>
      </c>
      <c r="M11" s="10"/>
      <c r="N11" s="10"/>
      <c r="O11" s="10"/>
      <c r="P11" s="10"/>
      <c r="Q11" s="10"/>
      <c r="R11" s="10"/>
      <c r="S11" s="10"/>
      <c r="T11" s="10"/>
      <c r="U11" s="10">
        <v>24</v>
      </c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s="11" customFormat="1">
      <c r="A12" s="10">
        <v>4</v>
      </c>
      <c r="B12" s="10"/>
      <c r="C12" s="10">
        <f t="shared" si="0"/>
        <v>4</v>
      </c>
      <c r="D12" s="10">
        <v>859293</v>
      </c>
      <c r="E12" s="10" t="s">
        <v>50</v>
      </c>
      <c r="F12" s="10" t="s">
        <v>29</v>
      </c>
      <c r="G12" s="10" t="s">
        <v>28</v>
      </c>
      <c r="H12" s="10" t="s">
        <v>34</v>
      </c>
      <c r="I12" s="10" t="s">
        <v>33</v>
      </c>
      <c r="J12" s="10" t="s">
        <v>20</v>
      </c>
      <c r="K12" s="10" t="s">
        <v>37</v>
      </c>
      <c r="L12" s="10">
        <v>1</v>
      </c>
      <c r="M12" s="10"/>
      <c r="N12" s="10"/>
      <c r="O12" s="10"/>
      <c r="P12" s="10"/>
      <c r="Q12" s="10"/>
      <c r="R12" s="10"/>
      <c r="S12" s="10"/>
      <c r="T12" s="10"/>
      <c r="U12" s="10">
        <v>24</v>
      </c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s="11" customFormat="1">
      <c r="A13" s="10">
        <v>5</v>
      </c>
      <c r="B13" s="10"/>
      <c r="C13" s="10">
        <f t="shared" si="0"/>
        <v>5</v>
      </c>
      <c r="D13" s="10">
        <v>859292</v>
      </c>
      <c r="E13" s="10" t="s">
        <v>52</v>
      </c>
      <c r="F13" s="10" t="s">
        <v>29</v>
      </c>
      <c r="G13" s="10" t="s">
        <v>28</v>
      </c>
      <c r="H13" s="10" t="s">
        <v>34</v>
      </c>
      <c r="I13" s="10" t="s">
        <v>33</v>
      </c>
      <c r="J13" s="10" t="s">
        <v>20</v>
      </c>
      <c r="K13" s="10" t="s">
        <v>37</v>
      </c>
      <c r="L13" s="10">
        <v>1</v>
      </c>
      <c r="M13" s="10"/>
      <c r="N13" s="10"/>
      <c r="O13" s="10"/>
      <c r="P13" s="10"/>
      <c r="Q13" s="10"/>
      <c r="R13" s="10"/>
      <c r="S13" s="10"/>
      <c r="T13" s="10"/>
      <c r="U13" s="10">
        <v>24</v>
      </c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s="11" customFormat="1">
      <c r="A14" s="10">
        <v>6</v>
      </c>
      <c r="B14" s="10"/>
      <c r="C14" s="10">
        <f t="shared" si="0"/>
        <v>6</v>
      </c>
      <c r="D14" s="10">
        <v>859291</v>
      </c>
      <c r="E14" s="10" t="s">
        <v>51</v>
      </c>
      <c r="F14" s="10" t="s">
        <v>29</v>
      </c>
      <c r="G14" s="10" t="s">
        <v>28</v>
      </c>
      <c r="H14" s="10" t="s">
        <v>34</v>
      </c>
      <c r="I14" s="10" t="s">
        <v>33</v>
      </c>
      <c r="J14" s="10" t="s">
        <v>20</v>
      </c>
      <c r="K14" s="10" t="s">
        <v>37</v>
      </c>
      <c r="L14" s="10">
        <v>1</v>
      </c>
      <c r="M14" s="10"/>
      <c r="N14" s="10"/>
      <c r="O14" s="10"/>
      <c r="P14" s="10"/>
      <c r="Q14" s="10"/>
      <c r="R14" s="10"/>
      <c r="S14" s="10"/>
      <c r="T14" s="10"/>
      <c r="U14" s="10">
        <v>24</v>
      </c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s="11" customFormat="1">
      <c r="A15" s="10">
        <v>7</v>
      </c>
      <c r="B15" s="10"/>
      <c r="C15" s="10">
        <f t="shared" si="0"/>
        <v>7</v>
      </c>
      <c r="D15" s="10">
        <v>859301</v>
      </c>
      <c r="E15" s="10" t="s">
        <v>53</v>
      </c>
      <c r="F15" s="10" t="s">
        <v>29</v>
      </c>
      <c r="G15" s="10" t="s">
        <v>28</v>
      </c>
      <c r="H15" s="10" t="s">
        <v>34</v>
      </c>
      <c r="I15" s="10" t="s">
        <v>33</v>
      </c>
      <c r="J15" s="10" t="s">
        <v>20</v>
      </c>
      <c r="K15" s="10" t="s">
        <v>37</v>
      </c>
      <c r="L15" s="10">
        <v>1</v>
      </c>
      <c r="M15" s="10"/>
      <c r="N15" s="10"/>
      <c r="O15" s="10"/>
      <c r="P15" s="10"/>
      <c r="Q15" s="10"/>
      <c r="R15" s="10"/>
      <c r="S15" s="10"/>
      <c r="T15" s="10"/>
      <c r="U15" s="10">
        <v>24</v>
      </c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s="11" customFormat="1">
      <c r="A16" s="10">
        <v>8</v>
      </c>
      <c r="B16" s="10"/>
      <c r="C16" s="10">
        <f t="shared" si="0"/>
        <v>8</v>
      </c>
      <c r="D16" s="10">
        <v>859299</v>
      </c>
      <c r="E16" s="10" t="s">
        <v>54</v>
      </c>
      <c r="F16" s="10" t="s">
        <v>29</v>
      </c>
      <c r="G16" s="10" t="s">
        <v>28</v>
      </c>
      <c r="H16" s="10" t="s">
        <v>34</v>
      </c>
      <c r="I16" s="10" t="s">
        <v>33</v>
      </c>
      <c r="J16" s="10" t="s">
        <v>20</v>
      </c>
      <c r="K16" s="10" t="s">
        <v>37</v>
      </c>
      <c r="L16" s="10">
        <v>1</v>
      </c>
      <c r="M16" s="10"/>
      <c r="N16" s="10"/>
      <c r="O16" s="10"/>
      <c r="P16" s="10"/>
      <c r="Q16" s="10"/>
      <c r="R16" s="10"/>
      <c r="S16" s="10"/>
      <c r="T16" s="10"/>
      <c r="U16" s="10">
        <v>24</v>
      </c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s="11" customFormat="1">
      <c r="A17" s="10">
        <v>9</v>
      </c>
      <c r="B17" s="10"/>
      <c r="C17" s="10">
        <f t="shared" si="0"/>
        <v>9</v>
      </c>
      <c r="D17" s="10">
        <v>859298</v>
      </c>
      <c r="E17" s="10" t="s">
        <v>55</v>
      </c>
      <c r="F17" s="10" t="s">
        <v>29</v>
      </c>
      <c r="G17" s="10" t="s">
        <v>28</v>
      </c>
      <c r="H17" s="10" t="s">
        <v>34</v>
      </c>
      <c r="I17" s="10" t="s">
        <v>33</v>
      </c>
      <c r="J17" s="10" t="s">
        <v>20</v>
      </c>
      <c r="K17" s="10" t="s">
        <v>37</v>
      </c>
      <c r="L17" s="10">
        <v>1</v>
      </c>
      <c r="M17" s="10"/>
      <c r="N17" s="10"/>
      <c r="O17" s="10"/>
      <c r="P17" s="10"/>
      <c r="Q17" s="10"/>
      <c r="R17" s="10"/>
      <c r="S17" s="10"/>
      <c r="T17" s="10"/>
      <c r="U17" s="10">
        <v>24</v>
      </c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s="11" customFormat="1">
      <c r="A18" s="10">
        <v>10</v>
      </c>
      <c r="B18" s="10"/>
      <c r="C18" s="10">
        <f t="shared" si="0"/>
        <v>10</v>
      </c>
      <c r="D18" s="10">
        <v>859300</v>
      </c>
      <c r="E18" s="10" t="s">
        <v>56</v>
      </c>
      <c r="F18" s="10" t="s">
        <v>29</v>
      </c>
      <c r="G18" s="10" t="s">
        <v>28</v>
      </c>
      <c r="H18" s="10" t="s">
        <v>34</v>
      </c>
      <c r="I18" s="10" t="s">
        <v>33</v>
      </c>
      <c r="J18" s="10" t="s">
        <v>20</v>
      </c>
      <c r="K18" s="10" t="s">
        <v>37</v>
      </c>
      <c r="L18" s="10">
        <v>1</v>
      </c>
      <c r="M18" s="10"/>
      <c r="N18" s="10"/>
      <c r="O18" s="10"/>
      <c r="P18" s="10"/>
      <c r="Q18" s="10"/>
      <c r="R18" s="10"/>
      <c r="S18" s="10"/>
      <c r="T18" s="10"/>
      <c r="U18" s="10">
        <v>24</v>
      </c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s="11" customFormat="1">
      <c r="A19" s="10">
        <v>11</v>
      </c>
      <c r="B19" s="10"/>
      <c r="C19" s="10">
        <f t="shared" si="0"/>
        <v>11</v>
      </c>
      <c r="D19" s="10">
        <v>859302</v>
      </c>
      <c r="E19" s="10" t="s">
        <v>57</v>
      </c>
      <c r="F19" s="10" t="s">
        <v>29</v>
      </c>
      <c r="G19" s="10" t="s">
        <v>28</v>
      </c>
      <c r="H19" s="10" t="s">
        <v>34</v>
      </c>
      <c r="I19" s="10" t="s">
        <v>33</v>
      </c>
      <c r="J19" s="10" t="s">
        <v>20</v>
      </c>
      <c r="K19" s="10" t="s">
        <v>37</v>
      </c>
      <c r="L19" s="10">
        <v>1</v>
      </c>
      <c r="M19" s="10"/>
      <c r="N19" s="10"/>
      <c r="O19" s="10"/>
      <c r="P19" s="10"/>
      <c r="Q19" s="10"/>
      <c r="R19" s="10"/>
      <c r="S19" s="10"/>
      <c r="T19" s="10"/>
      <c r="U19" s="10">
        <v>24</v>
      </c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s="11" customFormat="1">
      <c r="A20" s="10">
        <v>12</v>
      </c>
      <c r="B20" s="10"/>
      <c r="C20" s="10">
        <f t="shared" si="0"/>
        <v>12</v>
      </c>
      <c r="D20" s="10"/>
      <c r="E20" s="10" t="s">
        <v>45</v>
      </c>
      <c r="F20" s="10" t="s">
        <v>29</v>
      </c>
      <c r="G20" s="10" t="s">
        <v>28</v>
      </c>
      <c r="H20" s="10" t="s">
        <v>34</v>
      </c>
      <c r="I20" s="10" t="s">
        <v>33</v>
      </c>
      <c r="J20" s="10" t="s">
        <v>20</v>
      </c>
      <c r="K20" s="10" t="s">
        <v>37</v>
      </c>
      <c r="L20" s="10">
        <v>1</v>
      </c>
      <c r="M20" s="10"/>
      <c r="N20" s="10"/>
      <c r="O20" s="10"/>
      <c r="P20" s="10"/>
      <c r="Q20" s="10"/>
      <c r="R20" s="10"/>
      <c r="S20" s="10"/>
      <c r="T20" s="10"/>
      <c r="U20" s="10">
        <v>24</v>
      </c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s="11" customFormat="1">
      <c r="A21" s="10">
        <v>13</v>
      </c>
      <c r="B21" s="10"/>
      <c r="C21" s="10">
        <f t="shared" si="0"/>
        <v>13</v>
      </c>
      <c r="D21" s="10"/>
      <c r="E21" s="11" t="s">
        <v>46</v>
      </c>
      <c r="F21" s="10" t="s">
        <v>29</v>
      </c>
      <c r="G21" s="10" t="s">
        <v>28</v>
      </c>
      <c r="H21" s="10" t="s">
        <v>34</v>
      </c>
      <c r="I21" s="10" t="s">
        <v>33</v>
      </c>
      <c r="J21" s="10" t="s">
        <v>20</v>
      </c>
      <c r="K21" s="10" t="s">
        <v>37</v>
      </c>
      <c r="L21" s="10">
        <v>1</v>
      </c>
      <c r="M21" s="10"/>
      <c r="N21" s="10"/>
      <c r="O21" s="10"/>
      <c r="P21" s="10"/>
      <c r="Q21" s="10"/>
      <c r="R21" s="10"/>
      <c r="S21" s="10"/>
      <c r="T21" s="10"/>
      <c r="U21" s="10">
        <v>24</v>
      </c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s="13" customFormat="1">
      <c r="A22" s="10">
        <v>18</v>
      </c>
      <c r="B22" s="12"/>
      <c r="C22" s="12">
        <f t="shared" si="0"/>
        <v>14</v>
      </c>
      <c r="D22" s="12">
        <v>10000844</v>
      </c>
      <c r="E22" s="12" t="s">
        <v>59</v>
      </c>
      <c r="F22" s="12" t="s">
        <v>60</v>
      </c>
      <c r="G22" s="12" t="s">
        <v>60</v>
      </c>
      <c r="H22" s="12" t="s">
        <v>24</v>
      </c>
      <c r="I22" s="12" t="s">
        <v>60</v>
      </c>
      <c r="J22" s="12" t="s">
        <v>25</v>
      </c>
      <c r="K22" s="12" t="s">
        <v>37</v>
      </c>
      <c r="L22" s="12">
        <v>1</v>
      </c>
      <c r="M22" s="12"/>
      <c r="N22" s="12"/>
      <c r="O22" s="12"/>
      <c r="P22" s="12"/>
      <c r="Q22" s="12"/>
      <c r="R22" s="12"/>
      <c r="S22" s="12"/>
      <c r="T22" s="12"/>
      <c r="U22" s="12">
        <v>40</v>
      </c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s="13" customFormat="1">
      <c r="A23" s="10">
        <v>19</v>
      </c>
      <c r="B23" s="12"/>
      <c r="C23" s="12">
        <f t="shared" si="0"/>
        <v>15</v>
      </c>
      <c r="D23" s="12">
        <v>10000147</v>
      </c>
      <c r="E23" s="12" t="s">
        <v>61</v>
      </c>
      <c r="F23" s="12" t="s">
        <v>62</v>
      </c>
      <c r="G23" s="12" t="s">
        <v>60</v>
      </c>
      <c r="H23" s="12" t="s">
        <v>63</v>
      </c>
      <c r="I23" s="12" t="s">
        <v>60</v>
      </c>
      <c r="J23" s="12" t="s">
        <v>25</v>
      </c>
      <c r="K23" s="12" t="s">
        <v>37</v>
      </c>
      <c r="L23" s="12">
        <v>1</v>
      </c>
      <c r="M23" s="12"/>
      <c r="N23" s="12"/>
      <c r="O23" s="12"/>
      <c r="P23" s="12"/>
      <c r="Q23" s="12"/>
      <c r="R23" s="12"/>
      <c r="S23" s="12"/>
      <c r="T23" s="12"/>
      <c r="U23" s="12">
        <v>24</v>
      </c>
      <c r="V23" s="12"/>
      <c r="W23" s="12"/>
      <c r="X23" s="12"/>
      <c r="Y23" s="12"/>
      <c r="Z23" s="12"/>
      <c r="AA23" s="12"/>
      <c r="AB23" s="12"/>
      <c r="AC23" s="12"/>
      <c r="AD23" s="12"/>
    </row>
    <row r="24" spans="1:30" s="15" customFormat="1">
      <c r="A24" s="10">
        <v>20</v>
      </c>
      <c r="B24" s="14"/>
      <c r="C24" s="14">
        <f t="shared" si="0"/>
        <v>16</v>
      </c>
      <c r="D24" s="14">
        <v>20002989</v>
      </c>
      <c r="E24" s="14" t="s">
        <v>1200</v>
      </c>
      <c r="F24" s="14" t="s">
        <v>27</v>
      </c>
      <c r="G24" s="14" t="s">
        <v>27</v>
      </c>
      <c r="H24" s="14" t="s">
        <v>26</v>
      </c>
      <c r="I24" s="14" t="s">
        <v>63</v>
      </c>
      <c r="J24" s="14" t="s">
        <v>25</v>
      </c>
      <c r="K24" s="14" t="s">
        <v>37</v>
      </c>
      <c r="L24" s="14">
        <v>1</v>
      </c>
      <c r="M24" s="14"/>
      <c r="N24" s="14"/>
      <c r="O24" s="14"/>
      <c r="P24" s="14"/>
      <c r="Q24" s="14"/>
      <c r="R24" s="14"/>
      <c r="S24" s="14"/>
      <c r="T24" s="14"/>
      <c r="U24" s="14">
        <v>8</v>
      </c>
      <c r="V24" s="14"/>
      <c r="W24" s="14"/>
      <c r="X24" s="14"/>
      <c r="Y24" s="14"/>
      <c r="Z24" s="14"/>
      <c r="AA24" s="14"/>
      <c r="AB24" s="14"/>
      <c r="AC24" s="14"/>
      <c r="AD24" s="14"/>
    </row>
    <row r="25" spans="1:30" s="15" customFormat="1">
      <c r="A25" s="10">
        <v>21</v>
      </c>
      <c r="B25" s="14"/>
      <c r="C25" s="14">
        <f t="shared" si="0"/>
        <v>17</v>
      </c>
      <c r="D25" s="14">
        <v>20002990</v>
      </c>
      <c r="E25" s="14" t="s">
        <v>1201</v>
      </c>
      <c r="F25" s="14" t="s">
        <v>27</v>
      </c>
      <c r="G25" s="14" t="s">
        <v>27</v>
      </c>
      <c r="H25" s="14" t="s">
        <v>26</v>
      </c>
      <c r="I25" s="14" t="s">
        <v>63</v>
      </c>
      <c r="J25" s="14" t="s">
        <v>25</v>
      </c>
      <c r="K25" s="14" t="s">
        <v>37</v>
      </c>
      <c r="L25" s="14">
        <v>1</v>
      </c>
      <c r="M25" s="14"/>
      <c r="N25" s="14"/>
      <c r="O25" s="14"/>
      <c r="P25" s="14"/>
      <c r="Q25" s="14"/>
      <c r="R25" s="14"/>
      <c r="S25" s="14"/>
      <c r="T25" s="14"/>
      <c r="U25" s="14">
        <v>8</v>
      </c>
      <c r="V25" s="14"/>
      <c r="W25" s="14"/>
      <c r="X25" s="14"/>
      <c r="Y25" s="14"/>
      <c r="Z25" s="14"/>
      <c r="AA25" s="14"/>
      <c r="AB25" s="14"/>
      <c r="AC25" s="14"/>
      <c r="AD25" s="14"/>
    </row>
    <row r="26" spans="1:30" s="15" customFormat="1">
      <c r="A26" s="10">
        <v>22</v>
      </c>
      <c r="B26" s="14"/>
      <c r="C26" s="14">
        <f t="shared" si="0"/>
        <v>18</v>
      </c>
      <c r="D26" s="14">
        <v>20002991</v>
      </c>
      <c r="E26" s="14" t="s">
        <v>1202</v>
      </c>
      <c r="F26" s="14" t="s">
        <v>27</v>
      </c>
      <c r="G26" s="14" t="s">
        <v>27</v>
      </c>
      <c r="H26" s="14" t="s">
        <v>26</v>
      </c>
      <c r="I26" s="14" t="s">
        <v>63</v>
      </c>
      <c r="J26" s="14" t="s">
        <v>25</v>
      </c>
      <c r="K26" s="14" t="s">
        <v>37</v>
      </c>
      <c r="L26" s="14">
        <v>1</v>
      </c>
      <c r="M26" s="14"/>
      <c r="N26" s="14"/>
      <c r="O26" s="14"/>
      <c r="P26" s="14"/>
      <c r="Q26" s="14"/>
      <c r="R26" s="14"/>
      <c r="S26" s="14"/>
      <c r="T26" s="14"/>
      <c r="U26" s="14">
        <v>8</v>
      </c>
      <c r="V26" s="14"/>
      <c r="W26" s="14"/>
      <c r="X26" s="14"/>
      <c r="Y26" s="14"/>
      <c r="Z26" s="14"/>
      <c r="AA26" s="14"/>
      <c r="AB26" s="14"/>
      <c r="AC26" s="14"/>
      <c r="AD26" s="14"/>
    </row>
    <row r="27" spans="1:30" s="15" customFormat="1">
      <c r="A27" s="10">
        <v>23</v>
      </c>
      <c r="B27" s="14"/>
      <c r="C27" s="14">
        <f t="shared" si="0"/>
        <v>19</v>
      </c>
      <c r="D27" s="14">
        <v>20002992</v>
      </c>
      <c r="E27" s="14" t="s">
        <v>23</v>
      </c>
      <c r="F27" s="14" t="s">
        <v>27</v>
      </c>
      <c r="G27" s="14" t="s">
        <v>27</v>
      </c>
      <c r="H27" s="14" t="s">
        <v>26</v>
      </c>
      <c r="I27" s="14" t="s">
        <v>63</v>
      </c>
      <c r="J27" s="14" t="s">
        <v>25</v>
      </c>
      <c r="K27" s="14" t="s">
        <v>37</v>
      </c>
      <c r="L27" s="14">
        <v>1</v>
      </c>
      <c r="M27" s="14"/>
      <c r="N27" s="14"/>
      <c r="O27" s="14"/>
      <c r="P27" s="14"/>
      <c r="Q27" s="14"/>
      <c r="R27" s="14"/>
      <c r="S27" s="14"/>
      <c r="T27" s="14"/>
      <c r="U27" s="14">
        <v>8</v>
      </c>
      <c r="V27" s="14"/>
      <c r="W27" s="14"/>
      <c r="X27" s="14"/>
      <c r="Y27" s="14"/>
      <c r="Z27" s="14"/>
      <c r="AA27" s="14"/>
      <c r="AB27" s="14"/>
      <c r="AC27" s="14"/>
      <c r="AD27" s="14"/>
    </row>
    <row r="28" spans="1:30" s="15" customFormat="1">
      <c r="A28" s="10">
        <v>24</v>
      </c>
      <c r="B28" s="14"/>
      <c r="C28" s="14">
        <f t="shared" si="0"/>
        <v>20</v>
      </c>
      <c r="D28" s="14">
        <v>20003708</v>
      </c>
      <c r="E28" s="14" t="s">
        <v>1203</v>
      </c>
      <c r="F28" s="14" t="s">
        <v>27</v>
      </c>
      <c r="G28" s="14" t="s">
        <v>27</v>
      </c>
      <c r="H28" s="14" t="s">
        <v>26</v>
      </c>
      <c r="I28" s="14" t="s">
        <v>63</v>
      </c>
      <c r="J28" s="14" t="s">
        <v>25</v>
      </c>
      <c r="K28" s="14" t="s">
        <v>37</v>
      </c>
      <c r="L28" s="14">
        <v>1</v>
      </c>
      <c r="M28" s="14"/>
      <c r="N28" s="14"/>
      <c r="O28" s="14"/>
      <c r="P28" s="14"/>
      <c r="Q28" s="14"/>
      <c r="R28" s="14"/>
      <c r="S28" s="14"/>
      <c r="T28" s="14"/>
      <c r="U28" s="14">
        <v>8</v>
      </c>
      <c r="V28" s="14"/>
      <c r="W28" s="14"/>
      <c r="X28" s="14"/>
      <c r="Y28" s="14"/>
      <c r="Z28" s="14"/>
      <c r="AA28" s="14"/>
      <c r="AB28" s="14"/>
      <c r="AC28" s="14"/>
      <c r="AD28" s="14"/>
    </row>
    <row r="29" spans="1:30" s="15" customFormat="1">
      <c r="A29" s="10">
        <v>25</v>
      </c>
      <c r="B29" s="14"/>
      <c r="C29" s="14">
        <f t="shared" si="0"/>
        <v>21</v>
      </c>
      <c r="D29" s="14">
        <v>20003294</v>
      </c>
      <c r="E29" s="14" t="s">
        <v>1204</v>
      </c>
      <c r="F29" s="14" t="s">
        <v>27</v>
      </c>
      <c r="G29" s="14" t="s">
        <v>27</v>
      </c>
      <c r="H29" s="14" t="s">
        <v>26</v>
      </c>
      <c r="I29" s="14" t="s">
        <v>63</v>
      </c>
      <c r="J29" s="14" t="s">
        <v>25</v>
      </c>
      <c r="K29" s="14" t="s">
        <v>37</v>
      </c>
      <c r="L29" s="14">
        <v>1</v>
      </c>
      <c r="M29" s="14"/>
      <c r="N29" s="14"/>
      <c r="O29" s="14"/>
      <c r="P29" s="14"/>
      <c r="Q29" s="14"/>
      <c r="R29" s="14"/>
      <c r="S29" s="14"/>
      <c r="T29" s="14"/>
      <c r="U29" s="14">
        <v>8</v>
      </c>
      <c r="V29" s="14"/>
      <c r="W29" s="14"/>
      <c r="X29" s="14"/>
      <c r="Y29" s="14"/>
      <c r="Z29" s="14"/>
      <c r="AA29" s="14"/>
      <c r="AB29" s="14"/>
      <c r="AC29" s="14"/>
      <c r="AD29" s="14"/>
    </row>
    <row r="30" spans="1:30" s="15" customFormat="1">
      <c r="A30" s="10">
        <v>26</v>
      </c>
      <c r="B30" s="14"/>
      <c r="C30" s="14">
        <f t="shared" si="0"/>
        <v>22</v>
      </c>
      <c r="D30" s="14">
        <v>20002630</v>
      </c>
      <c r="E30" s="14" t="s">
        <v>1205</v>
      </c>
      <c r="F30" s="14" t="s">
        <v>27</v>
      </c>
      <c r="G30" s="14" t="s">
        <v>27</v>
      </c>
      <c r="H30" s="14" t="s">
        <v>26</v>
      </c>
      <c r="I30" s="14" t="s">
        <v>63</v>
      </c>
      <c r="J30" s="14" t="s">
        <v>25</v>
      </c>
      <c r="K30" s="14" t="s">
        <v>37</v>
      </c>
      <c r="L30" s="14">
        <v>1</v>
      </c>
      <c r="M30" s="14"/>
      <c r="N30" s="14"/>
      <c r="O30" s="14"/>
      <c r="P30" s="14"/>
      <c r="Q30" s="14"/>
      <c r="R30" s="14"/>
      <c r="S30" s="14"/>
      <c r="T30" s="14"/>
      <c r="U30" s="14">
        <v>12</v>
      </c>
      <c r="V30" s="14"/>
      <c r="W30" s="14"/>
      <c r="X30" s="14"/>
      <c r="Y30" s="14"/>
      <c r="Z30" s="14"/>
      <c r="AA30" s="14"/>
      <c r="AB30" s="14"/>
      <c r="AC30" s="14"/>
      <c r="AD30" s="14"/>
    </row>
    <row r="31" spans="1:30" s="15" customFormat="1">
      <c r="A31" s="10">
        <v>27</v>
      </c>
      <c r="B31" s="14"/>
      <c r="C31" s="14">
        <f t="shared" si="0"/>
        <v>23</v>
      </c>
      <c r="D31" s="14">
        <v>20002631</v>
      </c>
      <c r="E31" s="14" t="s">
        <v>1206</v>
      </c>
      <c r="F31" s="14" t="s">
        <v>27</v>
      </c>
      <c r="G31" s="14" t="s">
        <v>27</v>
      </c>
      <c r="H31" s="14" t="s">
        <v>26</v>
      </c>
      <c r="I31" s="14" t="s">
        <v>63</v>
      </c>
      <c r="J31" s="14" t="s">
        <v>25</v>
      </c>
      <c r="K31" s="14" t="s">
        <v>37</v>
      </c>
      <c r="L31" s="14">
        <v>1</v>
      </c>
      <c r="M31" s="14"/>
      <c r="N31" s="14"/>
      <c r="O31" s="14"/>
      <c r="P31" s="14"/>
      <c r="Q31" s="14"/>
      <c r="R31" s="14"/>
      <c r="S31" s="14"/>
      <c r="T31" s="14"/>
      <c r="U31" s="14">
        <v>12</v>
      </c>
      <c r="V31" s="14"/>
      <c r="W31" s="14"/>
      <c r="X31" s="14"/>
      <c r="Y31" s="14"/>
      <c r="Z31" s="14"/>
      <c r="AA31" s="14"/>
      <c r="AB31" s="14"/>
      <c r="AC31" s="14"/>
      <c r="AD31" s="14"/>
    </row>
    <row r="32" spans="1:30" s="15" customFormat="1">
      <c r="A32" s="10">
        <v>28</v>
      </c>
      <c r="B32" s="14"/>
      <c r="C32" s="14">
        <f t="shared" si="0"/>
        <v>24</v>
      </c>
      <c r="D32" s="14">
        <v>20003549</v>
      </c>
      <c r="E32" s="14" t="s">
        <v>1207</v>
      </c>
      <c r="F32" s="14" t="s">
        <v>27</v>
      </c>
      <c r="G32" s="14" t="s">
        <v>27</v>
      </c>
      <c r="H32" s="14" t="s">
        <v>26</v>
      </c>
      <c r="I32" s="14" t="s">
        <v>63</v>
      </c>
      <c r="J32" s="14" t="s">
        <v>25</v>
      </c>
      <c r="K32" s="14" t="s">
        <v>37</v>
      </c>
      <c r="L32" s="14">
        <v>1</v>
      </c>
      <c r="M32" s="14"/>
      <c r="N32" s="14"/>
      <c r="O32" s="14"/>
      <c r="P32" s="14"/>
      <c r="Q32" s="14"/>
      <c r="R32" s="14"/>
      <c r="S32" s="14"/>
      <c r="T32" s="14"/>
      <c r="U32" s="14">
        <v>12</v>
      </c>
      <c r="V32" s="14"/>
      <c r="W32" s="14"/>
      <c r="X32" s="14"/>
      <c r="Y32" s="14"/>
      <c r="Z32" s="14"/>
      <c r="AA32" s="14"/>
      <c r="AB32" s="14"/>
      <c r="AC32" s="14"/>
      <c r="AD32" s="14"/>
    </row>
    <row r="33" spans="1:30" s="15" customFormat="1">
      <c r="A33" s="10">
        <v>29</v>
      </c>
      <c r="B33" s="14"/>
      <c r="C33" s="14">
        <f t="shared" si="0"/>
        <v>25</v>
      </c>
      <c r="D33" s="14">
        <v>20003550</v>
      </c>
      <c r="E33" s="14" t="s">
        <v>1208</v>
      </c>
      <c r="F33" s="14" t="s">
        <v>27</v>
      </c>
      <c r="G33" s="14" t="s">
        <v>27</v>
      </c>
      <c r="H33" s="14" t="s">
        <v>26</v>
      </c>
      <c r="I33" s="14" t="s">
        <v>63</v>
      </c>
      <c r="J33" s="14" t="s">
        <v>25</v>
      </c>
      <c r="K33" s="14" t="s">
        <v>37</v>
      </c>
      <c r="L33" s="14">
        <v>1</v>
      </c>
      <c r="M33" s="14"/>
      <c r="N33" s="14"/>
      <c r="O33" s="14"/>
      <c r="P33" s="14"/>
      <c r="Q33" s="14"/>
      <c r="R33" s="14"/>
      <c r="S33" s="14"/>
      <c r="T33" s="14"/>
      <c r="U33" s="14">
        <v>12</v>
      </c>
      <c r="V33" s="14"/>
      <c r="W33" s="14"/>
      <c r="X33" s="14"/>
      <c r="Y33" s="14"/>
      <c r="Z33" s="14"/>
      <c r="AA33" s="14"/>
      <c r="AB33" s="14"/>
      <c r="AC33" s="14"/>
      <c r="AD33" s="14"/>
    </row>
    <row r="34" spans="1:30" s="15" customFormat="1">
      <c r="A34" s="10">
        <v>30</v>
      </c>
      <c r="B34" s="14"/>
      <c r="C34" s="14">
        <f t="shared" si="0"/>
        <v>26</v>
      </c>
      <c r="D34" s="14">
        <v>20003707</v>
      </c>
      <c r="E34" s="14" t="s">
        <v>1209</v>
      </c>
      <c r="F34" s="14" t="s">
        <v>27</v>
      </c>
      <c r="G34" s="14" t="s">
        <v>27</v>
      </c>
      <c r="H34" s="14" t="s">
        <v>26</v>
      </c>
      <c r="I34" s="14" t="s">
        <v>63</v>
      </c>
      <c r="J34" s="14" t="s">
        <v>25</v>
      </c>
      <c r="K34" s="14" t="s">
        <v>37</v>
      </c>
      <c r="L34" s="14">
        <v>1</v>
      </c>
      <c r="M34" s="14"/>
      <c r="N34" s="14"/>
      <c r="O34" s="14"/>
      <c r="P34" s="14"/>
      <c r="Q34" s="14"/>
      <c r="R34" s="14"/>
      <c r="S34" s="14"/>
      <c r="T34" s="14"/>
      <c r="U34" s="14">
        <v>12</v>
      </c>
      <c r="V34" s="14"/>
      <c r="W34" s="14"/>
      <c r="X34" s="14"/>
      <c r="Y34" s="14"/>
      <c r="Z34" s="14"/>
      <c r="AA34" s="14"/>
      <c r="AB34" s="14"/>
      <c r="AC34" s="14"/>
      <c r="AD34" s="14"/>
    </row>
    <row r="35" spans="1:30" s="15" customFormat="1">
      <c r="A35" s="10">
        <v>31</v>
      </c>
      <c r="B35" s="14"/>
      <c r="C35" s="14">
        <f t="shared" si="0"/>
        <v>27</v>
      </c>
      <c r="D35" s="14">
        <v>20002628</v>
      </c>
      <c r="E35" s="14" t="s">
        <v>1210</v>
      </c>
      <c r="F35" s="14" t="s">
        <v>27</v>
      </c>
      <c r="G35" s="14" t="s">
        <v>27</v>
      </c>
      <c r="H35" s="14" t="s">
        <v>26</v>
      </c>
      <c r="I35" s="14" t="s">
        <v>63</v>
      </c>
      <c r="J35" s="14" t="s">
        <v>25</v>
      </c>
      <c r="K35" s="14" t="s">
        <v>37</v>
      </c>
      <c r="L35" s="14">
        <v>1</v>
      </c>
      <c r="M35" s="14"/>
      <c r="N35" s="14"/>
      <c r="O35" s="14"/>
      <c r="P35" s="14"/>
      <c r="Q35" s="14"/>
      <c r="R35" s="14"/>
      <c r="S35" s="14"/>
      <c r="T35" s="14"/>
      <c r="U35" s="14">
        <v>12</v>
      </c>
      <c r="V35" s="14"/>
      <c r="W35" s="14"/>
      <c r="X35" s="14"/>
      <c r="Y35" s="14"/>
      <c r="Z35" s="14"/>
      <c r="AA35" s="14"/>
      <c r="AB35" s="14"/>
      <c r="AC35" s="14"/>
      <c r="AD35" s="14"/>
    </row>
    <row r="36" spans="1:30" s="15" customFormat="1">
      <c r="A36" s="10">
        <v>32</v>
      </c>
      <c r="B36" s="14"/>
      <c r="C36" s="14">
        <f t="shared" si="0"/>
        <v>28</v>
      </c>
      <c r="D36" s="14">
        <v>20002629</v>
      </c>
      <c r="E36" s="14" t="s">
        <v>1211</v>
      </c>
      <c r="F36" s="14" t="s">
        <v>27</v>
      </c>
      <c r="G36" s="14" t="s">
        <v>27</v>
      </c>
      <c r="H36" s="14" t="s">
        <v>26</v>
      </c>
      <c r="I36" s="14" t="s">
        <v>63</v>
      </c>
      <c r="J36" s="14" t="s">
        <v>25</v>
      </c>
      <c r="K36" s="14" t="s">
        <v>37</v>
      </c>
      <c r="L36" s="14">
        <v>1</v>
      </c>
      <c r="M36" s="14"/>
      <c r="N36" s="14"/>
      <c r="O36" s="14"/>
      <c r="P36" s="14"/>
      <c r="Q36" s="14"/>
      <c r="R36" s="14"/>
      <c r="S36" s="14"/>
      <c r="T36" s="14"/>
      <c r="U36" s="14">
        <v>12</v>
      </c>
      <c r="V36" s="14"/>
      <c r="W36" s="14"/>
      <c r="X36" s="14"/>
      <c r="Y36" s="14"/>
      <c r="Z36" s="14"/>
      <c r="AA36" s="14"/>
      <c r="AB36" s="14"/>
      <c r="AC36" s="14"/>
      <c r="AD36" s="14"/>
    </row>
    <row r="37" spans="1:30" s="15" customFormat="1">
      <c r="A37" s="10">
        <v>33</v>
      </c>
      <c r="B37" s="14"/>
      <c r="C37" s="14">
        <f t="shared" si="0"/>
        <v>29</v>
      </c>
      <c r="D37" s="14">
        <v>20002626</v>
      </c>
      <c r="E37" s="14" t="s">
        <v>1212</v>
      </c>
      <c r="F37" s="14" t="s">
        <v>27</v>
      </c>
      <c r="G37" s="14" t="s">
        <v>27</v>
      </c>
      <c r="H37" s="14" t="s">
        <v>26</v>
      </c>
      <c r="I37" s="14" t="s">
        <v>63</v>
      </c>
      <c r="J37" s="14" t="s">
        <v>25</v>
      </c>
      <c r="K37" s="14" t="s">
        <v>37</v>
      </c>
      <c r="L37" s="14">
        <v>1</v>
      </c>
      <c r="M37" s="14"/>
      <c r="N37" s="14"/>
      <c r="O37" s="14"/>
      <c r="P37" s="14"/>
      <c r="Q37" s="14"/>
      <c r="R37" s="14"/>
      <c r="S37" s="14"/>
      <c r="T37" s="14"/>
      <c r="U37" s="14">
        <v>12</v>
      </c>
      <c r="V37" s="14"/>
      <c r="W37" s="14"/>
      <c r="X37" s="14"/>
      <c r="Y37" s="14"/>
      <c r="Z37" s="14"/>
      <c r="AA37" s="14"/>
      <c r="AB37" s="14"/>
      <c r="AC37" s="14"/>
      <c r="AD37" s="14"/>
    </row>
    <row r="38" spans="1:30" s="15" customFormat="1">
      <c r="A38" s="10">
        <v>34</v>
      </c>
      <c r="B38" s="14"/>
      <c r="C38" s="14">
        <f t="shared" si="0"/>
        <v>30</v>
      </c>
      <c r="D38" s="14">
        <v>20002627</v>
      </c>
      <c r="E38" s="14" t="s">
        <v>1213</v>
      </c>
      <c r="F38" s="14" t="s">
        <v>27</v>
      </c>
      <c r="G38" s="14" t="s">
        <v>27</v>
      </c>
      <c r="H38" s="14" t="s">
        <v>26</v>
      </c>
      <c r="I38" s="14" t="s">
        <v>63</v>
      </c>
      <c r="J38" s="14" t="s">
        <v>25</v>
      </c>
      <c r="K38" s="14" t="s">
        <v>37</v>
      </c>
      <c r="L38" s="14">
        <v>1</v>
      </c>
      <c r="M38" s="14"/>
      <c r="N38" s="14"/>
      <c r="O38" s="14"/>
      <c r="P38" s="14"/>
      <c r="Q38" s="14"/>
      <c r="R38" s="14"/>
      <c r="S38" s="14"/>
      <c r="T38" s="14"/>
      <c r="U38" s="14">
        <v>12</v>
      </c>
      <c r="V38" s="14"/>
      <c r="W38" s="14"/>
      <c r="X38" s="14"/>
      <c r="Y38" s="14"/>
      <c r="Z38" s="14"/>
      <c r="AA38" s="14"/>
      <c r="AB38" s="14"/>
      <c r="AC38" s="14"/>
      <c r="AD38" s="14"/>
    </row>
    <row r="39" spans="1:30" s="15" customFormat="1">
      <c r="A39" s="10">
        <v>35</v>
      </c>
      <c r="B39" s="14"/>
      <c r="C39" s="14">
        <f t="shared" si="0"/>
        <v>31</v>
      </c>
      <c r="D39" s="14">
        <v>20002643</v>
      </c>
      <c r="E39" s="14" t="s">
        <v>32</v>
      </c>
      <c r="F39" s="14" t="s">
        <v>27</v>
      </c>
      <c r="G39" s="14" t="s">
        <v>31</v>
      </c>
      <c r="H39" s="14" t="s">
        <v>26</v>
      </c>
      <c r="I39" s="14" t="s">
        <v>63</v>
      </c>
      <c r="J39" s="14" t="s">
        <v>25</v>
      </c>
      <c r="K39" s="14" t="s">
        <v>37</v>
      </c>
      <c r="L39" s="14">
        <v>1</v>
      </c>
      <c r="M39" s="14"/>
      <c r="N39" s="14"/>
      <c r="O39" s="14"/>
      <c r="P39" s="14"/>
      <c r="Q39" s="14"/>
      <c r="R39" s="14"/>
      <c r="S39" s="14"/>
      <c r="T39" s="14"/>
      <c r="U39" s="14">
        <v>12</v>
      </c>
      <c r="V39" s="14"/>
      <c r="W39" s="14"/>
      <c r="X39" s="14"/>
      <c r="Y39" s="14"/>
      <c r="Z39" s="14"/>
      <c r="AA39" s="14"/>
      <c r="AB39" s="14"/>
      <c r="AC39" s="14"/>
      <c r="AD39" s="14"/>
    </row>
    <row r="40" spans="1:30" s="15" customFormat="1">
      <c r="A40" s="10">
        <v>36</v>
      </c>
      <c r="B40" s="14"/>
      <c r="C40" s="14">
        <f t="shared" si="0"/>
        <v>32</v>
      </c>
      <c r="D40" s="14">
        <v>20002644</v>
      </c>
      <c r="E40" s="14" t="s">
        <v>1214</v>
      </c>
      <c r="F40" s="14" t="s">
        <v>27</v>
      </c>
      <c r="G40" s="14" t="s">
        <v>31</v>
      </c>
      <c r="H40" s="14" t="s">
        <v>26</v>
      </c>
      <c r="I40" s="14" t="s">
        <v>63</v>
      </c>
      <c r="J40" s="14" t="s">
        <v>25</v>
      </c>
      <c r="K40" s="14" t="s">
        <v>37</v>
      </c>
      <c r="L40" s="14">
        <v>1</v>
      </c>
      <c r="M40" s="14"/>
      <c r="N40" s="14"/>
      <c r="O40" s="14"/>
      <c r="P40" s="14"/>
      <c r="Q40" s="14"/>
      <c r="R40" s="14"/>
      <c r="S40" s="14"/>
      <c r="T40" s="14"/>
      <c r="U40" s="14">
        <v>12</v>
      </c>
      <c r="V40" s="14"/>
      <c r="W40" s="14"/>
      <c r="X40" s="14"/>
      <c r="Y40" s="14"/>
      <c r="Z40" s="14"/>
      <c r="AA40" s="14"/>
      <c r="AB40" s="14"/>
      <c r="AC40" s="14"/>
      <c r="AD40" s="14"/>
    </row>
    <row r="41" spans="1:30" s="15" customFormat="1">
      <c r="A41" s="10">
        <v>37</v>
      </c>
      <c r="B41" s="14"/>
      <c r="C41" s="14">
        <f t="shared" si="0"/>
        <v>33</v>
      </c>
      <c r="D41" s="14">
        <v>20002675</v>
      </c>
      <c r="E41" s="14" t="s">
        <v>1215</v>
      </c>
      <c r="F41" s="14" t="s">
        <v>27</v>
      </c>
      <c r="G41" s="14" t="s">
        <v>1217</v>
      </c>
      <c r="H41" s="14" t="s">
        <v>26</v>
      </c>
      <c r="I41" s="14" t="s">
        <v>63</v>
      </c>
      <c r="J41" s="14" t="s">
        <v>25</v>
      </c>
      <c r="K41" s="14" t="s">
        <v>37</v>
      </c>
      <c r="L41" s="14">
        <v>1</v>
      </c>
      <c r="M41" s="14"/>
      <c r="N41" s="14"/>
      <c r="O41" s="14"/>
      <c r="P41" s="14"/>
      <c r="Q41" s="14"/>
      <c r="R41" s="14"/>
      <c r="S41" s="14"/>
      <c r="T41" s="14"/>
      <c r="U41" s="14">
        <v>4</v>
      </c>
      <c r="V41" s="14"/>
      <c r="W41" s="14"/>
      <c r="X41" s="14"/>
      <c r="Y41" s="14"/>
      <c r="Z41" s="14"/>
      <c r="AA41" s="14"/>
      <c r="AB41" s="14"/>
      <c r="AC41" s="14"/>
      <c r="AD41" s="14"/>
    </row>
    <row r="42" spans="1:30" s="15" customFormat="1">
      <c r="A42" s="10">
        <v>38</v>
      </c>
      <c r="B42" s="14"/>
      <c r="C42" s="14">
        <f t="shared" si="0"/>
        <v>34</v>
      </c>
      <c r="D42" s="14">
        <v>20002676</v>
      </c>
      <c r="E42" s="14" t="s">
        <v>1216</v>
      </c>
      <c r="F42" s="14" t="s">
        <v>27</v>
      </c>
      <c r="G42" s="14" t="s">
        <v>1217</v>
      </c>
      <c r="H42" s="14" t="s">
        <v>26</v>
      </c>
      <c r="I42" s="14" t="s">
        <v>63</v>
      </c>
      <c r="J42" s="14" t="s">
        <v>25</v>
      </c>
      <c r="K42" s="14" t="s">
        <v>37</v>
      </c>
      <c r="L42" s="14">
        <v>1</v>
      </c>
      <c r="M42" s="14"/>
      <c r="N42" s="14"/>
      <c r="O42" s="14"/>
      <c r="P42" s="14"/>
      <c r="Q42" s="14"/>
      <c r="R42" s="14"/>
      <c r="S42" s="14"/>
      <c r="T42" s="14"/>
      <c r="U42" s="14">
        <v>4</v>
      </c>
      <c r="V42" s="14"/>
      <c r="W42" s="14"/>
      <c r="X42" s="14"/>
      <c r="Y42" s="14"/>
      <c r="Z42" s="14"/>
      <c r="AA42" s="14"/>
      <c r="AB42" s="14"/>
      <c r="AC42" s="14"/>
      <c r="AD42" s="14"/>
    </row>
    <row r="43" spans="1:30" s="19" customFormat="1">
      <c r="A43" s="10">
        <v>39</v>
      </c>
      <c r="B43" s="16"/>
      <c r="C43" s="16">
        <f t="shared" si="0"/>
        <v>35</v>
      </c>
      <c r="D43" s="17" t="s">
        <v>1218</v>
      </c>
      <c r="E43" s="18" t="s">
        <v>1219</v>
      </c>
      <c r="F43" s="16" t="s">
        <v>1261</v>
      </c>
      <c r="G43" s="16" t="s">
        <v>1226</v>
      </c>
      <c r="H43" s="16" t="s">
        <v>1259</v>
      </c>
      <c r="I43" s="16" t="s">
        <v>1259</v>
      </c>
      <c r="J43" s="16" t="s">
        <v>19</v>
      </c>
      <c r="K43" s="16" t="s">
        <v>37</v>
      </c>
      <c r="L43" s="16">
        <v>1</v>
      </c>
      <c r="M43" s="16"/>
      <c r="N43" s="16"/>
      <c r="O43" s="16"/>
      <c r="P43" s="16"/>
      <c r="Q43" s="16"/>
      <c r="R43" s="16">
        <v>10</v>
      </c>
      <c r="S43" s="16"/>
      <c r="T43" s="16"/>
      <c r="U43" s="16">
        <v>100</v>
      </c>
      <c r="V43" s="16"/>
      <c r="W43" s="16"/>
      <c r="X43" s="16"/>
      <c r="Y43" s="16"/>
      <c r="Z43" s="16"/>
      <c r="AA43" s="16"/>
      <c r="AB43" s="16"/>
      <c r="AC43" s="16"/>
      <c r="AD43" s="16"/>
    </row>
    <row r="44" spans="1:30" s="19" customFormat="1">
      <c r="A44" s="10">
        <v>40</v>
      </c>
      <c r="B44" s="16"/>
      <c r="C44" s="16">
        <f t="shared" si="0"/>
        <v>36</v>
      </c>
      <c r="D44" s="17" t="s">
        <v>1220</v>
      </c>
      <c r="E44" s="18" t="s">
        <v>1221</v>
      </c>
      <c r="F44" s="16" t="s">
        <v>1261</v>
      </c>
      <c r="G44" s="16" t="s">
        <v>1226</v>
      </c>
      <c r="H44" s="16" t="s">
        <v>1259</v>
      </c>
      <c r="I44" s="16" t="s">
        <v>1259</v>
      </c>
      <c r="J44" s="16" t="s">
        <v>19</v>
      </c>
      <c r="K44" s="16" t="s">
        <v>37</v>
      </c>
      <c r="L44" s="16">
        <v>1</v>
      </c>
      <c r="M44" s="16"/>
      <c r="N44" s="16"/>
      <c r="O44" s="16"/>
      <c r="P44" s="16"/>
      <c r="Q44" s="16"/>
      <c r="R44" s="16">
        <v>10</v>
      </c>
      <c r="S44" s="16"/>
      <c r="T44" s="16"/>
      <c r="U44" s="16">
        <v>100</v>
      </c>
      <c r="V44" s="16"/>
      <c r="W44" s="16"/>
      <c r="X44" s="16"/>
      <c r="Y44" s="16"/>
      <c r="Z44" s="16"/>
      <c r="AA44" s="16"/>
      <c r="AB44" s="16"/>
      <c r="AC44" s="16"/>
      <c r="AD44" s="16"/>
    </row>
    <row r="45" spans="1:30" s="19" customFormat="1">
      <c r="A45" s="10">
        <v>41</v>
      </c>
      <c r="B45" s="16"/>
      <c r="C45" s="16">
        <f t="shared" si="0"/>
        <v>37</v>
      </c>
      <c r="D45" s="17" t="s">
        <v>1222</v>
      </c>
      <c r="E45" s="18" t="s">
        <v>1223</v>
      </c>
      <c r="F45" s="16" t="s">
        <v>1261</v>
      </c>
      <c r="G45" s="16" t="s">
        <v>1226</v>
      </c>
      <c r="H45" s="16" t="s">
        <v>1259</v>
      </c>
      <c r="I45" s="16" t="s">
        <v>1259</v>
      </c>
      <c r="J45" s="16" t="s">
        <v>19</v>
      </c>
      <c r="K45" s="16" t="s">
        <v>37</v>
      </c>
      <c r="L45" s="16">
        <v>1</v>
      </c>
      <c r="M45" s="16"/>
      <c r="N45" s="16"/>
      <c r="O45" s="16"/>
      <c r="P45" s="16"/>
      <c r="Q45" s="16"/>
      <c r="R45" s="16">
        <v>10</v>
      </c>
      <c r="S45" s="16"/>
      <c r="T45" s="16"/>
      <c r="U45" s="16">
        <v>100</v>
      </c>
      <c r="V45" s="16"/>
      <c r="W45" s="16"/>
      <c r="X45" s="16"/>
      <c r="Y45" s="16"/>
      <c r="Z45" s="16"/>
      <c r="AA45" s="16"/>
      <c r="AB45" s="16"/>
      <c r="AC45" s="16"/>
      <c r="AD45" s="16"/>
    </row>
    <row r="46" spans="1:30" s="19" customFormat="1">
      <c r="A46" s="10">
        <v>42</v>
      </c>
      <c r="B46" s="16"/>
      <c r="C46" s="16">
        <f t="shared" si="0"/>
        <v>38</v>
      </c>
      <c r="D46" s="17" t="s">
        <v>1224</v>
      </c>
      <c r="E46" s="18" t="s">
        <v>1225</v>
      </c>
      <c r="F46" s="16" t="s">
        <v>1261</v>
      </c>
      <c r="G46" s="16" t="s">
        <v>1226</v>
      </c>
      <c r="H46" s="16" t="s">
        <v>1259</v>
      </c>
      <c r="I46" s="16" t="s">
        <v>1259</v>
      </c>
      <c r="J46" s="16" t="s">
        <v>19</v>
      </c>
      <c r="K46" s="16" t="s">
        <v>37</v>
      </c>
      <c r="L46" s="16">
        <v>1</v>
      </c>
      <c r="M46" s="16"/>
      <c r="N46" s="16"/>
      <c r="O46" s="16"/>
      <c r="P46" s="16"/>
      <c r="Q46" s="16"/>
      <c r="R46" s="16">
        <v>10</v>
      </c>
      <c r="S46" s="16"/>
      <c r="T46" s="16"/>
      <c r="U46" s="16">
        <v>100</v>
      </c>
      <c r="V46" s="16"/>
      <c r="W46" s="16"/>
      <c r="X46" s="16"/>
      <c r="Y46" s="16"/>
      <c r="Z46" s="16"/>
      <c r="AA46" s="16"/>
      <c r="AB46" s="16"/>
      <c r="AC46" s="16"/>
      <c r="AD46" s="16"/>
    </row>
    <row r="47" spans="1:30" s="19" customFormat="1">
      <c r="A47" s="10">
        <v>43</v>
      </c>
      <c r="B47" s="16"/>
      <c r="C47" s="16">
        <f t="shared" si="0"/>
        <v>39</v>
      </c>
      <c r="D47" s="17" t="s">
        <v>1227</v>
      </c>
      <c r="E47" s="18" t="s">
        <v>1228</v>
      </c>
      <c r="F47" s="16" t="s">
        <v>1261</v>
      </c>
      <c r="G47" s="16" t="s">
        <v>1226</v>
      </c>
      <c r="H47" s="16" t="s">
        <v>1259</v>
      </c>
      <c r="I47" s="16" t="s">
        <v>1259</v>
      </c>
      <c r="J47" s="16" t="s">
        <v>19</v>
      </c>
      <c r="K47" s="16" t="s">
        <v>37</v>
      </c>
      <c r="L47" s="16">
        <v>1</v>
      </c>
      <c r="M47" s="16"/>
      <c r="N47" s="16"/>
      <c r="O47" s="16"/>
      <c r="P47" s="16"/>
      <c r="Q47" s="16"/>
      <c r="R47" s="16"/>
      <c r="S47" s="16">
        <v>10</v>
      </c>
      <c r="T47" s="16"/>
      <c r="U47" s="16">
        <v>100</v>
      </c>
      <c r="V47" s="16"/>
      <c r="W47" s="16"/>
      <c r="X47" s="16"/>
      <c r="Y47" s="16"/>
      <c r="Z47" s="16"/>
      <c r="AA47" s="16"/>
      <c r="AB47" s="16"/>
      <c r="AC47" s="16"/>
      <c r="AD47" s="16"/>
    </row>
    <row r="48" spans="1:30" s="19" customFormat="1">
      <c r="A48" s="10">
        <v>44</v>
      </c>
      <c r="B48" s="16"/>
      <c r="C48" s="16">
        <f t="shared" si="0"/>
        <v>40</v>
      </c>
      <c r="D48" s="17" t="s">
        <v>1229</v>
      </c>
      <c r="E48" s="18" t="s">
        <v>1230</v>
      </c>
      <c r="F48" s="16" t="s">
        <v>1261</v>
      </c>
      <c r="G48" s="16" t="s">
        <v>1226</v>
      </c>
      <c r="H48" s="16" t="s">
        <v>1259</v>
      </c>
      <c r="I48" s="16" t="s">
        <v>1259</v>
      </c>
      <c r="J48" s="16" t="s">
        <v>19</v>
      </c>
      <c r="K48" s="16" t="s">
        <v>37</v>
      </c>
      <c r="L48" s="16">
        <v>1</v>
      </c>
      <c r="M48" s="16"/>
      <c r="N48" s="16"/>
      <c r="O48" s="16"/>
      <c r="P48" s="16"/>
      <c r="Q48" s="16"/>
      <c r="R48" s="16"/>
      <c r="S48" s="16">
        <v>10</v>
      </c>
      <c r="T48" s="16"/>
      <c r="U48" s="16">
        <v>100</v>
      </c>
      <c r="V48" s="16"/>
      <c r="W48" s="16"/>
      <c r="X48" s="16"/>
      <c r="Y48" s="16"/>
      <c r="Z48" s="16"/>
      <c r="AA48" s="16"/>
      <c r="AB48" s="16"/>
      <c r="AC48" s="16"/>
      <c r="AD48" s="16"/>
    </row>
    <row r="49" spans="1:30" s="19" customFormat="1">
      <c r="A49" s="10">
        <v>45</v>
      </c>
      <c r="B49" s="16"/>
      <c r="C49" s="16">
        <f t="shared" si="0"/>
        <v>41</v>
      </c>
      <c r="D49" s="17" t="s">
        <v>1231</v>
      </c>
      <c r="E49" s="18" t="s">
        <v>1232</v>
      </c>
      <c r="F49" s="16" t="s">
        <v>1261</v>
      </c>
      <c r="G49" s="16" t="s">
        <v>1226</v>
      </c>
      <c r="H49" s="16" t="s">
        <v>1259</v>
      </c>
      <c r="I49" s="16" t="s">
        <v>1259</v>
      </c>
      <c r="J49" s="16" t="s">
        <v>19</v>
      </c>
      <c r="K49" s="16" t="s">
        <v>37</v>
      </c>
      <c r="L49" s="16">
        <v>1</v>
      </c>
      <c r="M49" s="16"/>
      <c r="N49" s="16"/>
      <c r="O49" s="16"/>
      <c r="P49" s="16"/>
      <c r="Q49" s="16"/>
      <c r="R49" s="16"/>
      <c r="S49" s="16">
        <v>10</v>
      </c>
      <c r="T49" s="16"/>
      <c r="U49" s="16">
        <v>100</v>
      </c>
      <c r="V49" s="16"/>
      <c r="W49" s="16"/>
      <c r="X49" s="16"/>
      <c r="Y49" s="16"/>
      <c r="Z49" s="16"/>
      <c r="AA49" s="16"/>
      <c r="AB49" s="16"/>
      <c r="AC49" s="16"/>
      <c r="AD49" s="16"/>
    </row>
    <row r="50" spans="1:30" s="19" customFormat="1">
      <c r="A50" s="10">
        <v>46</v>
      </c>
      <c r="B50" s="16"/>
      <c r="C50" s="16">
        <f t="shared" si="0"/>
        <v>42</v>
      </c>
      <c r="D50" s="17" t="s">
        <v>1233</v>
      </c>
      <c r="E50" s="18" t="s">
        <v>1234</v>
      </c>
      <c r="F50" s="16" t="s">
        <v>1261</v>
      </c>
      <c r="G50" s="16" t="s">
        <v>1226</v>
      </c>
      <c r="H50" s="16" t="s">
        <v>1259</v>
      </c>
      <c r="I50" s="16" t="s">
        <v>1259</v>
      </c>
      <c r="J50" s="16" t="s">
        <v>19</v>
      </c>
      <c r="K50" s="16" t="s">
        <v>37</v>
      </c>
      <c r="L50" s="16">
        <v>1</v>
      </c>
      <c r="M50" s="16"/>
      <c r="N50" s="16"/>
      <c r="O50" s="16"/>
      <c r="P50" s="16"/>
      <c r="Q50" s="16"/>
      <c r="R50" s="16"/>
      <c r="S50" s="16">
        <v>10</v>
      </c>
      <c r="T50" s="16"/>
      <c r="U50" s="16">
        <v>100</v>
      </c>
      <c r="V50" s="16"/>
      <c r="W50" s="16"/>
      <c r="X50" s="16"/>
      <c r="Y50" s="16"/>
      <c r="Z50" s="16"/>
      <c r="AA50" s="16"/>
      <c r="AB50" s="16"/>
      <c r="AC50" s="16"/>
      <c r="AD50" s="16"/>
    </row>
    <row r="51" spans="1:30" s="19" customFormat="1">
      <c r="A51" s="10">
        <v>47</v>
      </c>
      <c r="B51" s="16"/>
      <c r="C51" s="16">
        <f t="shared" si="0"/>
        <v>43</v>
      </c>
      <c r="D51" s="17" t="s">
        <v>1235</v>
      </c>
      <c r="E51" s="18" t="s">
        <v>1236</v>
      </c>
      <c r="F51" s="16" t="s">
        <v>1262</v>
      </c>
      <c r="G51" s="18" t="s">
        <v>42</v>
      </c>
      <c r="H51" s="16" t="s">
        <v>1259</v>
      </c>
      <c r="I51" s="16" t="s">
        <v>1259</v>
      </c>
      <c r="J51" s="16" t="s">
        <v>19</v>
      </c>
      <c r="K51" s="16" t="s">
        <v>37</v>
      </c>
      <c r="L51" s="16">
        <v>1</v>
      </c>
      <c r="M51" s="16"/>
      <c r="N51" s="16"/>
      <c r="O51" s="16"/>
      <c r="P51" s="16"/>
      <c r="Q51" s="16"/>
      <c r="R51" s="16">
        <v>5</v>
      </c>
      <c r="S51" s="16"/>
      <c r="T51" s="16"/>
      <c r="U51" s="16">
        <v>50</v>
      </c>
      <c r="V51" s="16"/>
      <c r="W51" s="16"/>
      <c r="X51" s="16"/>
      <c r="Y51" s="16"/>
      <c r="Z51" s="16"/>
      <c r="AA51" s="16"/>
      <c r="AB51" s="16"/>
      <c r="AC51" s="16"/>
      <c r="AD51" s="16"/>
    </row>
    <row r="52" spans="1:30" s="19" customFormat="1">
      <c r="A52" s="10">
        <v>48</v>
      </c>
      <c r="B52" s="16"/>
      <c r="C52" s="16">
        <f t="shared" si="0"/>
        <v>44</v>
      </c>
      <c r="D52" s="17" t="s">
        <v>1237</v>
      </c>
      <c r="E52" s="18" t="s">
        <v>1238</v>
      </c>
      <c r="F52" s="16" t="s">
        <v>1263</v>
      </c>
      <c r="G52" s="18" t="s">
        <v>42</v>
      </c>
      <c r="H52" s="16" t="s">
        <v>1259</v>
      </c>
      <c r="I52" s="16" t="s">
        <v>1259</v>
      </c>
      <c r="J52" s="16" t="s">
        <v>19</v>
      </c>
      <c r="K52" s="16" t="s">
        <v>37</v>
      </c>
      <c r="L52" s="16">
        <v>1</v>
      </c>
      <c r="M52" s="16"/>
      <c r="N52" s="16"/>
      <c r="O52" s="16"/>
      <c r="P52" s="16"/>
      <c r="Q52" s="16"/>
      <c r="R52" s="16">
        <v>5</v>
      </c>
      <c r="S52" s="16"/>
      <c r="T52" s="16"/>
      <c r="U52" s="16">
        <v>50</v>
      </c>
      <c r="V52" s="16"/>
      <c r="W52" s="16"/>
      <c r="X52" s="16"/>
      <c r="Y52" s="16"/>
      <c r="Z52" s="16"/>
      <c r="AA52" s="16"/>
      <c r="AB52" s="16"/>
      <c r="AC52" s="16"/>
      <c r="AD52" s="16"/>
    </row>
    <row r="53" spans="1:30" s="19" customFormat="1">
      <c r="A53" s="10">
        <v>49</v>
      </c>
      <c r="B53" s="16"/>
      <c r="C53" s="16">
        <f t="shared" si="0"/>
        <v>45</v>
      </c>
      <c r="D53" s="17" t="s">
        <v>1239</v>
      </c>
      <c r="E53" s="18" t="s">
        <v>1240</v>
      </c>
      <c r="F53" s="16" t="s">
        <v>1264</v>
      </c>
      <c r="G53" s="18" t="s">
        <v>42</v>
      </c>
      <c r="H53" s="16" t="s">
        <v>1259</v>
      </c>
      <c r="I53" s="16" t="s">
        <v>1259</v>
      </c>
      <c r="J53" s="16" t="s">
        <v>19</v>
      </c>
      <c r="K53" s="16" t="s">
        <v>37</v>
      </c>
      <c r="L53" s="16">
        <v>1</v>
      </c>
      <c r="M53" s="16"/>
      <c r="N53" s="16"/>
      <c r="O53" s="16"/>
      <c r="P53" s="16"/>
      <c r="Q53" s="16"/>
      <c r="R53" s="16">
        <v>5</v>
      </c>
      <c r="S53" s="16"/>
      <c r="T53" s="16"/>
      <c r="U53" s="16">
        <v>50</v>
      </c>
      <c r="V53" s="16"/>
      <c r="W53" s="16"/>
      <c r="X53" s="16"/>
      <c r="Y53" s="16"/>
      <c r="Z53" s="16"/>
      <c r="AA53" s="16"/>
      <c r="AB53" s="16"/>
      <c r="AC53" s="16"/>
      <c r="AD53" s="16"/>
    </row>
    <row r="54" spans="1:30" s="19" customFormat="1">
      <c r="A54" s="10">
        <v>50</v>
      </c>
      <c r="B54" s="16"/>
      <c r="C54" s="16">
        <f t="shared" si="0"/>
        <v>46</v>
      </c>
      <c r="D54" s="17" t="s">
        <v>1241</v>
      </c>
      <c r="E54" s="18" t="s">
        <v>1242</v>
      </c>
      <c r="F54" s="16" t="s">
        <v>1265</v>
      </c>
      <c r="G54" s="18" t="s">
        <v>42</v>
      </c>
      <c r="H54" s="16" t="s">
        <v>1259</v>
      </c>
      <c r="I54" s="16" t="s">
        <v>1259</v>
      </c>
      <c r="J54" s="16" t="s">
        <v>19</v>
      </c>
      <c r="K54" s="16" t="s">
        <v>37</v>
      </c>
      <c r="L54" s="16">
        <v>1</v>
      </c>
      <c r="M54" s="16"/>
      <c r="N54" s="16"/>
      <c r="O54" s="16"/>
      <c r="P54" s="16"/>
      <c r="Q54" s="16"/>
      <c r="R54" s="16">
        <v>5</v>
      </c>
      <c r="S54" s="16"/>
      <c r="T54" s="16"/>
      <c r="U54" s="16">
        <v>50</v>
      </c>
      <c r="V54" s="16"/>
      <c r="W54" s="16"/>
      <c r="X54" s="16"/>
      <c r="Y54" s="16"/>
      <c r="Z54" s="16"/>
      <c r="AA54" s="16"/>
      <c r="AB54" s="16"/>
      <c r="AC54" s="16"/>
      <c r="AD54" s="16"/>
    </row>
    <row r="55" spans="1:30" s="19" customFormat="1">
      <c r="A55" s="10">
        <v>51</v>
      </c>
      <c r="B55" s="16"/>
      <c r="C55" s="16">
        <f t="shared" si="0"/>
        <v>47</v>
      </c>
      <c r="D55" s="17" t="s">
        <v>1243</v>
      </c>
      <c r="E55" s="18" t="s">
        <v>1244</v>
      </c>
      <c r="F55" s="16" t="s">
        <v>1266</v>
      </c>
      <c r="G55" s="18" t="s">
        <v>42</v>
      </c>
      <c r="H55" s="16" t="s">
        <v>1259</v>
      </c>
      <c r="I55" s="16" t="s">
        <v>1259</v>
      </c>
      <c r="J55" s="16" t="s">
        <v>19</v>
      </c>
      <c r="K55" s="16" t="s">
        <v>37</v>
      </c>
      <c r="L55" s="16">
        <v>1</v>
      </c>
      <c r="M55" s="16"/>
      <c r="N55" s="16"/>
      <c r="O55" s="16"/>
      <c r="P55" s="16"/>
      <c r="Q55" s="16"/>
      <c r="R55" s="16">
        <v>5</v>
      </c>
      <c r="S55" s="16"/>
      <c r="T55" s="16"/>
      <c r="U55" s="16">
        <v>50</v>
      </c>
      <c r="V55" s="16"/>
      <c r="W55" s="16"/>
      <c r="X55" s="16"/>
      <c r="Y55" s="16"/>
      <c r="Z55" s="16"/>
      <c r="AA55" s="16"/>
      <c r="AB55" s="16"/>
      <c r="AC55" s="16"/>
      <c r="AD55" s="16"/>
    </row>
    <row r="56" spans="1:30" s="19" customFormat="1">
      <c r="A56" s="10">
        <v>52</v>
      </c>
      <c r="B56" s="16"/>
      <c r="C56" s="16">
        <f t="shared" si="0"/>
        <v>48</v>
      </c>
      <c r="D56" s="17" t="s">
        <v>1245</v>
      </c>
      <c r="E56" s="18" t="s">
        <v>1246</v>
      </c>
      <c r="F56" s="16" t="s">
        <v>1267</v>
      </c>
      <c r="G56" s="18" t="s">
        <v>42</v>
      </c>
      <c r="H56" s="16" t="s">
        <v>1259</v>
      </c>
      <c r="I56" s="16" t="s">
        <v>1259</v>
      </c>
      <c r="J56" s="16" t="s">
        <v>19</v>
      </c>
      <c r="K56" s="16" t="s">
        <v>37</v>
      </c>
      <c r="L56" s="16">
        <v>1</v>
      </c>
      <c r="M56" s="16"/>
      <c r="N56" s="16"/>
      <c r="O56" s="16"/>
      <c r="P56" s="16"/>
      <c r="Q56" s="16"/>
      <c r="R56" s="16">
        <v>5</v>
      </c>
      <c r="S56" s="16"/>
      <c r="T56" s="16"/>
      <c r="U56" s="16">
        <v>50</v>
      </c>
      <c r="V56" s="16"/>
      <c r="W56" s="16"/>
      <c r="X56" s="16"/>
      <c r="Y56" s="16"/>
      <c r="Z56" s="16"/>
      <c r="AA56" s="16"/>
      <c r="AB56" s="16"/>
      <c r="AC56" s="16"/>
      <c r="AD56" s="16"/>
    </row>
    <row r="57" spans="1:30" s="19" customFormat="1">
      <c r="A57" s="10">
        <v>53</v>
      </c>
      <c r="B57" s="16"/>
      <c r="C57" s="16">
        <f t="shared" si="0"/>
        <v>49</v>
      </c>
      <c r="D57" s="20" t="s">
        <v>1247</v>
      </c>
      <c r="E57" s="16" t="s">
        <v>1248</v>
      </c>
      <c r="F57" s="16" t="s">
        <v>1268</v>
      </c>
      <c r="G57" s="16" t="s">
        <v>1260</v>
      </c>
      <c r="H57" s="16" t="s">
        <v>1259</v>
      </c>
      <c r="I57" s="16" t="s">
        <v>1259</v>
      </c>
      <c r="J57" s="16" t="s">
        <v>19</v>
      </c>
      <c r="K57" s="16" t="s">
        <v>37</v>
      </c>
      <c r="L57" s="16">
        <v>1</v>
      </c>
      <c r="M57" s="16"/>
      <c r="N57" s="16"/>
      <c r="O57" s="16"/>
      <c r="P57" s="16"/>
      <c r="Q57" s="16"/>
      <c r="R57" s="16">
        <v>10</v>
      </c>
      <c r="S57" s="16"/>
      <c r="T57" s="16"/>
      <c r="U57" s="16">
        <v>100</v>
      </c>
      <c r="V57" s="16"/>
      <c r="W57" s="16"/>
      <c r="X57" s="16"/>
      <c r="Y57" s="16"/>
      <c r="Z57" s="16"/>
      <c r="AA57" s="16"/>
      <c r="AB57" s="16"/>
      <c r="AC57" s="16"/>
      <c r="AD57" s="16"/>
    </row>
    <row r="58" spans="1:30" s="19" customFormat="1">
      <c r="A58" s="10">
        <v>54</v>
      </c>
      <c r="B58" s="16"/>
      <c r="C58" s="16">
        <f t="shared" si="0"/>
        <v>50</v>
      </c>
      <c r="D58" s="20" t="s">
        <v>1249</v>
      </c>
      <c r="E58" s="16" t="s">
        <v>1250</v>
      </c>
      <c r="F58" s="16" t="s">
        <v>1268</v>
      </c>
      <c r="G58" s="16" t="s">
        <v>1260</v>
      </c>
      <c r="H58" s="16" t="s">
        <v>1259</v>
      </c>
      <c r="I58" s="16" t="s">
        <v>1259</v>
      </c>
      <c r="J58" s="16" t="s">
        <v>19</v>
      </c>
      <c r="K58" s="16" t="s">
        <v>37</v>
      </c>
      <c r="L58" s="16">
        <v>1</v>
      </c>
      <c r="M58" s="16"/>
      <c r="N58" s="16"/>
      <c r="O58" s="16"/>
      <c r="P58" s="16"/>
      <c r="Q58" s="16"/>
      <c r="R58" s="16">
        <v>10</v>
      </c>
      <c r="S58" s="16"/>
      <c r="T58" s="16"/>
      <c r="U58" s="16">
        <v>100</v>
      </c>
      <c r="V58" s="16"/>
      <c r="W58" s="16"/>
      <c r="X58" s="16"/>
      <c r="Y58" s="16"/>
      <c r="Z58" s="16"/>
      <c r="AA58" s="16"/>
      <c r="AB58" s="16"/>
      <c r="AC58" s="16"/>
      <c r="AD58" s="16"/>
    </row>
    <row r="59" spans="1:30" s="19" customFormat="1">
      <c r="A59" s="10">
        <v>55</v>
      </c>
      <c r="B59" s="16"/>
      <c r="C59" s="16">
        <f t="shared" si="0"/>
        <v>51</v>
      </c>
      <c r="D59" s="20" t="s">
        <v>1251</v>
      </c>
      <c r="E59" s="16" t="s">
        <v>1252</v>
      </c>
      <c r="F59" s="16" t="s">
        <v>1268</v>
      </c>
      <c r="G59" s="16" t="s">
        <v>1260</v>
      </c>
      <c r="H59" s="16" t="s">
        <v>1259</v>
      </c>
      <c r="I59" s="16" t="s">
        <v>1259</v>
      </c>
      <c r="J59" s="16" t="s">
        <v>19</v>
      </c>
      <c r="K59" s="16" t="s">
        <v>37</v>
      </c>
      <c r="L59" s="16">
        <v>1</v>
      </c>
      <c r="M59" s="16"/>
      <c r="N59" s="16"/>
      <c r="O59" s="16"/>
      <c r="P59" s="16"/>
      <c r="Q59" s="16"/>
      <c r="R59" s="16">
        <v>10</v>
      </c>
      <c r="S59" s="16"/>
      <c r="T59" s="16"/>
      <c r="U59" s="16">
        <v>100</v>
      </c>
      <c r="V59" s="16"/>
      <c r="W59" s="16"/>
      <c r="X59" s="16"/>
      <c r="Y59" s="16"/>
      <c r="Z59" s="16"/>
      <c r="AA59" s="16"/>
      <c r="AB59" s="16"/>
      <c r="AC59" s="16"/>
      <c r="AD59" s="16"/>
    </row>
    <row r="60" spans="1:30" s="19" customFormat="1">
      <c r="A60" s="10">
        <v>56</v>
      </c>
      <c r="B60" s="16"/>
      <c r="C60" s="16">
        <f t="shared" si="0"/>
        <v>52</v>
      </c>
      <c r="D60" s="20" t="s">
        <v>1253</v>
      </c>
      <c r="E60" s="16" t="s">
        <v>1254</v>
      </c>
      <c r="F60" s="16" t="s">
        <v>1268</v>
      </c>
      <c r="G60" s="16" t="s">
        <v>1260</v>
      </c>
      <c r="H60" s="16" t="s">
        <v>1259</v>
      </c>
      <c r="I60" s="16" t="s">
        <v>1259</v>
      </c>
      <c r="J60" s="16" t="s">
        <v>19</v>
      </c>
      <c r="K60" s="16" t="s">
        <v>37</v>
      </c>
      <c r="L60" s="16">
        <v>1</v>
      </c>
      <c r="M60" s="16"/>
      <c r="N60" s="16"/>
      <c r="O60" s="16"/>
      <c r="P60" s="16"/>
      <c r="Q60" s="16"/>
      <c r="R60" s="16">
        <v>10</v>
      </c>
      <c r="S60" s="16"/>
      <c r="T60" s="16"/>
      <c r="U60" s="16">
        <v>100</v>
      </c>
      <c r="V60" s="16"/>
      <c r="W60" s="16"/>
      <c r="X60" s="16"/>
      <c r="Y60" s="16"/>
      <c r="Z60" s="16"/>
      <c r="AA60" s="16"/>
      <c r="AB60" s="16"/>
      <c r="AC60" s="16"/>
      <c r="AD60" s="16"/>
    </row>
    <row r="61" spans="1:30" s="19" customFormat="1">
      <c r="A61" s="10">
        <v>57</v>
      </c>
      <c r="B61" s="16"/>
      <c r="C61" s="16">
        <f t="shared" si="0"/>
        <v>53</v>
      </c>
      <c r="D61" s="20" t="s">
        <v>1255</v>
      </c>
      <c r="E61" s="16" t="s">
        <v>1256</v>
      </c>
      <c r="F61" s="16" t="s">
        <v>1268</v>
      </c>
      <c r="G61" s="16" t="s">
        <v>1260</v>
      </c>
      <c r="H61" s="16" t="s">
        <v>1259</v>
      </c>
      <c r="I61" s="16" t="s">
        <v>1259</v>
      </c>
      <c r="J61" s="16" t="s">
        <v>19</v>
      </c>
      <c r="K61" s="16" t="s">
        <v>37</v>
      </c>
      <c r="L61" s="16">
        <v>1</v>
      </c>
      <c r="M61" s="16"/>
      <c r="N61" s="16"/>
      <c r="O61" s="16"/>
      <c r="P61" s="16"/>
      <c r="Q61" s="16"/>
      <c r="R61" s="16">
        <v>10</v>
      </c>
      <c r="S61" s="16"/>
      <c r="T61" s="16"/>
      <c r="U61" s="16">
        <v>100</v>
      </c>
      <c r="V61" s="16"/>
      <c r="W61" s="16"/>
      <c r="X61" s="16"/>
      <c r="Y61" s="16"/>
      <c r="Z61" s="16"/>
      <c r="AA61" s="16"/>
      <c r="AB61" s="16"/>
      <c r="AC61" s="16"/>
      <c r="AD61" s="16"/>
    </row>
    <row r="62" spans="1:30" s="19" customFormat="1">
      <c r="A62" s="10">
        <v>58</v>
      </c>
      <c r="B62" s="16"/>
      <c r="C62" s="16">
        <f t="shared" si="0"/>
        <v>54</v>
      </c>
      <c r="D62" s="20" t="s">
        <v>1257</v>
      </c>
      <c r="E62" s="16" t="s">
        <v>1258</v>
      </c>
      <c r="F62" s="16" t="s">
        <v>1268</v>
      </c>
      <c r="G62" s="16" t="s">
        <v>1260</v>
      </c>
      <c r="H62" s="16" t="s">
        <v>1259</v>
      </c>
      <c r="I62" s="16" t="s">
        <v>1259</v>
      </c>
      <c r="J62" s="16" t="s">
        <v>19</v>
      </c>
      <c r="K62" s="16" t="s">
        <v>37</v>
      </c>
      <c r="L62" s="16">
        <v>1</v>
      </c>
      <c r="M62" s="16"/>
      <c r="N62" s="16"/>
      <c r="O62" s="16"/>
      <c r="P62" s="16"/>
      <c r="Q62" s="16"/>
      <c r="R62" s="16">
        <v>10</v>
      </c>
      <c r="S62" s="16"/>
      <c r="T62" s="16"/>
      <c r="U62" s="16">
        <v>100</v>
      </c>
      <c r="V62" s="16"/>
      <c r="W62" s="16"/>
      <c r="X62" s="16"/>
      <c r="Y62" s="16"/>
      <c r="Z62" s="16"/>
      <c r="AA62" s="16"/>
      <c r="AB62" s="16"/>
      <c r="AC62" s="16"/>
      <c r="AD62" s="16"/>
    </row>
    <row r="63" spans="1:30" s="19" customFormat="1">
      <c r="A63" s="10">
        <v>59</v>
      </c>
      <c r="B63" s="16"/>
      <c r="C63" s="16">
        <f t="shared" si="0"/>
        <v>55</v>
      </c>
      <c r="D63" s="20" t="s">
        <v>41</v>
      </c>
      <c r="E63" s="16" t="s">
        <v>1269</v>
      </c>
      <c r="F63" s="16" t="s">
        <v>1274</v>
      </c>
      <c r="G63" s="18" t="s">
        <v>42</v>
      </c>
      <c r="H63" s="16" t="s">
        <v>1259</v>
      </c>
      <c r="I63" s="16" t="s">
        <v>1259</v>
      </c>
      <c r="J63" s="16" t="s">
        <v>19</v>
      </c>
      <c r="K63" s="16" t="s">
        <v>36</v>
      </c>
      <c r="L63" s="16">
        <v>1</v>
      </c>
      <c r="M63" s="16"/>
      <c r="N63" s="16"/>
      <c r="O63" s="16"/>
      <c r="P63" s="16"/>
      <c r="Q63" s="16"/>
      <c r="R63" s="16"/>
      <c r="S63" s="16"/>
      <c r="T63" s="16"/>
      <c r="U63" s="16">
        <v>24</v>
      </c>
      <c r="V63" s="16"/>
      <c r="W63" s="16"/>
      <c r="X63" s="16"/>
      <c r="Y63" s="16"/>
      <c r="Z63" s="16"/>
      <c r="AA63" s="16"/>
      <c r="AB63" s="16"/>
      <c r="AC63" s="16"/>
      <c r="AD63" s="16"/>
    </row>
    <row r="64" spans="1:30" s="19" customFormat="1">
      <c r="A64" s="10">
        <v>60</v>
      </c>
      <c r="B64" s="16"/>
      <c r="C64" s="16">
        <f t="shared" si="0"/>
        <v>56</v>
      </c>
      <c r="D64" s="20" t="s">
        <v>1270</v>
      </c>
      <c r="E64" s="16" t="s">
        <v>1271</v>
      </c>
      <c r="F64" s="16" t="s">
        <v>1274</v>
      </c>
      <c r="G64" s="18" t="s">
        <v>42</v>
      </c>
      <c r="H64" s="16" t="s">
        <v>1259</v>
      </c>
      <c r="I64" s="16" t="s">
        <v>1259</v>
      </c>
      <c r="J64" s="16" t="s">
        <v>19</v>
      </c>
      <c r="K64" s="16" t="s">
        <v>36</v>
      </c>
      <c r="L64" s="16">
        <v>1</v>
      </c>
      <c r="M64" s="16"/>
      <c r="N64" s="16"/>
      <c r="O64" s="16"/>
      <c r="P64" s="16"/>
      <c r="Q64" s="16"/>
      <c r="R64" s="16"/>
      <c r="S64" s="16"/>
      <c r="T64" s="16"/>
      <c r="U64" s="16">
        <v>24</v>
      </c>
      <c r="V64" s="16"/>
      <c r="W64" s="16"/>
      <c r="X64" s="16"/>
      <c r="Y64" s="16"/>
      <c r="Z64" s="16"/>
      <c r="AA64" s="16"/>
      <c r="AB64" s="16"/>
      <c r="AC64" s="16"/>
      <c r="AD64" s="16"/>
    </row>
    <row r="65" spans="1:30" s="19" customFormat="1">
      <c r="A65" s="10">
        <v>61</v>
      </c>
      <c r="B65" s="16"/>
      <c r="C65" s="16">
        <f t="shared" si="0"/>
        <v>57</v>
      </c>
      <c r="D65" s="20" t="s">
        <v>1272</v>
      </c>
      <c r="E65" s="16" t="s">
        <v>1273</v>
      </c>
      <c r="F65" s="16" t="s">
        <v>1274</v>
      </c>
      <c r="G65" s="18" t="s">
        <v>42</v>
      </c>
      <c r="H65" s="16" t="s">
        <v>1259</v>
      </c>
      <c r="I65" s="16" t="s">
        <v>1259</v>
      </c>
      <c r="J65" s="16" t="s">
        <v>19</v>
      </c>
      <c r="K65" s="16" t="s">
        <v>36</v>
      </c>
      <c r="L65" s="16">
        <v>1</v>
      </c>
      <c r="M65" s="16"/>
      <c r="N65" s="16"/>
      <c r="O65" s="16"/>
      <c r="P65" s="16"/>
      <c r="Q65" s="16"/>
      <c r="R65" s="16"/>
      <c r="S65" s="16"/>
      <c r="T65" s="16"/>
      <c r="U65" s="16">
        <v>24</v>
      </c>
      <c r="V65" s="16"/>
      <c r="W65" s="16"/>
      <c r="X65" s="16"/>
      <c r="Y65" s="16"/>
      <c r="Z65" s="16"/>
      <c r="AA65" s="16"/>
      <c r="AB65" s="16"/>
      <c r="AC65" s="16"/>
      <c r="AD65" s="16"/>
    </row>
    <row r="66" spans="1:30" s="15" customFormat="1">
      <c r="A66" s="10">
        <v>62</v>
      </c>
      <c r="B66" s="14"/>
      <c r="C66" s="14">
        <f t="shared" si="0"/>
        <v>58</v>
      </c>
      <c r="D66" s="21">
        <v>1002.001</v>
      </c>
      <c r="E66" s="22" t="s">
        <v>1275</v>
      </c>
      <c r="F66" s="14" t="s">
        <v>1279</v>
      </c>
      <c r="G66" s="14" t="s">
        <v>1279</v>
      </c>
      <c r="H66" s="14" t="s">
        <v>1280</v>
      </c>
      <c r="I66" s="14" t="s">
        <v>1280</v>
      </c>
      <c r="J66" s="14" t="s">
        <v>19</v>
      </c>
      <c r="K66" s="14" t="s">
        <v>37</v>
      </c>
      <c r="L66" s="14">
        <v>1</v>
      </c>
      <c r="M66" s="14"/>
      <c r="N66" s="14"/>
      <c r="O66" s="14"/>
      <c r="P66" s="14"/>
      <c r="Q66" s="14"/>
      <c r="R66" s="14">
        <v>60</v>
      </c>
      <c r="S66" s="14"/>
      <c r="T66" s="14"/>
      <c r="U66" s="14"/>
      <c r="V66" s="14"/>
      <c r="W66" s="14"/>
      <c r="X66" s="14"/>
      <c r="Y66" s="14"/>
      <c r="Z66" s="14">
        <v>96000</v>
      </c>
      <c r="AA66" s="14"/>
      <c r="AB66" s="14">
        <v>1600</v>
      </c>
      <c r="AC66" s="14"/>
      <c r="AD66" s="14"/>
    </row>
    <row r="67" spans="1:30" s="15" customFormat="1">
      <c r="A67" s="10">
        <v>63</v>
      </c>
      <c r="B67" s="14"/>
      <c r="C67" s="14">
        <f t="shared" si="0"/>
        <v>59</v>
      </c>
      <c r="D67" s="21">
        <v>1002.002</v>
      </c>
      <c r="E67" s="22" t="s">
        <v>1276</v>
      </c>
      <c r="F67" s="14" t="s">
        <v>1279</v>
      </c>
      <c r="G67" s="14" t="s">
        <v>1279</v>
      </c>
      <c r="H67" s="14" t="s">
        <v>1280</v>
      </c>
      <c r="I67" s="14" t="s">
        <v>1280</v>
      </c>
      <c r="J67" s="14" t="s">
        <v>19</v>
      </c>
      <c r="K67" s="14" t="s">
        <v>37</v>
      </c>
      <c r="L67" s="14">
        <v>1</v>
      </c>
      <c r="M67" s="14"/>
      <c r="N67" s="14"/>
      <c r="O67" s="14"/>
      <c r="P67" s="14"/>
      <c r="Q67" s="14"/>
      <c r="R67" s="14">
        <v>60</v>
      </c>
      <c r="S67" s="14"/>
      <c r="T67" s="14"/>
      <c r="U67" s="14"/>
      <c r="V67" s="14"/>
      <c r="W67" s="14"/>
      <c r="X67" s="14"/>
      <c r="Y67" s="14"/>
      <c r="Z67" s="14">
        <v>96000</v>
      </c>
      <c r="AA67" s="14"/>
      <c r="AB67" s="14">
        <v>1600</v>
      </c>
      <c r="AC67" s="14"/>
      <c r="AD67" s="14"/>
    </row>
    <row r="68" spans="1:30" s="15" customFormat="1">
      <c r="A68" s="10">
        <v>64</v>
      </c>
      <c r="B68" s="14"/>
      <c r="C68" s="14">
        <f t="shared" si="0"/>
        <v>60</v>
      </c>
      <c r="D68" s="21">
        <v>1002.003</v>
      </c>
      <c r="E68" s="22" t="s">
        <v>1277</v>
      </c>
      <c r="F68" s="14" t="s">
        <v>1279</v>
      </c>
      <c r="G68" s="14" t="s">
        <v>1279</v>
      </c>
      <c r="H68" s="14" t="s">
        <v>1280</v>
      </c>
      <c r="I68" s="14" t="s">
        <v>1280</v>
      </c>
      <c r="J68" s="14" t="s">
        <v>19</v>
      </c>
      <c r="K68" s="14" t="s">
        <v>37</v>
      </c>
      <c r="L68" s="14">
        <v>1</v>
      </c>
      <c r="M68" s="14"/>
      <c r="N68" s="14"/>
      <c r="O68" s="14"/>
      <c r="P68" s="14"/>
      <c r="Q68" s="14"/>
      <c r="R68" s="14">
        <v>4</v>
      </c>
      <c r="S68" s="14"/>
      <c r="T68" s="14"/>
      <c r="U68" s="14"/>
      <c r="V68" s="14"/>
      <c r="W68" s="14"/>
      <c r="X68" s="14"/>
      <c r="Y68" s="14"/>
      <c r="Z68" s="14">
        <v>123000</v>
      </c>
      <c r="AA68" s="14"/>
      <c r="AB68" s="14">
        <v>30750</v>
      </c>
      <c r="AC68" s="14"/>
      <c r="AD68" s="14"/>
    </row>
    <row r="69" spans="1:30" s="15" customFormat="1">
      <c r="A69" s="10">
        <v>65</v>
      </c>
      <c r="B69" s="14"/>
      <c r="C69" s="14">
        <f t="shared" si="0"/>
        <v>61</v>
      </c>
      <c r="D69" s="21">
        <v>1002.004</v>
      </c>
      <c r="E69" s="22" t="s">
        <v>1278</v>
      </c>
      <c r="F69" s="14" t="s">
        <v>1279</v>
      </c>
      <c r="G69" s="14" t="s">
        <v>1279</v>
      </c>
      <c r="H69" s="14" t="s">
        <v>1280</v>
      </c>
      <c r="I69" s="14" t="s">
        <v>1280</v>
      </c>
      <c r="J69" s="14" t="s">
        <v>19</v>
      </c>
      <c r="K69" s="14" t="s">
        <v>37</v>
      </c>
      <c r="L69" s="14">
        <v>1</v>
      </c>
      <c r="M69" s="14"/>
      <c r="N69" s="14"/>
      <c r="O69" s="14"/>
      <c r="P69" s="14"/>
      <c r="Q69" s="14"/>
      <c r="R69" s="14">
        <v>4</v>
      </c>
      <c r="S69" s="14"/>
      <c r="T69" s="14"/>
      <c r="U69" s="14"/>
      <c r="V69" s="14"/>
      <c r="W69" s="14"/>
      <c r="X69" s="14"/>
      <c r="Y69" s="14"/>
      <c r="Z69" s="14">
        <v>123000</v>
      </c>
      <c r="AA69" s="14"/>
      <c r="AB69" s="14">
        <v>30750</v>
      </c>
      <c r="AC69" s="14"/>
      <c r="AD69" s="14"/>
    </row>
    <row r="70" spans="1:30" s="15" customFormat="1" ht="15.75" thickBot="1">
      <c r="A70" s="10">
        <v>66</v>
      </c>
      <c r="B70" s="14"/>
      <c r="C70" s="37">
        <f t="shared" si="0"/>
        <v>62</v>
      </c>
      <c r="D70" s="23">
        <v>1002.021</v>
      </c>
      <c r="E70" s="24" t="s">
        <v>1281</v>
      </c>
      <c r="F70" s="14" t="s">
        <v>1279</v>
      </c>
      <c r="G70" s="14" t="s">
        <v>1279</v>
      </c>
      <c r="H70" s="14" t="s">
        <v>1280</v>
      </c>
      <c r="I70" s="14" t="s">
        <v>1280</v>
      </c>
      <c r="J70" s="14" t="s">
        <v>19</v>
      </c>
      <c r="K70" s="14" t="s">
        <v>37</v>
      </c>
      <c r="L70" s="14">
        <v>1</v>
      </c>
      <c r="M70" s="14"/>
      <c r="N70" s="14"/>
      <c r="O70" s="14"/>
      <c r="P70" s="14"/>
      <c r="Q70" s="14"/>
      <c r="R70" s="14">
        <v>12</v>
      </c>
      <c r="S70" s="14"/>
      <c r="T70" s="14"/>
      <c r="U70" s="14"/>
      <c r="V70" s="14"/>
      <c r="W70" s="14"/>
      <c r="X70" s="14"/>
      <c r="Y70" s="14"/>
      <c r="Z70" s="14">
        <v>115200</v>
      </c>
      <c r="AA70" s="14"/>
      <c r="AB70" s="14">
        <v>9600</v>
      </c>
      <c r="AC70" s="14"/>
      <c r="AD70" s="14"/>
    </row>
    <row r="71" spans="1:30" s="11" customFormat="1">
      <c r="A71" s="10">
        <v>67</v>
      </c>
      <c r="B71" s="10"/>
      <c r="C71" s="10">
        <f t="shared" si="0"/>
        <v>63</v>
      </c>
      <c r="D71" s="10" t="s">
        <v>1282</v>
      </c>
      <c r="E71" s="10" t="s">
        <v>1283</v>
      </c>
      <c r="F71" s="10" t="s">
        <v>1284</v>
      </c>
      <c r="G71" s="10" t="s">
        <v>1284</v>
      </c>
      <c r="H71" s="10"/>
      <c r="I71" s="10" t="s">
        <v>1306</v>
      </c>
      <c r="J71" s="10" t="s">
        <v>25</v>
      </c>
      <c r="K71" s="10" t="s">
        <v>37</v>
      </c>
      <c r="L71" s="10">
        <v>1</v>
      </c>
      <c r="M71" s="10"/>
      <c r="N71" s="10"/>
      <c r="O71" s="10"/>
      <c r="P71" s="10"/>
      <c r="Q71" s="10"/>
      <c r="R71" s="10"/>
      <c r="S71" s="10"/>
      <c r="T71" s="10"/>
      <c r="U71" s="25">
        <v>24</v>
      </c>
      <c r="V71" s="10"/>
      <c r="W71" s="10"/>
      <c r="X71" s="10"/>
      <c r="Y71" s="10"/>
      <c r="Z71" s="25">
        <f>176600*92%</f>
        <v>162472</v>
      </c>
      <c r="AA71" s="10"/>
      <c r="AB71" s="10"/>
      <c r="AC71" s="10"/>
      <c r="AD71" s="10"/>
    </row>
    <row r="72" spans="1:30" s="11" customFormat="1">
      <c r="A72" s="10">
        <v>68</v>
      </c>
      <c r="B72" s="10"/>
      <c r="C72" s="10">
        <f t="shared" si="0"/>
        <v>64</v>
      </c>
      <c r="D72" s="10" t="s">
        <v>1285</v>
      </c>
      <c r="E72" s="10" t="s">
        <v>1286</v>
      </c>
      <c r="F72" s="10" t="s">
        <v>1287</v>
      </c>
      <c r="G72" s="10" t="s">
        <v>1287</v>
      </c>
      <c r="H72" s="10"/>
      <c r="I72" s="10" t="s">
        <v>1306</v>
      </c>
      <c r="J72" s="10" t="s">
        <v>25</v>
      </c>
      <c r="K72" s="10" t="s">
        <v>37</v>
      </c>
      <c r="L72" s="10">
        <v>1</v>
      </c>
      <c r="M72" s="10"/>
      <c r="N72" s="10"/>
      <c r="O72" s="10"/>
      <c r="P72" s="10"/>
      <c r="Q72" s="10"/>
      <c r="R72" s="10"/>
      <c r="S72" s="10"/>
      <c r="T72" s="10"/>
      <c r="U72" s="25">
        <v>6</v>
      </c>
      <c r="V72" s="10"/>
      <c r="W72" s="10"/>
      <c r="X72" s="10"/>
      <c r="Y72" s="10"/>
      <c r="Z72" s="25">
        <f>115200*92%</f>
        <v>105984</v>
      </c>
      <c r="AA72" s="10"/>
      <c r="AB72" s="10"/>
      <c r="AC72" s="10"/>
      <c r="AD72" s="10"/>
    </row>
    <row r="73" spans="1:30" s="11" customFormat="1">
      <c r="A73" s="10">
        <v>69</v>
      </c>
      <c r="B73" s="10"/>
      <c r="C73" s="10">
        <f t="shared" si="0"/>
        <v>65</v>
      </c>
      <c r="D73" s="10" t="s">
        <v>1288</v>
      </c>
      <c r="E73" s="10" t="s">
        <v>1289</v>
      </c>
      <c r="F73" s="10" t="s">
        <v>1287</v>
      </c>
      <c r="G73" s="10" t="s">
        <v>1287</v>
      </c>
      <c r="H73" s="10"/>
      <c r="I73" s="10" t="s">
        <v>1306</v>
      </c>
      <c r="J73" s="10" t="s">
        <v>25</v>
      </c>
      <c r="K73" s="10" t="s">
        <v>37</v>
      </c>
      <c r="L73" s="10">
        <v>1</v>
      </c>
      <c r="M73" s="10"/>
      <c r="N73" s="10"/>
      <c r="O73" s="10"/>
      <c r="P73" s="10"/>
      <c r="Q73" s="10"/>
      <c r="R73" s="10"/>
      <c r="S73" s="10"/>
      <c r="T73" s="10"/>
      <c r="U73" s="25">
        <v>6</v>
      </c>
      <c r="V73" s="10"/>
      <c r="W73" s="10"/>
      <c r="X73" s="10"/>
      <c r="Y73" s="10"/>
      <c r="Z73" s="25">
        <f>115200*92%</f>
        <v>105984</v>
      </c>
      <c r="AA73" s="10"/>
      <c r="AB73" s="10"/>
      <c r="AC73" s="10"/>
      <c r="AD73" s="10"/>
    </row>
    <row r="74" spans="1:30" s="11" customFormat="1">
      <c r="A74" s="10">
        <v>70</v>
      </c>
      <c r="B74" s="10"/>
      <c r="C74" s="10">
        <f t="shared" si="0"/>
        <v>66</v>
      </c>
      <c r="D74" s="10" t="s">
        <v>1290</v>
      </c>
      <c r="E74" s="10" t="s">
        <v>1291</v>
      </c>
      <c r="F74" s="10" t="s">
        <v>1287</v>
      </c>
      <c r="G74" s="10" t="s">
        <v>1287</v>
      </c>
      <c r="H74" s="10"/>
      <c r="I74" s="10" t="s">
        <v>1306</v>
      </c>
      <c r="J74" s="10" t="s">
        <v>25</v>
      </c>
      <c r="K74" s="10" t="s">
        <v>37</v>
      </c>
      <c r="L74" s="10">
        <v>1</v>
      </c>
      <c r="M74" s="10"/>
      <c r="N74" s="10"/>
      <c r="O74" s="10"/>
      <c r="P74" s="10"/>
      <c r="Q74" s="10"/>
      <c r="R74" s="10"/>
      <c r="S74" s="10"/>
      <c r="T74" s="10"/>
      <c r="U74" s="25">
        <v>20</v>
      </c>
      <c r="V74" s="10"/>
      <c r="W74" s="10"/>
      <c r="X74" s="10"/>
      <c r="Y74" s="10"/>
      <c r="Z74" s="25">
        <f>281410*92%</f>
        <v>258897.2</v>
      </c>
      <c r="AA74" s="10"/>
      <c r="AB74" s="10"/>
      <c r="AC74" s="10"/>
      <c r="AD74" s="10"/>
    </row>
    <row r="75" spans="1:30" s="11" customFormat="1">
      <c r="A75" s="10">
        <v>71</v>
      </c>
      <c r="B75" s="10"/>
      <c r="C75" s="10">
        <f t="shared" ref="C75:C130" si="1">C74+1</f>
        <v>67</v>
      </c>
      <c r="D75" s="10" t="s">
        <v>1292</v>
      </c>
      <c r="E75" s="10" t="s">
        <v>1293</v>
      </c>
      <c r="F75" s="10" t="s">
        <v>1287</v>
      </c>
      <c r="G75" s="10" t="s">
        <v>1287</v>
      </c>
      <c r="H75" s="10"/>
      <c r="I75" s="10" t="s">
        <v>1306</v>
      </c>
      <c r="J75" s="10" t="s">
        <v>25</v>
      </c>
      <c r="K75" s="10" t="s">
        <v>37</v>
      </c>
      <c r="L75" s="10">
        <v>1</v>
      </c>
      <c r="M75" s="10"/>
      <c r="N75" s="10"/>
      <c r="O75" s="10"/>
      <c r="P75" s="10"/>
      <c r="Q75" s="10"/>
      <c r="R75" s="10"/>
      <c r="S75" s="10"/>
      <c r="T75" s="10"/>
      <c r="U75" s="25">
        <v>20</v>
      </c>
      <c r="V75" s="10"/>
      <c r="W75" s="10"/>
      <c r="X75" s="10"/>
      <c r="Y75" s="10"/>
      <c r="Z75" s="25">
        <f>374500*92%</f>
        <v>344540</v>
      </c>
      <c r="AA75" s="10"/>
      <c r="AB75" s="10"/>
      <c r="AC75" s="10"/>
      <c r="AD75" s="10"/>
    </row>
    <row r="76" spans="1:30" s="11" customFormat="1">
      <c r="A76" s="10">
        <v>72</v>
      </c>
      <c r="B76" s="10"/>
      <c r="C76" s="10">
        <f t="shared" si="1"/>
        <v>68</v>
      </c>
      <c r="D76" s="10" t="s">
        <v>1294</v>
      </c>
      <c r="E76" s="10" t="s">
        <v>1295</v>
      </c>
      <c r="F76" s="10" t="s">
        <v>1287</v>
      </c>
      <c r="G76" s="10" t="s">
        <v>1287</v>
      </c>
      <c r="H76" s="10"/>
      <c r="I76" s="10" t="s">
        <v>1306</v>
      </c>
      <c r="J76" s="10" t="s">
        <v>25</v>
      </c>
      <c r="K76" s="10" t="s">
        <v>37</v>
      </c>
      <c r="L76" s="10">
        <v>1</v>
      </c>
      <c r="M76" s="10"/>
      <c r="N76" s="10"/>
      <c r="O76" s="10"/>
      <c r="P76" s="10"/>
      <c r="Q76" s="10"/>
      <c r="R76" s="10"/>
      <c r="S76" s="10"/>
      <c r="T76" s="10"/>
      <c r="U76" s="25">
        <v>32</v>
      </c>
      <c r="V76" s="10"/>
      <c r="W76" s="10"/>
      <c r="X76" s="10"/>
      <c r="Y76" s="10"/>
      <c r="Z76" s="25">
        <f>131824*92%</f>
        <v>121278.08</v>
      </c>
      <c r="AA76" s="10"/>
      <c r="AB76" s="10"/>
      <c r="AC76" s="10"/>
      <c r="AD76" s="10"/>
    </row>
    <row r="77" spans="1:30" s="11" customFormat="1">
      <c r="A77" s="10">
        <v>73</v>
      </c>
      <c r="B77" s="10"/>
      <c r="C77" s="10">
        <f t="shared" si="1"/>
        <v>69</v>
      </c>
      <c r="D77" s="10" t="s">
        <v>1296</v>
      </c>
      <c r="E77" s="10" t="s">
        <v>1297</v>
      </c>
      <c r="F77" s="10" t="s">
        <v>1287</v>
      </c>
      <c r="G77" s="10" t="s">
        <v>1287</v>
      </c>
      <c r="H77" s="10"/>
      <c r="I77" s="10" t="s">
        <v>1306</v>
      </c>
      <c r="J77" s="10" t="s">
        <v>25</v>
      </c>
      <c r="K77" s="10" t="s">
        <v>37</v>
      </c>
      <c r="L77" s="10">
        <v>1</v>
      </c>
      <c r="M77" s="10"/>
      <c r="N77" s="10"/>
      <c r="O77" s="10"/>
      <c r="P77" s="10"/>
      <c r="Q77" s="10"/>
      <c r="R77" s="10"/>
      <c r="S77" s="10"/>
      <c r="T77" s="10"/>
      <c r="U77" s="25">
        <v>32</v>
      </c>
      <c r="V77" s="10"/>
      <c r="W77" s="10"/>
      <c r="X77" s="10"/>
      <c r="Y77" s="10"/>
      <c r="Z77" s="25">
        <f>131824*92%</f>
        <v>121278.08</v>
      </c>
      <c r="AA77" s="10"/>
      <c r="AB77" s="10"/>
      <c r="AC77" s="10"/>
      <c r="AD77" s="10"/>
    </row>
    <row r="78" spans="1:30" s="11" customFormat="1">
      <c r="A78" s="10">
        <v>74</v>
      </c>
      <c r="B78" s="10"/>
      <c r="C78" s="10">
        <f t="shared" si="1"/>
        <v>70</v>
      </c>
      <c r="D78" s="10" t="s">
        <v>1298</v>
      </c>
      <c r="E78" s="10" t="s">
        <v>1299</v>
      </c>
      <c r="F78" s="10" t="s">
        <v>1287</v>
      </c>
      <c r="G78" s="10" t="s">
        <v>1287</v>
      </c>
      <c r="H78" s="10"/>
      <c r="I78" s="10" t="s">
        <v>1306</v>
      </c>
      <c r="J78" s="10" t="s">
        <v>25</v>
      </c>
      <c r="K78" s="10" t="s">
        <v>37</v>
      </c>
      <c r="L78" s="10">
        <v>1</v>
      </c>
      <c r="M78" s="10"/>
      <c r="N78" s="10"/>
      <c r="O78" s="10"/>
      <c r="P78" s="10"/>
      <c r="Q78" s="10"/>
      <c r="R78" s="10"/>
      <c r="S78" s="10"/>
      <c r="T78" s="10"/>
      <c r="U78" s="25">
        <v>32</v>
      </c>
      <c r="V78" s="10"/>
      <c r="W78" s="10"/>
      <c r="X78" s="10"/>
      <c r="Y78" s="10"/>
      <c r="Z78" s="25">
        <f>131824*92%</f>
        <v>121278.08</v>
      </c>
      <c r="AA78" s="10"/>
      <c r="AB78" s="10"/>
      <c r="AC78" s="10"/>
      <c r="AD78" s="10"/>
    </row>
    <row r="79" spans="1:30" s="11" customFormat="1">
      <c r="A79" s="10">
        <v>75</v>
      </c>
      <c r="B79" s="10"/>
      <c r="C79" s="10">
        <f t="shared" si="1"/>
        <v>71</v>
      </c>
      <c r="D79" s="10" t="s">
        <v>1300</v>
      </c>
      <c r="E79" s="10" t="s">
        <v>1301</v>
      </c>
      <c r="F79" s="10" t="s">
        <v>1287</v>
      </c>
      <c r="G79" s="10" t="s">
        <v>1287</v>
      </c>
      <c r="H79" s="10"/>
      <c r="I79" s="10" t="s">
        <v>1306</v>
      </c>
      <c r="J79" s="10" t="s">
        <v>25</v>
      </c>
      <c r="K79" s="10" t="s">
        <v>37</v>
      </c>
      <c r="L79" s="10">
        <v>1</v>
      </c>
      <c r="M79" s="10"/>
      <c r="N79" s="10"/>
      <c r="O79" s="10"/>
      <c r="P79" s="10"/>
      <c r="Q79" s="10"/>
      <c r="R79" s="10"/>
      <c r="S79" s="10">
        <v>6</v>
      </c>
      <c r="T79" s="10"/>
      <c r="U79" s="25">
        <v>36</v>
      </c>
      <c r="V79" s="10"/>
      <c r="W79" s="10"/>
      <c r="X79" s="10"/>
      <c r="Y79" s="10"/>
      <c r="Z79" s="25">
        <f>81000*92%</f>
        <v>74520</v>
      </c>
      <c r="AA79" s="10"/>
      <c r="AB79" s="10"/>
      <c r="AC79" s="10"/>
      <c r="AD79" s="10"/>
    </row>
    <row r="80" spans="1:30" s="11" customFormat="1">
      <c r="A80" s="10">
        <v>76</v>
      </c>
      <c r="B80" s="10"/>
      <c r="C80" s="10">
        <f t="shared" si="1"/>
        <v>72</v>
      </c>
      <c r="D80" s="10" t="s">
        <v>1302</v>
      </c>
      <c r="E80" s="10" t="s">
        <v>1303</v>
      </c>
      <c r="F80" s="10" t="s">
        <v>1287</v>
      </c>
      <c r="G80" s="10" t="s">
        <v>1287</v>
      </c>
      <c r="H80" s="10"/>
      <c r="I80" s="10" t="s">
        <v>1306</v>
      </c>
      <c r="J80" s="10" t="s">
        <v>25</v>
      </c>
      <c r="K80" s="10" t="s">
        <v>37</v>
      </c>
      <c r="L80" s="10">
        <v>1</v>
      </c>
      <c r="M80" s="10"/>
      <c r="N80" s="10"/>
      <c r="O80" s="10"/>
      <c r="P80" s="10"/>
      <c r="Q80" s="10"/>
      <c r="R80" s="10"/>
      <c r="S80" s="10">
        <v>6</v>
      </c>
      <c r="T80" s="10"/>
      <c r="U80" s="25">
        <v>36</v>
      </c>
      <c r="V80" s="10"/>
      <c r="W80" s="10"/>
      <c r="X80" s="10"/>
      <c r="Y80" s="10"/>
      <c r="Z80" s="25">
        <f>81000*92%</f>
        <v>74520</v>
      </c>
      <c r="AA80" s="10"/>
      <c r="AB80" s="10"/>
      <c r="AC80" s="10"/>
      <c r="AD80" s="10"/>
    </row>
    <row r="81" spans="1:30" s="11" customFormat="1">
      <c r="A81" s="10">
        <v>77</v>
      </c>
      <c r="B81" s="10"/>
      <c r="C81" s="10">
        <f t="shared" si="1"/>
        <v>73</v>
      </c>
      <c r="D81" s="10" t="s">
        <v>1304</v>
      </c>
      <c r="E81" s="10" t="s">
        <v>1305</v>
      </c>
      <c r="F81" s="10" t="s">
        <v>1287</v>
      </c>
      <c r="G81" s="10" t="s">
        <v>1287</v>
      </c>
      <c r="H81" s="10"/>
      <c r="I81" s="10" t="s">
        <v>1306</v>
      </c>
      <c r="J81" s="10" t="s">
        <v>25</v>
      </c>
      <c r="K81" s="10" t="s">
        <v>37</v>
      </c>
      <c r="L81" s="10">
        <v>1</v>
      </c>
      <c r="M81" s="10"/>
      <c r="N81" s="10"/>
      <c r="O81" s="10"/>
      <c r="P81" s="10"/>
      <c r="Q81" s="10"/>
      <c r="R81" s="10"/>
      <c r="S81" s="10">
        <v>6</v>
      </c>
      <c r="T81" s="10"/>
      <c r="U81" s="25">
        <v>36</v>
      </c>
      <c r="V81" s="10"/>
      <c r="W81" s="10"/>
      <c r="X81" s="10"/>
      <c r="Y81" s="10"/>
      <c r="Z81" s="25">
        <f>100000*92%</f>
        <v>92000</v>
      </c>
      <c r="AA81" s="10"/>
      <c r="AB81" s="10"/>
      <c r="AC81" s="10"/>
      <c r="AD81" s="10"/>
    </row>
    <row r="82" spans="1:30" s="27" customFormat="1">
      <c r="A82" s="10">
        <v>78</v>
      </c>
      <c r="B82" s="26"/>
      <c r="C82" s="26">
        <f t="shared" si="1"/>
        <v>74</v>
      </c>
      <c r="D82" s="26">
        <v>130105006</v>
      </c>
      <c r="E82" s="26" t="s">
        <v>10</v>
      </c>
      <c r="F82" s="26" t="s">
        <v>11</v>
      </c>
      <c r="G82" s="26" t="s">
        <v>11</v>
      </c>
      <c r="H82" s="26" t="s">
        <v>1316</v>
      </c>
      <c r="I82" s="26" t="s">
        <v>1315</v>
      </c>
      <c r="J82" s="26" t="s">
        <v>20</v>
      </c>
      <c r="K82" s="26" t="s">
        <v>37</v>
      </c>
      <c r="L82" s="26">
        <v>1</v>
      </c>
      <c r="M82" s="26"/>
      <c r="N82" s="26"/>
      <c r="O82" s="26"/>
      <c r="P82" s="26"/>
      <c r="Q82" s="26"/>
      <c r="R82" s="26"/>
      <c r="S82" s="26">
        <v>16</v>
      </c>
      <c r="T82" s="26"/>
      <c r="U82" s="26"/>
      <c r="V82" s="26"/>
      <c r="W82" s="26"/>
      <c r="X82" s="26"/>
      <c r="Y82" s="26"/>
      <c r="Z82" s="26">
        <v>66288</v>
      </c>
      <c r="AA82" s="26"/>
      <c r="AB82" s="26"/>
      <c r="AC82" s="26"/>
      <c r="AD82" s="26"/>
    </row>
    <row r="83" spans="1:30" s="27" customFormat="1">
      <c r="A83" s="10">
        <v>79</v>
      </c>
      <c r="B83" s="26"/>
      <c r="C83" s="26">
        <f t="shared" si="1"/>
        <v>75</v>
      </c>
      <c r="D83" s="26">
        <v>130105002</v>
      </c>
      <c r="E83" s="26" t="s">
        <v>1307</v>
      </c>
      <c r="F83" s="26" t="s">
        <v>11</v>
      </c>
      <c r="G83" s="26" t="s">
        <v>11</v>
      </c>
      <c r="H83" s="26" t="s">
        <v>1316</v>
      </c>
      <c r="I83" s="26" t="s">
        <v>1315</v>
      </c>
      <c r="J83" s="26" t="s">
        <v>20</v>
      </c>
      <c r="K83" s="26" t="s">
        <v>37</v>
      </c>
      <c r="L83" s="26">
        <v>1</v>
      </c>
      <c r="M83" s="26"/>
      <c r="N83" s="26"/>
      <c r="O83" s="26"/>
      <c r="P83" s="26"/>
      <c r="Q83" s="26"/>
      <c r="R83" s="26"/>
      <c r="S83" s="26">
        <v>16</v>
      </c>
      <c r="T83" s="26"/>
      <c r="U83" s="26"/>
      <c r="V83" s="26"/>
      <c r="W83" s="26"/>
      <c r="X83" s="26"/>
      <c r="Y83" s="26"/>
      <c r="Z83" s="26">
        <v>66288</v>
      </c>
      <c r="AA83" s="26"/>
      <c r="AB83" s="26"/>
      <c r="AC83" s="26"/>
      <c r="AD83" s="26"/>
    </row>
    <row r="84" spans="1:30" s="27" customFormat="1">
      <c r="A84" s="10">
        <v>80</v>
      </c>
      <c r="B84" s="26"/>
      <c r="C84" s="26">
        <f t="shared" si="1"/>
        <v>76</v>
      </c>
      <c r="D84" s="26">
        <v>130105005</v>
      </c>
      <c r="E84" s="26" t="s">
        <v>1309</v>
      </c>
      <c r="F84" s="26" t="s">
        <v>11</v>
      </c>
      <c r="G84" s="26" t="s">
        <v>11</v>
      </c>
      <c r="H84" s="26" t="s">
        <v>1316</v>
      </c>
      <c r="I84" s="26" t="s">
        <v>1315</v>
      </c>
      <c r="J84" s="26" t="s">
        <v>20</v>
      </c>
      <c r="K84" s="26" t="s">
        <v>37</v>
      </c>
      <c r="L84" s="26">
        <v>1</v>
      </c>
      <c r="M84" s="26"/>
      <c r="N84" s="26"/>
      <c r="O84" s="26"/>
      <c r="P84" s="26"/>
      <c r="Q84" s="26"/>
      <c r="R84" s="26"/>
      <c r="S84" s="26">
        <v>16</v>
      </c>
      <c r="T84" s="26"/>
      <c r="U84" s="26"/>
      <c r="V84" s="26"/>
      <c r="W84" s="26"/>
      <c r="X84" s="26"/>
      <c r="Y84" s="26"/>
      <c r="Z84" s="26">
        <v>66288</v>
      </c>
      <c r="AA84" s="26"/>
      <c r="AB84" s="26"/>
      <c r="AC84" s="26"/>
      <c r="AD84" s="26"/>
    </row>
    <row r="85" spans="1:30" s="27" customFormat="1">
      <c r="A85" s="10">
        <v>81</v>
      </c>
      <c r="B85" s="26"/>
      <c r="C85" s="26">
        <f t="shared" si="1"/>
        <v>77</v>
      </c>
      <c r="D85" s="26">
        <v>130105001</v>
      </c>
      <c r="E85" s="26" t="s">
        <v>1308</v>
      </c>
      <c r="F85" s="26" t="s">
        <v>11</v>
      </c>
      <c r="G85" s="26" t="s">
        <v>11</v>
      </c>
      <c r="H85" s="26" t="s">
        <v>1316</v>
      </c>
      <c r="I85" s="26" t="s">
        <v>1315</v>
      </c>
      <c r="J85" s="26" t="s">
        <v>20</v>
      </c>
      <c r="K85" s="26" t="s">
        <v>37</v>
      </c>
      <c r="L85" s="26">
        <v>1</v>
      </c>
      <c r="M85" s="26"/>
      <c r="N85" s="26"/>
      <c r="O85" s="26"/>
      <c r="P85" s="26"/>
      <c r="Q85" s="26"/>
      <c r="R85" s="26"/>
      <c r="S85" s="26">
        <v>16</v>
      </c>
      <c r="T85" s="26"/>
      <c r="U85" s="26"/>
      <c r="V85" s="26"/>
      <c r="W85" s="26"/>
      <c r="X85" s="26"/>
      <c r="Y85" s="26"/>
      <c r="Z85" s="26">
        <v>66288</v>
      </c>
      <c r="AA85" s="26"/>
      <c r="AB85" s="26"/>
      <c r="AC85" s="26"/>
      <c r="AD85" s="26"/>
    </row>
    <row r="86" spans="1:30" s="27" customFormat="1">
      <c r="A86" s="10">
        <v>82</v>
      </c>
      <c r="B86" s="26"/>
      <c r="C86" s="26">
        <f t="shared" si="1"/>
        <v>78</v>
      </c>
      <c r="D86" s="26">
        <v>130205204</v>
      </c>
      <c r="E86" s="26" t="s">
        <v>1310</v>
      </c>
      <c r="F86" s="26" t="s">
        <v>11</v>
      </c>
      <c r="G86" s="26" t="s">
        <v>11</v>
      </c>
      <c r="H86" s="26" t="s">
        <v>1316</v>
      </c>
      <c r="I86" s="26" t="s">
        <v>1315</v>
      </c>
      <c r="J86" s="26" t="s">
        <v>20</v>
      </c>
      <c r="K86" s="26" t="s">
        <v>37</v>
      </c>
      <c r="L86" s="26">
        <v>1</v>
      </c>
      <c r="M86" s="26"/>
      <c r="N86" s="26"/>
      <c r="O86" s="26"/>
      <c r="P86" s="26"/>
      <c r="Q86" s="26"/>
      <c r="R86" s="26"/>
      <c r="S86" s="26">
        <v>12</v>
      </c>
      <c r="T86" s="26"/>
      <c r="U86" s="26"/>
      <c r="V86" s="26"/>
      <c r="W86" s="26"/>
      <c r="X86" s="26"/>
      <c r="Y86" s="26"/>
      <c r="Z86" s="26">
        <v>99492</v>
      </c>
      <c r="AA86" s="26"/>
      <c r="AB86" s="26"/>
      <c r="AC86" s="26"/>
      <c r="AD86" s="26"/>
    </row>
    <row r="87" spans="1:30" s="27" customFormat="1">
      <c r="A87" s="10">
        <v>83</v>
      </c>
      <c r="B87" s="26"/>
      <c r="C87" s="26">
        <f t="shared" si="1"/>
        <v>79</v>
      </c>
      <c r="D87" s="26">
        <v>130205203</v>
      </c>
      <c r="E87" s="26" t="s">
        <v>1311</v>
      </c>
      <c r="F87" s="26" t="s">
        <v>11</v>
      </c>
      <c r="G87" s="26" t="s">
        <v>11</v>
      </c>
      <c r="H87" s="26" t="s">
        <v>1316</v>
      </c>
      <c r="I87" s="26" t="s">
        <v>1315</v>
      </c>
      <c r="J87" s="26" t="s">
        <v>20</v>
      </c>
      <c r="K87" s="26" t="s">
        <v>37</v>
      </c>
      <c r="L87" s="26">
        <v>1</v>
      </c>
      <c r="M87" s="26"/>
      <c r="N87" s="26"/>
      <c r="O87" s="26"/>
      <c r="P87" s="26"/>
      <c r="Q87" s="26"/>
      <c r="R87" s="26"/>
      <c r="S87" s="26">
        <v>12</v>
      </c>
      <c r="T87" s="26"/>
      <c r="U87" s="26"/>
      <c r="V87" s="26"/>
      <c r="W87" s="26"/>
      <c r="X87" s="26"/>
      <c r="Y87" s="26"/>
      <c r="Z87" s="26">
        <v>99492</v>
      </c>
      <c r="AA87" s="26"/>
      <c r="AB87" s="26"/>
      <c r="AC87" s="26"/>
      <c r="AD87" s="26"/>
    </row>
    <row r="88" spans="1:30" s="27" customFormat="1">
      <c r="A88" s="10">
        <v>84</v>
      </c>
      <c r="B88" s="26"/>
      <c r="C88" s="26">
        <f t="shared" si="1"/>
        <v>80</v>
      </c>
      <c r="D88" s="26">
        <v>130205205</v>
      </c>
      <c r="E88" s="26" t="s">
        <v>1312</v>
      </c>
      <c r="F88" s="26" t="s">
        <v>11</v>
      </c>
      <c r="G88" s="26" t="s">
        <v>11</v>
      </c>
      <c r="H88" s="26" t="s">
        <v>1316</v>
      </c>
      <c r="I88" s="26" t="s">
        <v>1315</v>
      </c>
      <c r="J88" s="26" t="s">
        <v>20</v>
      </c>
      <c r="K88" s="26" t="s">
        <v>37</v>
      </c>
      <c r="L88" s="26">
        <v>1</v>
      </c>
      <c r="M88" s="26"/>
      <c r="N88" s="26"/>
      <c r="O88" s="26"/>
      <c r="P88" s="26"/>
      <c r="Q88" s="26"/>
      <c r="R88" s="26"/>
      <c r="S88" s="26">
        <v>12</v>
      </c>
      <c r="T88" s="26"/>
      <c r="U88" s="26"/>
      <c r="V88" s="26"/>
      <c r="W88" s="26"/>
      <c r="X88" s="26"/>
      <c r="Y88" s="26"/>
      <c r="Z88" s="26">
        <v>99492</v>
      </c>
      <c r="AA88" s="26"/>
      <c r="AB88" s="26"/>
      <c r="AC88" s="26"/>
      <c r="AD88" s="26"/>
    </row>
    <row r="89" spans="1:30" s="27" customFormat="1">
      <c r="A89" s="10">
        <v>85</v>
      </c>
      <c r="B89" s="26"/>
      <c r="C89" s="26">
        <f t="shared" si="1"/>
        <v>81</v>
      </c>
      <c r="D89" s="26">
        <v>130205201</v>
      </c>
      <c r="E89" s="26" t="s">
        <v>1313</v>
      </c>
      <c r="F89" s="26" t="s">
        <v>11</v>
      </c>
      <c r="G89" s="26" t="s">
        <v>11</v>
      </c>
      <c r="H89" s="26" t="s">
        <v>1316</v>
      </c>
      <c r="I89" s="26" t="s">
        <v>1315</v>
      </c>
      <c r="J89" s="26" t="s">
        <v>20</v>
      </c>
      <c r="K89" s="26" t="s">
        <v>37</v>
      </c>
      <c r="L89" s="26">
        <v>1</v>
      </c>
      <c r="M89" s="26"/>
      <c r="N89" s="26"/>
      <c r="O89" s="26"/>
      <c r="P89" s="26"/>
      <c r="Q89" s="26"/>
      <c r="R89" s="26"/>
      <c r="S89" s="26">
        <v>12</v>
      </c>
      <c r="T89" s="26"/>
      <c r="U89" s="26"/>
      <c r="V89" s="26"/>
      <c r="W89" s="26"/>
      <c r="X89" s="26"/>
      <c r="Y89" s="26"/>
      <c r="Z89" s="26">
        <v>99492</v>
      </c>
      <c r="AA89" s="26"/>
      <c r="AB89" s="26"/>
      <c r="AC89" s="26"/>
      <c r="AD89" s="26"/>
    </row>
    <row r="90" spans="1:30" s="27" customFormat="1">
      <c r="A90" s="10">
        <v>86</v>
      </c>
      <c r="B90" s="26"/>
      <c r="C90" s="26">
        <f t="shared" si="1"/>
        <v>82</v>
      </c>
      <c r="D90" s="26">
        <v>130205202</v>
      </c>
      <c r="E90" s="26" t="s">
        <v>1314</v>
      </c>
      <c r="F90" s="26" t="s">
        <v>11</v>
      </c>
      <c r="G90" s="26" t="s">
        <v>11</v>
      </c>
      <c r="H90" s="26" t="s">
        <v>1316</v>
      </c>
      <c r="I90" s="26" t="s">
        <v>1315</v>
      </c>
      <c r="J90" s="26" t="s">
        <v>20</v>
      </c>
      <c r="K90" s="26" t="s">
        <v>37</v>
      </c>
      <c r="L90" s="26">
        <v>1</v>
      </c>
      <c r="M90" s="26"/>
      <c r="N90" s="26"/>
      <c r="O90" s="26"/>
      <c r="P90" s="26"/>
      <c r="Q90" s="26"/>
      <c r="R90" s="26"/>
      <c r="S90" s="26">
        <v>12</v>
      </c>
      <c r="T90" s="26"/>
      <c r="U90" s="26"/>
      <c r="V90" s="26"/>
      <c r="W90" s="26"/>
      <c r="X90" s="26"/>
      <c r="Y90" s="26"/>
      <c r="Z90" s="26">
        <v>99492</v>
      </c>
      <c r="AA90" s="26"/>
      <c r="AB90" s="26"/>
      <c r="AC90" s="26"/>
      <c r="AD90" s="26"/>
    </row>
    <row r="91" spans="1:30" s="29" customFormat="1">
      <c r="A91" s="10">
        <v>87</v>
      </c>
      <c r="B91" s="28"/>
      <c r="C91" s="28">
        <f t="shared" si="1"/>
        <v>83</v>
      </c>
      <c r="D91" s="28">
        <v>431533</v>
      </c>
      <c r="E91" s="28" t="s">
        <v>1317</v>
      </c>
      <c r="F91" s="28" t="s">
        <v>332</v>
      </c>
      <c r="G91" s="28" t="s">
        <v>332</v>
      </c>
      <c r="H91" s="28"/>
      <c r="I91" s="28" t="s">
        <v>1325</v>
      </c>
      <c r="J91" s="26" t="s">
        <v>20</v>
      </c>
      <c r="K91" s="28" t="s">
        <v>37</v>
      </c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</row>
    <row r="92" spans="1:30" s="29" customFormat="1">
      <c r="A92" s="10">
        <v>88</v>
      </c>
      <c r="B92" s="28"/>
      <c r="C92" s="28">
        <f t="shared" si="1"/>
        <v>84</v>
      </c>
      <c r="D92" s="28">
        <v>431531</v>
      </c>
      <c r="E92" s="28" t="s">
        <v>1318</v>
      </c>
      <c r="F92" s="28" t="s">
        <v>332</v>
      </c>
      <c r="G92" s="28" t="s">
        <v>332</v>
      </c>
      <c r="H92" s="28"/>
      <c r="I92" s="28" t="s">
        <v>1325</v>
      </c>
      <c r="J92" s="26" t="s">
        <v>20</v>
      </c>
      <c r="K92" s="28" t="s">
        <v>37</v>
      </c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</row>
    <row r="93" spans="1:30" s="29" customFormat="1">
      <c r="A93" s="10">
        <v>89</v>
      </c>
      <c r="B93" s="28"/>
      <c r="C93" s="28">
        <f t="shared" si="1"/>
        <v>85</v>
      </c>
      <c r="D93" s="28">
        <v>437689</v>
      </c>
      <c r="E93" s="28" t="s">
        <v>1319</v>
      </c>
      <c r="F93" s="28" t="s">
        <v>332</v>
      </c>
      <c r="G93" s="28" t="s">
        <v>332</v>
      </c>
      <c r="H93" s="28"/>
      <c r="I93" s="28" t="s">
        <v>1325</v>
      </c>
      <c r="J93" s="26" t="s">
        <v>20</v>
      </c>
      <c r="K93" s="28" t="s">
        <v>37</v>
      </c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</row>
    <row r="94" spans="1:30" s="29" customFormat="1">
      <c r="A94" s="10">
        <v>90</v>
      </c>
      <c r="B94" s="28"/>
      <c r="C94" s="28">
        <f t="shared" si="1"/>
        <v>86</v>
      </c>
      <c r="D94" s="28">
        <v>431532</v>
      </c>
      <c r="E94" s="28" t="s">
        <v>1320</v>
      </c>
      <c r="F94" s="28" t="s">
        <v>332</v>
      </c>
      <c r="G94" s="28" t="s">
        <v>332</v>
      </c>
      <c r="H94" s="28"/>
      <c r="I94" s="28" t="s">
        <v>1325</v>
      </c>
      <c r="J94" s="26" t="s">
        <v>20</v>
      </c>
      <c r="K94" s="28" t="s">
        <v>37</v>
      </c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</row>
    <row r="95" spans="1:30" s="29" customFormat="1">
      <c r="A95" s="10">
        <v>91</v>
      </c>
      <c r="B95" s="28"/>
      <c r="C95" s="28">
        <f t="shared" si="1"/>
        <v>87</v>
      </c>
      <c r="D95" s="28">
        <v>431530</v>
      </c>
      <c r="E95" s="28" t="s">
        <v>1321</v>
      </c>
      <c r="F95" s="28" t="s">
        <v>332</v>
      </c>
      <c r="G95" s="28" t="s">
        <v>332</v>
      </c>
      <c r="H95" s="28"/>
      <c r="I95" s="28" t="s">
        <v>1325</v>
      </c>
      <c r="J95" s="26" t="s">
        <v>20</v>
      </c>
      <c r="K95" s="28" t="s">
        <v>37</v>
      </c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</row>
    <row r="96" spans="1:30" s="29" customFormat="1">
      <c r="A96" s="10">
        <v>92</v>
      </c>
      <c r="B96" s="28"/>
      <c r="C96" s="28">
        <f t="shared" si="1"/>
        <v>88</v>
      </c>
      <c r="D96" s="28">
        <v>419710</v>
      </c>
      <c r="E96" s="28" t="s">
        <v>1322</v>
      </c>
      <c r="F96" s="28" t="s">
        <v>332</v>
      </c>
      <c r="G96" s="28" t="s">
        <v>332</v>
      </c>
      <c r="H96" s="28"/>
      <c r="I96" s="28" t="s">
        <v>1325</v>
      </c>
      <c r="J96" s="26" t="s">
        <v>20</v>
      </c>
      <c r="K96" s="28" t="s">
        <v>37</v>
      </c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</row>
    <row r="97" spans="1:30" s="29" customFormat="1">
      <c r="A97" s="10">
        <v>93</v>
      </c>
      <c r="B97" s="28"/>
      <c r="C97" s="28">
        <f t="shared" si="1"/>
        <v>89</v>
      </c>
      <c r="D97" s="28">
        <v>400582</v>
      </c>
      <c r="E97" s="28" t="s">
        <v>1323</v>
      </c>
      <c r="F97" s="28" t="s">
        <v>332</v>
      </c>
      <c r="G97" s="28" t="s">
        <v>332</v>
      </c>
      <c r="H97" s="28"/>
      <c r="I97" s="28" t="s">
        <v>1325</v>
      </c>
      <c r="J97" s="26" t="s">
        <v>20</v>
      </c>
      <c r="K97" s="28" t="s">
        <v>37</v>
      </c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</row>
    <row r="98" spans="1:30" s="29" customFormat="1">
      <c r="A98" s="10">
        <v>94</v>
      </c>
      <c r="B98" s="28"/>
      <c r="C98" s="28">
        <f t="shared" si="1"/>
        <v>90</v>
      </c>
      <c r="D98" s="28">
        <v>436739</v>
      </c>
      <c r="E98" s="28" t="s">
        <v>1324</v>
      </c>
      <c r="F98" s="28" t="s">
        <v>332</v>
      </c>
      <c r="G98" s="28" t="s">
        <v>332</v>
      </c>
      <c r="H98" s="28"/>
      <c r="I98" s="28" t="s">
        <v>1325</v>
      </c>
      <c r="J98" s="26" t="s">
        <v>20</v>
      </c>
      <c r="K98" s="28" t="s">
        <v>37</v>
      </c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</row>
    <row r="99" spans="1:30" s="31" customFormat="1">
      <c r="A99" s="10">
        <v>95</v>
      </c>
      <c r="B99" s="30"/>
      <c r="C99" s="30">
        <f t="shared" si="1"/>
        <v>91</v>
      </c>
      <c r="D99" s="30">
        <v>915314</v>
      </c>
      <c r="E99" s="30" t="s">
        <v>1326</v>
      </c>
      <c r="F99" s="30" t="s">
        <v>207</v>
      </c>
      <c r="G99" s="30" t="s">
        <v>207</v>
      </c>
      <c r="H99" s="30"/>
      <c r="I99" s="30" t="s">
        <v>1333</v>
      </c>
      <c r="J99" s="30" t="s">
        <v>20</v>
      </c>
      <c r="K99" s="30" t="s">
        <v>37</v>
      </c>
      <c r="L99" s="30">
        <v>1</v>
      </c>
      <c r="M99" s="30"/>
      <c r="N99" s="30"/>
      <c r="O99" s="30"/>
      <c r="P99" s="30"/>
      <c r="Q99" s="30"/>
      <c r="R99" s="30"/>
      <c r="S99" s="30">
        <v>6</v>
      </c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</row>
    <row r="100" spans="1:30" s="31" customFormat="1">
      <c r="A100" s="10">
        <v>96</v>
      </c>
      <c r="C100" s="31">
        <f t="shared" si="1"/>
        <v>92</v>
      </c>
      <c r="D100" s="32">
        <v>915315</v>
      </c>
      <c r="E100" s="32" t="s">
        <v>1327</v>
      </c>
      <c r="F100" s="30" t="s">
        <v>207</v>
      </c>
      <c r="G100" s="30" t="s">
        <v>207</v>
      </c>
      <c r="I100" s="30" t="s">
        <v>1333</v>
      </c>
      <c r="J100" s="30" t="s">
        <v>20</v>
      </c>
      <c r="K100" s="30" t="s">
        <v>37</v>
      </c>
      <c r="L100" s="31">
        <v>1</v>
      </c>
      <c r="S100" s="31">
        <v>6</v>
      </c>
    </row>
    <row r="101" spans="1:30" s="31" customFormat="1">
      <c r="A101" s="10">
        <v>97</v>
      </c>
      <c r="C101" s="31">
        <f t="shared" si="1"/>
        <v>93</v>
      </c>
      <c r="D101" s="32">
        <v>915316</v>
      </c>
      <c r="E101" s="32" t="s">
        <v>1328</v>
      </c>
      <c r="F101" s="30" t="s">
        <v>207</v>
      </c>
      <c r="G101" s="30" t="s">
        <v>207</v>
      </c>
      <c r="I101" s="30" t="s">
        <v>1333</v>
      </c>
      <c r="J101" s="30" t="s">
        <v>20</v>
      </c>
      <c r="K101" s="30" t="s">
        <v>37</v>
      </c>
      <c r="L101" s="31">
        <v>1</v>
      </c>
      <c r="S101" s="31">
        <v>6</v>
      </c>
    </row>
    <row r="102" spans="1:30" s="31" customFormat="1">
      <c r="A102" s="10">
        <v>98</v>
      </c>
      <c r="C102" s="31">
        <f t="shared" si="1"/>
        <v>94</v>
      </c>
      <c r="D102" s="32">
        <v>931108</v>
      </c>
      <c r="E102" s="32" t="s">
        <v>1329</v>
      </c>
      <c r="F102" s="30" t="s">
        <v>207</v>
      </c>
      <c r="G102" s="30" t="s">
        <v>207</v>
      </c>
      <c r="I102" s="30" t="s">
        <v>1333</v>
      </c>
      <c r="J102" s="30" t="s">
        <v>20</v>
      </c>
      <c r="K102" s="30" t="s">
        <v>37</v>
      </c>
      <c r="L102" s="31">
        <v>1</v>
      </c>
      <c r="S102" s="31">
        <v>4</v>
      </c>
    </row>
    <row r="103" spans="1:30" s="31" customFormat="1">
      <c r="A103" s="10">
        <v>99</v>
      </c>
      <c r="C103" s="31">
        <f t="shared" si="1"/>
        <v>95</v>
      </c>
      <c r="D103" s="32">
        <v>931109</v>
      </c>
      <c r="E103" s="32" t="s">
        <v>1330</v>
      </c>
      <c r="F103" s="30" t="s">
        <v>207</v>
      </c>
      <c r="G103" s="30" t="s">
        <v>207</v>
      </c>
      <c r="I103" s="30" t="s">
        <v>1333</v>
      </c>
      <c r="J103" s="30" t="s">
        <v>20</v>
      </c>
      <c r="K103" s="30" t="s">
        <v>37</v>
      </c>
      <c r="L103" s="31">
        <v>1</v>
      </c>
      <c r="S103" s="31">
        <v>4</v>
      </c>
    </row>
    <row r="104" spans="1:30" s="31" customFormat="1">
      <c r="A104" s="10">
        <v>100</v>
      </c>
      <c r="C104" s="31">
        <f t="shared" si="1"/>
        <v>96</v>
      </c>
      <c r="D104" s="32">
        <v>931115</v>
      </c>
      <c r="E104" s="32" t="s">
        <v>1331</v>
      </c>
      <c r="F104" s="30" t="s">
        <v>207</v>
      </c>
      <c r="G104" s="30" t="s">
        <v>207</v>
      </c>
      <c r="I104" s="30" t="s">
        <v>1333</v>
      </c>
      <c r="J104" s="30" t="s">
        <v>20</v>
      </c>
      <c r="K104" s="30" t="s">
        <v>37</v>
      </c>
      <c r="L104" s="31">
        <v>1</v>
      </c>
      <c r="S104" s="31">
        <v>6</v>
      </c>
    </row>
    <row r="105" spans="1:30" s="31" customFormat="1">
      <c r="A105" s="10">
        <v>101</v>
      </c>
      <c r="C105" s="31">
        <f t="shared" si="1"/>
        <v>97</v>
      </c>
      <c r="D105" s="32">
        <v>931211</v>
      </c>
      <c r="E105" s="32" t="s">
        <v>1332</v>
      </c>
      <c r="F105" s="30" t="s">
        <v>207</v>
      </c>
      <c r="G105" s="30" t="s">
        <v>207</v>
      </c>
      <c r="I105" s="30" t="s">
        <v>1333</v>
      </c>
      <c r="J105" s="30" t="s">
        <v>20</v>
      </c>
      <c r="K105" s="30" t="s">
        <v>37</v>
      </c>
      <c r="L105" s="31">
        <v>1</v>
      </c>
      <c r="S105" s="31">
        <v>36</v>
      </c>
    </row>
    <row r="106" spans="1:30" s="34" customFormat="1">
      <c r="A106" s="10">
        <v>102</v>
      </c>
      <c r="C106" s="34">
        <f t="shared" si="1"/>
        <v>98</v>
      </c>
      <c r="D106" s="33">
        <v>24006</v>
      </c>
      <c r="E106" s="34" t="s">
        <v>1334</v>
      </c>
      <c r="F106" s="34" t="s">
        <v>22</v>
      </c>
      <c r="G106" s="34" t="s">
        <v>22</v>
      </c>
      <c r="H106" s="34" t="s">
        <v>22</v>
      </c>
      <c r="I106" s="34" t="s">
        <v>21</v>
      </c>
      <c r="J106" s="34" t="s">
        <v>20</v>
      </c>
      <c r="K106" s="34" t="s">
        <v>37</v>
      </c>
      <c r="L106" s="34">
        <v>1</v>
      </c>
      <c r="R106" s="34">
        <v>8</v>
      </c>
      <c r="S106" s="34">
        <v>16</v>
      </c>
      <c r="U106" s="34">
        <v>192</v>
      </c>
      <c r="V106" s="34">
        <v>136937</v>
      </c>
      <c r="Z106" s="35">
        <v>152000</v>
      </c>
    </row>
    <row r="107" spans="1:30" s="34" customFormat="1">
      <c r="A107" s="10">
        <v>103</v>
      </c>
      <c r="C107" s="34">
        <f t="shared" si="1"/>
        <v>99</v>
      </c>
      <c r="D107" s="33">
        <v>24007</v>
      </c>
      <c r="E107" s="34" t="s">
        <v>1335</v>
      </c>
      <c r="F107" s="34" t="s">
        <v>22</v>
      </c>
      <c r="G107" s="34" t="s">
        <v>22</v>
      </c>
      <c r="H107" s="34" t="s">
        <v>22</v>
      </c>
      <c r="I107" s="34" t="s">
        <v>21</v>
      </c>
      <c r="J107" s="34" t="s">
        <v>20</v>
      </c>
      <c r="K107" s="34" t="s">
        <v>37</v>
      </c>
      <c r="L107" s="34">
        <v>1</v>
      </c>
      <c r="R107" s="34">
        <v>18</v>
      </c>
      <c r="S107" s="34">
        <v>36</v>
      </c>
      <c r="U107" s="34">
        <v>432</v>
      </c>
      <c r="V107" s="34">
        <v>308108</v>
      </c>
      <c r="Z107" s="34">
        <v>341999</v>
      </c>
    </row>
    <row r="108" spans="1:30" s="34" customFormat="1">
      <c r="A108" s="10">
        <v>104</v>
      </c>
      <c r="C108" s="34">
        <f t="shared" si="1"/>
        <v>100</v>
      </c>
      <c r="D108" s="33">
        <v>24008</v>
      </c>
      <c r="E108" s="34" t="s">
        <v>1336</v>
      </c>
      <c r="F108" s="34" t="s">
        <v>22</v>
      </c>
      <c r="G108" s="34" t="s">
        <v>22</v>
      </c>
      <c r="H108" s="34" t="s">
        <v>22</v>
      </c>
      <c r="I108" s="34" t="s">
        <v>21</v>
      </c>
      <c r="J108" s="34" t="s">
        <v>20</v>
      </c>
      <c r="K108" s="34" t="s">
        <v>37</v>
      </c>
      <c r="L108" s="34">
        <v>1</v>
      </c>
      <c r="R108" s="34">
        <v>36</v>
      </c>
      <c r="S108" s="34">
        <v>36</v>
      </c>
      <c r="U108" s="34">
        <v>432</v>
      </c>
      <c r="V108" s="34">
        <v>308108</v>
      </c>
      <c r="Z108" s="34">
        <v>341999</v>
      </c>
    </row>
    <row r="109" spans="1:30" s="34" customFormat="1">
      <c r="A109" s="10">
        <v>105</v>
      </c>
      <c r="C109" s="34">
        <f t="shared" si="1"/>
        <v>101</v>
      </c>
      <c r="D109" s="33">
        <v>24013</v>
      </c>
      <c r="E109" s="34" t="s">
        <v>1337</v>
      </c>
      <c r="F109" s="34" t="s">
        <v>22</v>
      </c>
      <c r="G109" s="34" t="s">
        <v>22</v>
      </c>
      <c r="H109" s="34" t="s">
        <v>22</v>
      </c>
      <c r="I109" s="34" t="s">
        <v>21</v>
      </c>
      <c r="J109" s="34" t="s">
        <v>20</v>
      </c>
      <c r="K109" s="34" t="s">
        <v>37</v>
      </c>
      <c r="L109" s="34">
        <v>1</v>
      </c>
      <c r="R109" s="34">
        <v>8</v>
      </c>
      <c r="S109" s="34">
        <v>16</v>
      </c>
      <c r="U109" s="34">
        <v>192</v>
      </c>
      <c r="V109" s="34">
        <v>129737</v>
      </c>
      <c r="Z109" s="34">
        <v>144008</v>
      </c>
    </row>
    <row r="110" spans="1:30" s="34" customFormat="1">
      <c r="A110" s="10">
        <v>106</v>
      </c>
      <c r="C110" s="34">
        <f t="shared" si="1"/>
        <v>102</v>
      </c>
      <c r="D110" s="33">
        <v>24009</v>
      </c>
      <c r="E110" s="34" t="s">
        <v>1338</v>
      </c>
      <c r="F110" s="34" t="s">
        <v>22</v>
      </c>
      <c r="G110" s="34" t="s">
        <v>22</v>
      </c>
      <c r="H110" s="34" t="s">
        <v>22</v>
      </c>
      <c r="I110" s="34" t="s">
        <v>21</v>
      </c>
      <c r="J110" s="34" t="s">
        <v>20</v>
      </c>
      <c r="K110" s="34" t="s">
        <v>37</v>
      </c>
      <c r="L110" s="34">
        <v>1</v>
      </c>
      <c r="R110" s="34">
        <v>8</v>
      </c>
      <c r="S110" s="34">
        <v>48</v>
      </c>
      <c r="U110" s="34">
        <v>576</v>
      </c>
      <c r="V110" s="34">
        <v>410811</v>
      </c>
      <c r="Z110" s="34">
        <v>456000</v>
      </c>
    </row>
    <row r="111" spans="1:30">
      <c r="A111" s="10">
        <v>107</v>
      </c>
      <c r="C111">
        <f t="shared" si="1"/>
        <v>103</v>
      </c>
      <c r="D111" s="33">
        <v>24002</v>
      </c>
      <c r="E111" s="34" t="s">
        <v>1339</v>
      </c>
      <c r="F111" s="34" t="s">
        <v>22</v>
      </c>
      <c r="G111" s="34" t="s">
        <v>22</v>
      </c>
      <c r="H111" s="34" t="s">
        <v>22</v>
      </c>
      <c r="I111" s="34" t="s">
        <v>21</v>
      </c>
      <c r="J111" s="34" t="s">
        <v>20</v>
      </c>
      <c r="K111" s="34" t="s">
        <v>37</v>
      </c>
      <c r="L111" s="34">
        <v>1</v>
      </c>
      <c r="M111" s="34"/>
      <c r="N111" s="34"/>
      <c r="O111" s="34"/>
      <c r="P111" s="34"/>
      <c r="Q111" s="34"/>
      <c r="R111" s="34">
        <v>12</v>
      </c>
      <c r="S111" s="34">
        <v>12</v>
      </c>
      <c r="T111" s="34"/>
      <c r="U111" s="34">
        <v>144</v>
      </c>
      <c r="V111" s="34">
        <v>194595</v>
      </c>
      <c r="Z111" s="34">
        <v>216000</v>
      </c>
    </row>
    <row r="112" spans="1:30">
      <c r="A112" s="10">
        <v>108</v>
      </c>
      <c r="C112">
        <f t="shared" si="1"/>
        <v>104</v>
      </c>
      <c r="D112" s="33">
        <v>24011</v>
      </c>
      <c r="E112" s="34" t="s">
        <v>1340</v>
      </c>
      <c r="F112" s="34" t="s">
        <v>22</v>
      </c>
      <c r="G112" s="34" t="s">
        <v>22</v>
      </c>
      <c r="H112" s="34" t="s">
        <v>22</v>
      </c>
      <c r="I112" s="34" t="s">
        <v>21</v>
      </c>
      <c r="J112" s="34" t="s">
        <v>20</v>
      </c>
      <c r="K112" s="34" t="s">
        <v>37</v>
      </c>
      <c r="L112" s="34">
        <v>1</v>
      </c>
      <c r="M112" s="34"/>
      <c r="N112" s="34"/>
      <c r="O112" s="34"/>
      <c r="P112" s="34"/>
      <c r="Q112" s="34"/>
      <c r="R112" s="34">
        <v>12</v>
      </c>
      <c r="S112" s="34">
        <v>12</v>
      </c>
      <c r="T112" s="34"/>
      <c r="U112" s="34">
        <v>144</v>
      </c>
      <c r="V112" s="34">
        <v>205056</v>
      </c>
      <c r="Z112" s="34">
        <v>230400</v>
      </c>
    </row>
    <row r="113" spans="1:26">
      <c r="A113" s="10">
        <v>109</v>
      </c>
      <c r="C113">
        <f t="shared" si="1"/>
        <v>105</v>
      </c>
      <c r="D113" s="33">
        <v>24001</v>
      </c>
      <c r="E113" s="34" t="s">
        <v>1341</v>
      </c>
      <c r="F113" s="34" t="s">
        <v>22</v>
      </c>
      <c r="G113" s="34" t="s">
        <v>22</v>
      </c>
      <c r="H113" s="34" t="s">
        <v>22</v>
      </c>
      <c r="I113" s="34" t="s">
        <v>21</v>
      </c>
      <c r="J113" s="34" t="s">
        <v>20</v>
      </c>
      <c r="K113" s="34" t="s">
        <v>37</v>
      </c>
      <c r="L113" s="34">
        <v>1</v>
      </c>
      <c r="M113" s="34"/>
      <c r="N113" s="34"/>
      <c r="O113" s="34"/>
      <c r="P113" s="34"/>
      <c r="Q113" s="34"/>
      <c r="R113" s="34">
        <v>12</v>
      </c>
      <c r="S113" s="34">
        <v>12</v>
      </c>
      <c r="T113" s="34"/>
      <c r="U113" s="34">
        <v>144</v>
      </c>
      <c r="V113" s="34">
        <v>202920</v>
      </c>
      <c r="Z113" s="34">
        <v>228000</v>
      </c>
    </row>
    <row r="114" spans="1:26">
      <c r="A114" s="10">
        <v>110</v>
      </c>
      <c r="C114">
        <f t="shared" si="1"/>
        <v>106</v>
      </c>
      <c r="D114" s="33">
        <v>24005</v>
      </c>
      <c r="E114" s="34" t="s">
        <v>1342</v>
      </c>
      <c r="F114" s="34" t="s">
        <v>22</v>
      </c>
      <c r="G114" s="34" t="s">
        <v>22</v>
      </c>
      <c r="H114" s="34" t="s">
        <v>22</v>
      </c>
      <c r="I114" s="34" t="s">
        <v>21</v>
      </c>
      <c r="J114" s="34" t="s">
        <v>20</v>
      </c>
      <c r="K114" s="34" t="s">
        <v>37</v>
      </c>
      <c r="L114" s="34">
        <v>1</v>
      </c>
      <c r="M114" s="34"/>
      <c r="N114" s="34"/>
      <c r="O114" s="34"/>
      <c r="P114" s="34"/>
      <c r="Q114" s="34"/>
      <c r="R114" s="34">
        <v>12</v>
      </c>
      <c r="S114" s="34">
        <v>12</v>
      </c>
      <c r="T114" s="34"/>
      <c r="U114" s="34">
        <v>144</v>
      </c>
      <c r="V114" s="34">
        <v>202920</v>
      </c>
      <c r="Z114" s="34">
        <v>228000</v>
      </c>
    </row>
    <row r="115" spans="1:26" s="29" customFormat="1">
      <c r="A115" s="10">
        <v>111</v>
      </c>
      <c r="C115" s="29">
        <f t="shared" si="1"/>
        <v>107</v>
      </c>
      <c r="E115" s="29" t="s">
        <v>1343</v>
      </c>
      <c r="F115" s="29" t="s">
        <v>844</v>
      </c>
      <c r="G115" s="29" t="s">
        <v>844</v>
      </c>
      <c r="H115" s="29" t="s">
        <v>844</v>
      </c>
      <c r="I115" s="29" t="s">
        <v>1351</v>
      </c>
      <c r="J115" s="29" t="s">
        <v>20</v>
      </c>
      <c r="K115" s="29" t="s">
        <v>37</v>
      </c>
      <c r="L115" s="29">
        <v>1</v>
      </c>
      <c r="S115" s="29">
        <v>8</v>
      </c>
    </row>
    <row r="116" spans="1:26" s="29" customFormat="1">
      <c r="A116" s="10">
        <v>112</v>
      </c>
      <c r="C116" s="29">
        <f t="shared" si="1"/>
        <v>108</v>
      </c>
      <c r="E116" s="29" t="s">
        <v>1344</v>
      </c>
      <c r="F116" s="29" t="s">
        <v>844</v>
      </c>
      <c r="G116" s="29" t="s">
        <v>844</v>
      </c>
      <c r="H116" s="29" t="s">
        <v>844</v>
      </c>
      <c r="I116" s="29" t="s">
        <v>1351</v>
      </c>
      <c r="J116" s="29" t="s">
        <v>20</v>
      </c>
      <c r="K116" s="29" t="s">
        <v>37</v>
      </c>
      <c r="L116" s="29">
        <v>1</v>
      </c>
      <c r="S116" s="29">
        <v>8</v>
      </c>
    </row>
    <row r="117" spans="1:26" s="29" customFormat="1">
      <c r="A117" s="10">
        <v>113</v>
      </c>
      <c r="C117" s="29">
        <f t="shared" si="1"/>
        <v>109</v>
      </c>
      <c r="E117" s="29" t="s">
        <v>1345</v>
      </c>
      <c r="F117" s="29" t="s">
        <v>844</v>
      </c>
      <c r="G117" s="29" t="s">
        <v>844</v>
      </c>
      <c r="H117" s="29" t="s">
        <v>844</v>
      </c>
      <c r="I117" s="29" t="s">
        <v>1351</v>
      </c>
      <c r="J117" s="29" t="s">
        <v>20</v>
      </c>
      <c r="K117" s="29" t="s">
        <v>37</v>
      </c>
      <c r="L117" s="29">
        <v>1</v>
      </c>
      <c r="R117" s="29">
        <v>4</v>
      </c>
    </row>
    <row r="118" spans="1:26" s="29" customFormat="1">
      <c r="A118" s="10">
        <v>114</v>
      </c>
      <c r="C118" s="29">
        <f t="shared" si="1"/>
        <v>110</v>
      </c>
      <c r="E118" s="29" t="s">
        <v>1346</v>
      </c>
      <c r="F118" s="29" t="s">
        <v>844</v>
      </c>
      <c r="G118" s="29" t="s">
        <v>844</v>
      </c>
      <c r="H118" s="29" t="s">
        <v>844</v>
      </c>
      <c r="I118" s="29" t="s">
        <v>1351</v>
      </c>
      <c r="J118" s="29" t="s">
        <v>20</v>
      </c>
      <c r="K118" s="29" t="s">
        <v>37</v>
      </c>
      <c r="L118" s="29">
        <v>1</v>
      </c>
      <c r="S118" s="29">
        <v>8</v>
      </c>
    </row>
    <row r="119" spans="1:26" s="29" customFormat="1">
      <c r="A119" s="10">
        <v>115</v>
      </c>
      <c r="C119" s="29">
        <f t="shared" si="1"/>
        <v>111</v>
      </c>
      <c r="E119" s="29" t="s">
        <v>1347</v>
      </c>
      <c r="F119" s="29" t="s">
        <v>844</v>
      </c>
      <c r="G119" s="29" t="s">
        <v>844</v>
      </c>
      <c r="H119" s="29" t="s">
        <v>844</v>
      </c>
      <c r="I119" s="29" t="s">
        <v>1351</v>
      </c>
      <c r="J119" s="29" t="s">
        <v>20</v>
      </c>
      <c r="K119" s="29" t="s">
        <v>37</v>
      </c>
      <c r="L119" s="29">
        <v>1</v>
      </c>
      <c r="R119" s="29">
        <v>4</v>
      </c>
    </row>
    <row r="120" spans="1:26" s="29" customFormat="1">
      <c r="A120" s="10">
        <v>116</v>
      </c>
      <c r="C120" s="29">
        <f t="shared" si="1"/>
        <v>112</v>
      </c>
      <c r="E120" s="29" t="s">
        <v>1348</v>
      </c>
      <c r="F120" s="29" t="s">
        <v>844</v>
      </c>
      <c r="G120" s="29" t="s">
        <v>844</v>
      </c>
      <c r="H120" s="29" t="s">
        <v>844</v>
      </c>
      <c r="I120" s="29" t="s">
        <v>1351</v>
      </c>
      <c r="J120" s="29" t="s">
        <v>20</v>
      </c>
      <c r="K120" s="29" t="s">
        <v>37</v>
      </c>
      <c r="L120" s="29">
        <v>1</v>
      </c>
      <c r="R120" s="29">
        <v>4</v>
      </c>
    </row>
    <row r="121" spans="1:26" s="29" customFormat="1">
      <c r="A121" s="10">
        <v>117</v>
      </c>
      <c r="C121" s="29">
        <f t="shared" si="1"/>
        <v>113</v>
      </c>
      <c r="E121" s="29" t="s">
        <v>1349</v>
      </c>
      <c r="F121" s="29" t="s">
        <v>844</v>
      </c>
      <c r="G121" s="29" t="s">
        <v>844</v>
      </c>
      <c r="H121" s="29" t="s">
        <v>844</v>
      </c>
      <c r="I121" s="29" t="s">
        <v>1351</v>
      </c>
      <c r="J121" s="29" t="s">
        <v>20</v>
      </c>
      <c r="K121" s="29" t="s">
        <v>37</v>
      </c>
      <c r="L121" s="29">
        <v>1</v>
      </c>
      <c r="R121" s="29">
        <v>4</v>
      </c>
    </row>
    <row r="122" spans="1:26" s="29" customFormat="1">
      <c r="A122" s="10">
        <v>118</v>
      </c>
      <c r="C122" s="29">
        <f t="shared" si="1"/>
        <v>114</v>
      </c>
      <c r="E122" s="29" t="s">
        <v>1350</v>
      </c>
      <c r="F122" s="29" t="s">
        <v>844</v>
      </c>
      <c r="G122" s="29" t="s">
        <v>844</v>
      </c>
      <c r="H122" s="29" t="s">
        <v>844</v>
      </c>
      <c r="I122" s="29" t="s">
        <v>1351</v>
      </c>
      <c r="J122" s="29" t="s">
        <v>20</v>
      </c>
      <c r="K122" s="29" t="s">
        <v>37</v>
      </c>
      <c r="L122" s="29">
        <v>1</v>
      </c>
      <c r="R122" s="29">
        <v>4</v>
      </c>
    </row>
    <row r="123" spans="1:26">
      <c r="A123" s="10">
        <v>119</v>
      </c>
      <c r="C123">
        <f t="shared" si="1"/>
        <v>115</v>
      </c>
      <c r="E123" s="29" t="s">
        <v>1356</v>
      </c>
      <c r="F123" s="29" t="s">
        <v>1352</v>
      </c>
      <c r="G123" s="29" t="s">
        <v>1352</v>
      </c>
      <c r="H123" s="29" t="s">
        <v>1359</v>
      </c>
      <c r="I123" s="29" t="s">
        <v>1359</v>
      </c>
      <c r="J123" s="29" t="s">
        <v>19</v>
      </c>
      <c r="K123" s="29" t="s">
        <v>37</v>
      </c>
      <c r="L123" s="29">
        <v>1</v>
      </c>
      <c r="M123" s="29"/>
      <c r="N123" s="29"/>
      <c r="O123" s="29"/>
      <c r="P123" s="29"/>
      <c r="Q123" s="29"/>
      <c r="S123">
        <v>4</v>
      </c>
    </row>
    <row r="124" spans="1:26">
      <c r="C124">
        <f t="shared" si="1"/>
        <v>116</v>
      </c>
      <c r="E124" s="29" t="s">
        <v>1357</v>
      </c>
      <c r="F124" s="29" t="s">
        <v>1352</v>
      </c>
      <c r="G124" s="29" t="s">
        <v>1352</v>
      </c>
      <c r="H124" s="29" t="s">
        <v>1359</v>
      </c>
      <c r="I124" s="29" t="s">
        <v>1359</v>
      </c>
      <c r="J124" s="29" t="s">
        <v>19</v>
      </c>
      <c r="K124" s="29" t="s">
        <v>37</v>
      </c>
      <c r="L124" s="29">
        <v>1</v>
      </c>
      <c r="M124" s="29"/>
      <c r="N124" s="29"/>
      <c r="O124" s="29"/>
      <c r="P124" s="29"/>
      <c r="Q124" s="29"/>
      <c r="S124">
        <v>4</v>
      </c>
    </row>
    <row r="125" spans="1:26">
      <c r="C125">
        <f t="shared" si="1"/>
        <v>117</v>
      </c>
      <c r="E125" s="29" t="s">
        <v>1358</v>
      </c>
      <c r="F125" s="29" t="s">
        <v>1352</v>
      </c>
      <c r="G125" s="29" t="s">
        <v>1352</v>
      </c>
      <c r="H125" s="29" t="s">
        <v>1359</v>
      </c>
      <c r="I125" s="29" t="s">
        <v>1359</v>
      </c>
      <c r="J125" s="29" t="s">
        <v>19</v>
      </c>
      <c r="K125" s="29" t="s">
        <v>37</v>
      </c>
      <c r="L125" s="29">
        <v>1</v>
      </c>
      <c r="M125" s="29"/>
      <c r="N125" s="29"/>
      <c r="O125" s="29"/>
      <c r="P125" s="29"/>
      <c r="Q125" s="29"/>
      <c r="U125">
        <v>24</v>
      </c>
    </row>
    <row r="126" spans="1:26">
      <c r="C126">
        <f t="shared" si="1"/>
        <v>118</v>
      </c>
      <c r="E126" s="29" t="s">
        <v>1353</v>
      </c>
      <c r="F126" s="29" t="s">
        <v>1360</v>
      </c>
      <c r="G126" s="29" t="s">
        <v>1353</v>
      </c>
      <c r="H126" s="29" t="s">
        <v>1361</v>
      </c>
      <c r="I126" s="29" t="s">
        <v>1362</v>
      </c>
      <c r="J126" s="29" t="s">
        <v>19</v>
      </c>
      <c r="K126" s="29" t="s">
        <v>37</v>
      </c>
      <c r="L126" s="29">
        <v>1</v>
      </c>
      <c r="M126" s="29"/>
      <c r="N126" s="29"/>
      <c r="O126" s="29"/>
      <c r="P126" s="29"/>
      <c r="Q126" s="29"/>
      <c r="S126">
        <v>12</v>
      </c>
    </row>
    <row r="127" spans="1:26">
      <c r="C127">
        <f t="shared" si="1"/>
        <v>119</v>
      </c>
      <c r="E127" s="29" t="s">
        <v>504</v>
      </c>
    </row>
    <row r="128" spans="1:26">
      <c r="C128">
        <f t="shared" si="1"/>
        <v>120</v>
      </c>
      <c r="E128" s="29" t="s">
        <v>1354</v>
      </c>
    </row>
    <row r="129" spans="3:5">
      <c r="C129">
        <f t="shared" si="1"/>
        <v>121</v>
      </c>
      <c r="E129" s="29" t="s">
        <v>1355</v>
      </c>
    </row>
    <row r="130" spans="3:5">
      <c r="C130">
        <f t="shared" si="1"/>
        <v>122</v>
      </c>
      <c r="E130" s="29" t="s">
        <v>970</v>
      </c>
    </row>
  </sheetData>
  <mergeCells count="3">
    <mergeCell ref="N7:R7"/>
    <mergeCell ref="T7:U7"/>
    <mergeCell ref="L7:M7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35"/>
  <sheetViews>
    <sheetView topLeftCell="A686" workbookViewId="0">
      <selection activeCell="E585" sqref="E585:E591"/>
    </sheetView>
  </sheetViews>
  <sheetFormatPr defaultRowHeight="15"/>
  <cols>
    <col min="1" max="1" width="4.7109375" customWidth="1"/>
    <col min="2" max="2" width="1.140625" customWidth="1"/>
    <col min="3" max="3" width="15" customWidth="1"/>
    <col min="4" max="4" width="1.7109375" customWidth="1"/>
    <col min="5" max="5" width="37.140625" customWidth="1"/>
    <col min="6" max="6" width="1.7109375" customWidth="1"/>
    <col min="7" max="7" width="4.7109375" customWidth="1"/>
  </cols>
  <sheetData>
    <row r="1" spans="1:7" ht="17.100000000000001" customHeight="1">
      <c r="A1" s="5"/>
      <c r="B1" s="101" t="s">
        <v>64</v>
      </c>
      <c r="C1" s="101"/>
      <c r="D1" s="101"/>
      <c r="E1" s="101"/>
      <c r="F1" s="101"/>
      <c r="G1" s="5"/>
    </row>
    <row r="2" spans="1:7" ht="23.1" customHeight="1">
      <c r="A2" s="5"/>
      <c r="B2" s="102" t="s">
        <v>65</v>
      </c>
      <c r="C2" s="102"/>
      <c r="D2" s="102"/>
      <c r="E2" s="102"/>
      <c r="F2" s="102"/>
      <c r="G2" s="5"/>
    </row>
    <row r="3" spans="1:7" ht="15.95" customHeight="1">
      <c r="A3" s="5"/>
      <c r="B3" s="103" t="s">
        <v>66</v>
      </c>
      <c r="C3" s="103"/>
      <c r="D3" s="103"/>
      <c r="E3" s="103"/>
      <c r="F3" s="103"/>
      <c r="G3" s="5"/>
    </row>
    <row r="4" spans="1:7" ht="12" customHeight="1">
      <c r="A4" s="5"/>
      <c r="B4" s="104" t="s">
        <v>67</v>
      </c>
      <c r="C4" s="104"/>
      <c r="D4" s="104"/>
      <c r="E4" s="104"/>
      <c r="F4" s="104"/>
      <c r="G4" s="5"/>
    </row>
    <row r="5" spans="1:7" ht="33.950000000000003" customHeight="1">
      <c r="A5" s="5"/>
      <c r="B5" s="5"/>
      <c r="C5" s="6" t="s">
        <v>68</v>
      </c>
      <c r="D5" s="5"/>
      <c r="E5" s="6" t="s">
        <v>0</v>
      </c>
      <c r="F5" s="5"/>
      <c r="G5" s="5"/>
    </row>
    <row r="6" spans="1:7" ht="14.1" customHeight="1">
      <c r="A6" s="5"/>
      <c r="B6" s="100" t="s">
        <v>69</v>
      </c>
      <c r="C6" s="100"/>
      <c r="D6" s="100"/>
      <c r="E6" s="100"/>
      <c r="F6" s="5"/>
      <c r="G6" s="5"/>
    </row>
    <row r="7" spans="1:7" ht="14.1" customHeight="1">
      <c r="A7" s="5"/>
      <c r="B7" s="5"/>
      <c r="C7" s="7" t="s">
        <v>70</v>
      </c>
      <c r="D7" s="8"/>
      <c r="E7" s="7" t="s">
        <v>71</v>
      </c>
      <c r="F7" s="5"/>
      <c r="G7" s="5"/>
    </row>
    <row r="8" spans="1:7" ht="14.1" customHeight="1">
      <c r="A8" s="5"/>
      <c r="B8" s="5"/>
      <c r="C8" s="7" t="s">
        <v>72</v>
      </c>
      <c r="D8" s="8"/>
      <c r="E8" s="7" t="s">
        <v>73</v>
      </c>
      <c r="F8" s="5"/>
      <c r="G8" s="5"/>
    </row>
    <row r="9" spans="1:7" ht="14.1" customHeight="1">
      <c r="A9" s="5"/>
      <c r="B9" s="5"/>
      <c r="C9" s="7" t="s">
        <v>74</v>
      </c>
      <c r="D9" s="8"/>
      <c r="E9" s="7" t="s">
        <v>75</v>
      </c>
      <c r="F9" s="5"/>
      <c r="G9" s="5"/>
    </row>
    <row r="10" spans="1:7" ht="14.1" customHeight="1">
      <c r="A10" s="5"/>
      <c r="B10" s="5"/>
      <c r="C10" s="7" t="s">
        <v>76</v>
      </c>
      <c r="D10" s="8"/>
      <c r="E10" s="7" t="s">
        <v>77</v>
      </c>
      <c r="F10" s="5"/>
      <c r="G10" s="5"/>
    </row>
    <row r="11" spans="1:7" ht="14.1" customHeight="1">
      <c r="A11" s="5"/>
      <c r="B11" s="5"/>
      <c r="C11" s="7" t="s">
        <v>78</v>
      </c>
      <c r="D11" s="8"/>
      <c r="E11" s="7" t="s">
        <v>79</v>
      </c>
      <c r="F11" s="5"/>
      <c r="G11" s="5"/>
    </row>
    <row r="12" spans="1:7" ht="14.1" customHeight="1">
      <c r="A12" s="5"/>
      <c r="B12" s="5"/>
      <c r="C12" s="9" t="s">
        <v>80</v>
      </c>
      <c r="D12" s="5"/>
      <c r="E12" s="9" t="s">
        <v>46</v>
      </c>
      <c r="F12" s="5"/>
      <c r="G12" s="5"/>
    </row>
    <row r="13" spans="1:7" ht="14.1" customHeight="1">
      <c r="A13" s="5"/>
      <c r="B13" s="5"/>
      <c r="C13" s="9" t="s">
        <v>81</v>
      </c>
      <c r="D13" s="5"/>
      <c r="E13" s="9" t="s">
        <v>45</v>
      </c>
      <c r="F13" s="5"/>
      <c r="G13" s="5"/>
    </row>
    <row r="14" spans="1:7" ht="14.1" customHeight="1">
      <c r="A14" s="5"/>
      <c r="B14" s="5"/>
      <c r="C14" s="7" t="s">
        <v>82</v>
      </c>
      <c r="D14" s="8"/>
      <c r="E14" s="7" t="s">
        <v>83</v>
      </c>
      <c r="F14" s="5"/>
      <c r="G14" s="5"/>
    </row>
    <row r="15" spans="1:7" ht="14.1" customHeight="1">
      <c r="A15" s="5"/>
      <c r="B15" s="5"/>
      <c r="C15" s="7" t="s">
        <v>84</v>
      </c>
      <c r="D15" s="8"/>
      <c r="E15" s="7" t="s">
        <v>85</v>
      </c>
      <c r="F15" s="5"/>
      <c r="G15" s="5"/>
    </row>
    <row r="16" spans="1:7" ht="14.1" customHeight="1">
      <c r="A16" s="5"/>
      <c r="B16" s="5"/>
      <c r="C16" s="7" t="s">
        <v>86</v>
      </c>
      <c r="D16" s="8"/>
      <c r="E16" s="7" t="s">
        <v>87</v>
      </c>
      <c r="F16" s="5"/>
      <c r="G16" s="5"/>
    </row>
    <row r="17" spans="1:7" ht="14.1" customHeight="1">
      <c r="A17" s="5"/>
      <c r="B17" s="5"/>
      <c r="C17" s="7" t="s">
        <v>88</v>
      </c>
      <c r="D17" s="8"/>
      <c r="E17" s="7" t="s">
        <v>89</v>
      </c>
      <c r="F17" s="5"/>
      <c r="G17" s="5"/>
    </row>
    <row r="18" spans="1:7" ht="14.1" customHeight="1">
      <c r="A18" s="5"/>
      <c r="B18" s="5"/>
      <c r="C18" s="7" t="s">
        <v>90</v>
      </c>
      <c r="D18" s="8"/>
      <c r="E18" s="7" t="s">
        <v>91</v>
      </c>
      <c r="F18" s="5"/>
      <c r="G18" s="5"/>
    </row>
    <row r="19" spans="1:7" ht="14.1" customHeight="1">
      <c r="A19" s="5"/>
      <c r="B19" s="5"/>
      <c r="C19" s="9" t="s">
        <v>92</v>
      </c>
      <c r="D19" s="5"/>
      <c r="E19" s="9" t="s">
        <v>93</v>
      </c>
      <c r="F19" s="5"/>
      <c r="G19" s="5"/>
    </row>
    <row r="20" spans="1:7" ht="14.1" customHeight="1">
      <c r="A20" s="5"/>
      <c r="B20" s="5"/>
      <c r="C20" s="9" t="s">
        <v>94</v>
      </c>
      <c r="D20" s="5"/>
      <c r="E20" s="9" t="s">
        <v>95</v>
      </c>
      <c r="F20" s="5"/>
      <c r="G20" s="5"/>
    </row>
    <row r="21" spans="1:7" ht="23.1" customHeight="1">
      <c r="A21" s="5"/>
      <c r="B21" s="5"/>
      <c r="C21" s="9" t="s">
        <v>96</v>
      </c>
      <c r="D21" s="5"/>
      <c r="E21" s="9" t="s">
        <v>97</v>
      </c>
      <c r="F21" s="5"/>
      <c r="G21" s="5"/>
    </row>
    <row r="22" spans="1:7" ht="14.1" customHeight="1">
      <c r="A22" s="5"/>
      <c r="B22" s="100" t="s">
        <v>98</v>
      </c>
      <c r="C22" s="100"/>
      <c r="D22" s="100"/>
      <c r="E22" s="100"/>
      <c r="F22" s="5"/>
      <c r="G22" s="5"/>
    </row>
    <row r="23" spans="1:7" ht="14.1" customHeight="1">
      <c r="A23" s="5"/>
      <c r="B23" s="5"/>
      <c r="C23" s="9" t="s">
        <v>99</v>
      </c>
      <c r="D23" s="5"/>
      <c r="E23" s="9" t="s">
        <v>100</v>
      </c>
      <c r="F23" s="5"/>
      <c r="G23" s="5"/>
    </row>
    <row r="24" spans="1:7" ht="14.1" customHeight="1">
      <c r="A24" s="5"/>
      <c r="B24" s="5"/>
      <c r="C24" s="9" t="s">
        <v>101</v>
      </c>
      <c r="D24" s="5"/>
      <c r="E24" s="9" t="s">
        <v>102</v>
      </c>
      <c r="F24" s="5"/>
      <c r="G24" s="5"/>
    </row>
    <row r="25" spans="1:7" ht="14.1" customHeight="1">
      <c r="A25" s="5"/>
      <c r="B25" s="5"/>
      <c r="C25" s="9" t="s">
        <v>103</v>
      </c>
      <c r="D25" s="5"/>
      <c r="E25" s="9" t="s">
        <v>104</v>
      </c>
      <c r="F25" s="5"/>
      <c r="G25" s="5"/>
    </row>
    <row r="26" spans="1:7" ht="14.1" customHeight="1">
      <c r="A26" s="5"/>
      <c r="B26" s="5"/>
      <c r="C26" s="9" t="s">
        <v>105</v>
      </c>
      <c r="D26" s="5"/>
      <c r="E26" s="9" t="s">
        <v>106</v>
      </c>
      <c r="F26" s="5"/>
      <c r="G26" s="5"/>
    </row>
    <row r="27" spans="1:7" ht="14.1" customHeight="1">
      <c r="A27" s="5"/>
      <c r="B27" s="5"/>
      <c r="C27" s="9" t="s">
        <v>107</v>
      </c>
      <c r="D27" s="5"/>
      <c r="E27" s="9" t="s">
        <v>108</v>
      </c>
      <c r="F27" s="5"/>
      <c r="G27" s="5"/>
    </row>
    <row r="28" spans="1:7" ht="14.1" customHeight="1">
      <c r="A28" s="5"/>
      <c r="B28" s="5"/>
      <c r="C28" s="9" t="s">
        <v>109</v>
      </c>
      <c r="D28" s="5"/>
      <c r="E28" s="9" t="s">
        <v>110</v>
      </c>
      <c r="F28" s="5"/>
      <c r="G28" s="5"/>
    </row>
    <row r="29" spans="1:7" ht="14.1" customHeight="1">
      <c r="A29" s="5"/>
      <c r="B29" s="100" t="s">
        <v>58</v>
      </c>
      <c r="C29" s="100"/>
      <c r="D29" s="100"/>
      <c r="E29" s="100"/>
      <c r="F29" s="5"/>
      <c r="G29" s="5"/>
    </row>
    <row r="30" spans="1:7" ht="14.1" customHeight="1">
      <c r="A30" s="5"/>
      <c r="B30" s="5"/>
      <c r="C30" s="7" t="s">
        <v>111</v>
      </c>
      <c r="D30" s="8"/>
      <c r="E30" s="7" t="s">
        <v>112</v>
      </c>
      <c r="F30" s="5"/>
      <c r="G30" s="5"/>
    </row>
    <row r="31" spans="1:7" ht="14.1" customHeight="1">
      <c r="A31" s="5"/>
      <c r="B31" s="5"/>
      <c r="C31" s="7" t="s">
        <v>113</v>
      </c>
      <c r="D31" s="8"/>
      <c r="E31" s="7" t="s">
        <v>114</v>
      </c>
      <c r="F31" s="5"/>
      <c r="G31" s="5"/>
    </row>
    <row r="32" spans="1:7" ht="14.1" customHeight="1">
      <c r="A32" s="5"/>
      <c r="B32" s="5"/>
      <c r="C32" s="7" t="s">
        <v>115</v>
      </c>
      <c r="D32" s="8"/>
      <c r="E32" s="7" t="s">
        <v>116</v>
      </c>
      <c r="F32" s="5"/>
      <c r="G32" s="5"/>
    </row>
    <row r="33" spans="1:7" ht="14.1" customHeight="1">
      <c r="A33" s="5"/>
      <c r="B33" s="5"/>
      <c r="C33" s="7" t="s">
        <v>117</v>
      </c>
      <c r="D33" s="8"/>
      <c r="E33" s="7" t="s">
        <v>118</v>
      </c>
      <c r="F33" s="5"/>
      <c r="G33" s="5"/>
    </row>
    <row r="34" spans="1:7" ht="14.1" customHeight="1">
      <c r="A34" s="5"/>
      <c r="B34" s="100" t="s">
        <v>119</v>
      </c>
      <c r="C34" s="100"/>
      <c r="D34" s="100"/>
      <c r="E34" s="100"/>
      <c r="F34" s="5"/>
      <c r="G34" s="5"/>
    </row>
    <row r="35" spans="1:7" ht="23.1" customHeight="1">
      <c r="A35" s="5"/>
      <c r="B35" s="5"/>
      <c r="C35" s="9" t="s">
        <v>120</v>
      </c>
      <c r="D35" s="5"/>
      <c r="E35" s="9" t="s">
        <v>121</v>
      </c>
      <c r="F35" s="5"/>
      <c r="G35" s="5"/>
    </row>
    <row r="36" spans="1:7" ht="23.1" customHeight="1">
      <c r="A36" s="5"/>
      <c r="B36" s="5"/>
      <c r="C36" s="9" t="s">
        <v>122</v>
      </c>
      <c r="D36" s="5"/>
      <c r="E36" s="9" t="s">
        <v>123</v>
      </c>
      <c r="F36" s="5"/>
      <c r="G36" s="5"/>
    </row>
    <row r="37" spans="1:7" ht="14.1" customHeight="1">
      <c r="A37" s="5"/>
      <c r="B37" s="5"/>
      <c r="C37" s="9" t="s">
        <v>124</v>
      </c>
      <c r="D37" s="5"/>
      <c r="E37" s="9" t="s">
        <v>125</v>
      </c>
      <c r="F37" s="5"/>
      <c r="G37" s="5"/>
    </row>
    <row r="38" spans="1:7" ht="23.1" customHeight="1">
      <c r="A38" s="5"/>
      <c r="B38" s="5"/>
      <c r="C38" s="9" t="s">
        <v>126</v>
      </c>
      <c r="D38" s="5"/>
      <c r="E38" s="9" t="s">
        <v>127</v>
      </c>
      <c r="F38" s="5"/>
      <c r="G38" s="5"/>
    </row>
    <row r="39" spans="1:7" ht="14.1" customHeight="1">
      <c r="A39" s="5"/>
      <c r="B39" s="5"/>
      <c r="C39" s="9" t="s">
        <v>128</v>
      </c>
      <c r="D39" s="5"/>
      <c r="E39" s="9" t="s">
        <v>129</v>
      </c>
      <c r="F39" s="5"/>
      <c r="G39" s="5"/>
    </row>
    <row r="40" spans="1:7" ht="14.1" customHeight="1">
      <c r="A40" s="5"/>
      <c r="B40" s="5"/>
      <c r="C40" s="9" t="s">
        <v>130</v>
      </c>
      <c r="D40" s="5"/>
      <c r="E40" s="9" t="s">
        <v>131</v>
      </c>
      <c r="F40" s="5"/>
      <c r="G40" s="5"/>
    </row>
    <row r="41" spans="1:7" ht="14.1" customHeight="1">
      <c r="A41" s="5"/>
      <c r="B41" s="5"/>
      <c r="C41" s="9" t="s">
        <v>132</v>
      </c>
      <c r="D41" s="5"/>
      <c r="E41" s="9" t="s">
        <v>133</v>
      </c>
      <c r="F41" s="5"/>
      <c r="G41" s="5"/>
    </row>
    <row r="42" spans="1:7" ht="23.1" customHeight="1">
      <c r="A42" s="5"/>
      <c r="B42" s="5"/>
      <c r="C42" s="9" t="s">
        <v>134</v>
      </c>
      <c r="D42" s="5"/>
      <c r="E42" s="9" t="s">
        <v>135</v>
      </c>
      <c r="F42" s="5"/>
      <c r="G42" s="5"/>
    </row>
    <row r="43" spans="1:7" ht="14.1" customHeight="1">
      <c r="A43" s="5"/>
      <c r="B43" s="100" t="s">
        <v>136</v>
      </c>
      <c r="C43" s="100"/>
      <c r="D43" s="100"/>
      <c r="E43" s="100"/>
      <c r="F43" s="5"/>
      <c r="G43" s="5"/>
    </row>
    <row r="44" spans="1:7" ht="14.1" customHeight="1" thickBot="1">
      <c r="A44" s="5"/>
      <c r="B44" s="5"/>
      <c r="C44" s="9" t="s">
        <v>137</v>
      </c>
      <c r="D44" s="5"/>
      <c r="E44" s="9" t="s">
        <v>138</v>
      </c>
      <c r="F44" s="5"/>
      <c r="G44" s="5"/>
    </row>
    <row r="45" spans="1:7" ht="0.95" customHeight="1">
      <c r="A45" s="5"/>
      <c r="B45" s="106"/>
      <c r="C45" s="106"/>
      <c r="D45" s="106"/>
      <c r="E45" s="106"/>
      <c r="F45" s="106"/>
      <c r="G45" s="5"/>
    </row>
    <row r="46" spans="1:7" ht="12.95" customHeight="1">
      <c r="A46" s="5"/>
      <c r="B46" s="107" t="s">
        <v>139</v>
      </c>
      <c r="C46" s="107"/>
      <c r="D46" s="107"/>
      <c r="E46" s="107"/>
      <c r="F46" s="107"/>
      <c r="G46" s="5"/>
    </row>
    <row r="47" spans="1:7" ht="12.95" customHeight="1">
      <c r="A47" s="5"/>
      <c r="B47" s="107"/>
      <c r="C47" s="107"/>
      <c r="D47" s="107"/>
      <c r="E47" s="107"/>
      <c r="F47" s="107"/>
      <c r="G47" s="5"/>
    </row>
    <row r="48" spans="1:7" ht="12.95" customHeight="1">
      <c r="A48" s="5"/>
      <c r="B48" s="108" t="s">
        <v>140</v>
      </c>
      <c r="C48" s="108"/>
      <c r="D48" s="108"/>
      <c r="E48" s="108"/>
      <c r="F48" s="108"/>
      <c r="G48" s="5"/>
    </row>
    <row r="49" spans="1:7" ht="12.95" customHeight="1">
      <c r="A49" s="5"/>
      <c r="B49" s="105" t="s">
        <v>141</v>
      </c>
      <c r="C49" s="105"/>
      <c r="D49" s="105"/>
      <c r="E49" s="105"/>
      <c r="F49" s="105"/>
      <c r="G49" s="5"/>
    </row>
    <row r="50" spans="1:7" ht="17.100000000000001" customHeight="1">
      <c r="A50" s="5"/>
      <c r="B50" s="101" t="s">
        <v>64</v>
      </c>
      <c r="C50" s="101"/>
      <c r="D50" s="101"/>
      <c r="E50" s="101"/>
      <c r="F50" s="101"/>
      <c r="G50" s="5"/>
    </row>
    <row r="51" spans="1:7" ht="23.1" customHeight="1">
      <c r="A51" s="5"/>
      <c r="B51" s="102" t="s">
        <v>65</v>
      </c>
      <c r="C51" s="102"/>
      <c r="D51" s="102"/>
      <c r="E51" s="102"/>
      <c r="F51" s="102"/>
      <c r="G51" s="5"/>
    </row>
    <row r="52" spans="1:7" ht="15.95" customHeight="1">
      <c r="A52" s="5"/>
      <c r="B52" s="103" t="s">
        <v>66</v>
      </c>
      <c r="C52" s="103"/>
      <c r="D52" s="103"/>
      <c r="E52" s="103"/>
      <c r="F52" s="103"/>
      <c r="G52" s="5"/>
    </row>
    <row r="53" spans="1:7" ht="12" customHeight="1">
      <c r="A53" s="5"/>
      <c r="B53" s="104" t="s">
        <v>67</v>
      </c>
      <c r="C53" s="104"/>
      <c r="D53" s="104"/>
      <c r="E53" s="104"/>
      <c r="F53" s="104"/>
      <c r="G53" s="5"/>
    </row>
    <row r="54" spans="1:7" ht="33.950000000000003" customHeight="1">
      <c r="A54" s="5"/>
      <c r="B54" s="5"/>
      <c r="C54" s="6" t="s">
        <v>68</v>
      </c>
      <c r="D54" s="5"/>
      <c r="E54" s="6" t="s">
        <v>0</v>
      </c>
      <c r="F54" s="5"/>
      <c r="G54" s="5"/>
    </row>
    <row r="55" spans="1:7" ht="14.1" customHeight="1">
      <c r="A55" s="5"/>
      <c r="B55" s="5"/>
      <c r="C55" s="9" t="s">
        <v>142</v>
      </c>
      <c r="D55" s="5"/>
      <c r="E55" s="9" t="s">
        <v>143</v>
      </c>
      <c r="F55" s="5"/>
      <c r="G55" s="5"/>
    </row>
    <row r="56" spans="1:7" ht="14.1" customHeight="1">
      <c r="A56" s="5"/>
      <c r="B56" s="5"/>
      <c r="C56" s="9" t="s">
        <v>144</v>
      </c>
      <c r="D56" s="5"/>
      <c r="E56" s="9" t="s">
        <v>145</v>
      </c>
      <c r="F56" s="5"/>
      <c r="G56" s="5"/>
    </row>
    <row r="57" spans="1:7" ht="14.1" customHeight="1">
      <c r="A57" s="5"/>
      <c r="B57" s="5"/>
      <c r="C57" s="9" t="s">
        <v>146</v>
      </c>
      <c r="D57" s="5"/>
      <c r="E57" s="9" t="s">
        <v>147</v>
      </c>
      <c r="F57" s="5"/>
      <c r="G57" s="5"/>
    </row>
    <row r="58" spans="1:7" ht="14.1" customHeight="1">
      <c r="A58" s="5"/>
      <c r="B58" s="5"/>
      <c r="C58" s="9" t="s">
        <v>148</v>
      </c>
      <c r="D58" s="5"/>
      <c r="E58" s="9" t="s">
        <v>149</v>
      </c>
      <c r="F58" s="5"/>
      <c r="G58" s="5"/>
    </row>
    <row r="59" spans="1:7" ht="23.1" customHeight="1">
      <c r="A59" s="5"/>
      <c r="B59" s="5"/>
      <c r="C59" s="9" t="s">
        <v>150</v>
      </c>
      <c r="D59" s="5"/>
      <c r="E59" s="9" t="s">
        <v>151</v>
      </c>
      <c r="F59" s="5"/>
      <c r="G59" s="5"/>
    </row>
    <row r="60" spans="1:7" ht="14.1" customHeight="1">
      <c r="A60" s="5"/>
      <c r="B60" s="5"/>
      <c r="C60" s="9" t="s">
        <v>152</v>
      </c>
      <c r="D60" s="5"/>
      <c r="E60" s="9" t="s">
        <v>153</v>
      </c>
      <c r="F60" s="5"/>
      <c r="G60" s="5"/>
    </row>
    <row r="61" spans="1:7" ht="14.1" customHeight="1">
      <c r="A61" s="5"/>
      <c r="B61" s="5"/>
      <c r="C61" s="9" t="s">
        <v>154</v>
      </c>
      <c r="D61" s="5"/>
      <c r="E61" s="9" t="s">
        <v>155</v>
      </c>
      <c r="F61" s="5"/>
      <c r="G61" s="5"/>
    </row>
    <row r="62" spans="1:7" ht="14.1" customHeight="1">
      <c r="A62" s="5"/>
      <c r="B62" s="5"/>
      <c r="C62" s="9" t="s">
        <v>156</v>
      </c>
      <c r="D62" s="5"/>
      <c r="E62" s="9" t="s">
        <v>157</v>
      </c>
      <c r="F62" s="5"/>
      <c r="G62" s="5"/>
    </row>
    <row r="63" spans="1:7" ht="23.1" customHeight="1">
      <c r="A63" s="5"/>
      <c r="B63" s="5"/>
      <c r="C63" s="9" t="s">
        <v>158</v>
      </c>
      <c r="D63" s="5"/>
      <c r="E63" s="9" t="s">
        <v>159</v>
      </c>
      <c r="F63" s="5"/>
      <c r="G63" s="5"/>
    </row>
    <row r="64" spans="1:7" ht="14.1" customHeight="1">
      <c r="A64" s="5"/>
      <c r="B64" s="5"/>
      <c r="C64" s="9" t="s">
        <v>160</v>
      </c>
      <c r="D64" s="5"/>
      <c r="E64" s="9" t="s">
        <v>161</v>
      </c>
      <c r="F64" s="5"/>
      <c r="G64" s="5"/>
    </row>
    <row r="65" spans="1:7" ht="14.1" customHeight="1">
      <c r="A65" s="5"/>
      <c r="B65" s="5"/>
      <c r="C65" s="9" t="s">
        <v>162</v>
      </c>
      <c r="D65" s="5"/>
      <c r="E65" s="9" t="s">
        <v>163</v>
      </c>
      <c r="F65" s="5"/>
      <c r="G65" s="5"/>
    </row>
    <row r="66" spans="1:7" ht="14.1" customHeight="1">
      <c r="A66" s="5"/>
      <c r="B66" s="5"/>
      <c r="C66" s="9" t="s">
        <v>164</v>
      </c>
      <c r="D66" s="5"/>
      <c r="E66" s="9" t="s">
        <v>165</v>
      </c>
      <c r="F66" s="5"/>
      <c r="G66" s="5"/>
    </row>
    <row r="67" spans="1:7" ht="14.1" customHeight="1">
      <c r="A67" s="5"/>
      <c r="B67" s="5"/>
      <c r="C67" s="9" t="s">
        <v>166</v>
      </c>
      <c r="D67" s="5"/>
      <c r="E67" s="9" t="s">
        <v>167</v>
      </c>
      <c r="F67" s="5"/>
      <c r="G67" s="5"/>
    </row>
    <row r="68" spans="1:7" ht="23.1" customHeight="1">
      <c r="A68" s="5"/>
      <c r="B68" s="5"/>
      <c r="C68" s="9" t="s">
        <v>168</v>
      </c>
      <c r="D68" s="5"/>
      <c r="E68" s="9" t="s">
        <v>169</v>
      </c>
      <c r="F68" s="5"/>
      <c r="G68" s="5"/>
    </row>
    <row r="69" spans="1:7" ht="23.1" customHeight="1">
      <c r="A69" s="5"/>
      <c r="B69" s="5"/>
      <c r="C69" s="9" t="s">
        <v>170</v>
      </c>
      <c r="D69" s="5"/>
      <c r="E69" s="9" t="s">
        <v>171</v>
      </c>
      <c r="F69" s="5"/>
      <c r="G69" s="5"/>
    </row>
    <row r="70" spans="1:7" ht="14.1" customHeight="1">
      <c r="A70" s="5"/>
      <c r="B70" s="5"/>
      <c r="C70" s="9" t="s">
        <v>172</v>
      </c>
      <c r="D70" s="5"/>
      <c r="E70" s="9" t="s">
        <v>173</v>
      </c>
      <c r="F70" s="5"/>
      <c r="G70" s="5"/>
    </row>
    <row r="71" spans="1:7" ht="14.1" customHeight="1">
      <c r="A71" s="5"/>
      <c r="B71" s="5"/>
      <c r="C71" s="9" t="s">
        <v>174</v>
      </c>
      <c r="D71" s="5"/>
      <c r="E71" s="9" t="s">
        <v>175</v>
      </c>
      <c r="F71" s="5"/>
      <c r="G71" s="5"/>
    </row>
    <row r="72" spans="1:7" ht="14.1" customHeight="1">
      <c r="A72" s="5"/>
      <c r="B72" s="5"/>
      <c r="C72" s="9" t="s">
        <v>176</v>
      </c>
      <c r="D72" s="5"/>
      <c r="E72" s="9" t="s">
        <v>177</v>
      </c>
      <c r="F72" s="5"/>
      <c r="G72" s="5"/>
    </row>
    <row r="73" spans="1:7" ht="14.1" customHeight="1">
      <c r="A73" s="5"/>
      <c r="B73" s="5"/>
      <c r="C73" s="9" t="s">
        <v>178</v>
      </c>
      <c r="D73" s="5"/>
      <c r="E73" s="9" t="s">
        <v>179</v>
      </c>
      <c r="F73" s="5"/>
      <c r="G73" s="5"/>
    </row>
    <row r="74" spans="1:7" ht="14.1" customHeight="1">
      <c r="A74" s="5"/>
      <c r="B74" s="5"/>
      <c r="C74" s="9" t="s">
        <v>180</v>
      </c>
      <c r="D74" s="5"/>
      <c r="E74" s="9" t="s">
        <v>181</v>
      </c>
      <c r="F74" s="5"/>
      <c r="G74" s="5"/>
    </row>
    <row r="75" spans="1:7" ht="23.1" customHeight="1">
      <c r="A75" s="5"/>
      <c r="B75" s="5"/>
      <c r="C75" s="9" t="s">
        <v>182</v>
      </c>
      <c r="D75" s="5"/>
      <c r="E75" s="9" t="s">
        <v>183</v>
      </c>
      <c r="F75" s="5"/>
      <c r="G75" s="5"/>
    </row>
    <row r="76" spans="1:7" ht="14.1" customHeight="1">
      <c r="A76" s="5"/>
      <c r="B76" s="5"/>
      <c r="C76" s="9" t="s">
        <v>184</v>
      </c>
      <c r="D76" s="5"/>
      <c r="E76" s="9" t="s">
        <v>185</v>
      </c>
      <c r="F76" s="5"/>
      <c r="G76" s="5"/>
    </row>
    <row r="77" spans="1:7" ht="14.1" customHeight="1">
      <c r="A77" s="5"/>
      <c r="B77" s="5"/>
      <c r="C77" s="9" t="s">
        <v>186</v>
      </c>
      <c r="D77" s="5"/>
      <c r="E77" s="9" t="s">
        <v>187</v>
      </c>
      <c r="F77" s="5"/>
      <c r="G77" s="5"/>
    </row>
    <row r="78" spans="1:7" ht="14.1" customHeight="1">
      <c r="A78" s="5"/>
      <c r="B78" s="5"/>
      <c r="C78" s="9" t="s">
        <v>188</v>
      </c>
      <c r="D78" s="5"/>
      <c r="E78" s="9" t="s">
        <v>189</v>
      </c>
      <c r="F78" s="5"/>
      <c r="G78" s="5"/>
    </row>
    <row r="79" spans="1:7" ht="14.1" customHeight="1">
      <c r="A79" s="5"/>
      <c r="B79" s="5"/>
      <c r="C79" s="9" t="s">
        <v>190</v>
      </c>
      <c r="D79" s="5"/>
      <c r="E79" s="9" t="s">
        <v>191</v>
      </c>
      <c r="F79" s="5"/>
      <c r="G79" s="5"/>
    </row>
    <row r="80" spans="1:7" ht="14.1" customHeight="1">
      <c r="A80" s="5"/>
      <c r="B80" s="5"/>
      <c r="C80" s="9" t="s">
        <v>192</v>
      </c>
      <c r="D80" s="5"/>
      <c r="E80" s="9" t="s">
        <v>193</v>
      </c>
      <c r="F80" s="5"/>
      <c r="G80" s="5"/>
    </row>
    <row r="81" spans="1:7" ht="14.1" customHeight="1">
      <c r="A81" s="5"/>
      <c r="B81" s="5"/>
      <c r="C81" s="9" t="s">
        <v>194</v>
      </c>
      <c r="D81" s="5"/>
      <c r="E81" s="9" t="s">
        <v>195</v>
      </c>
      <c r="F81" s="5"/>
      <c r="G81" s="5"/>
    </row>
    <row r="82" spans="1:7" ht="14.1" customHeight="1">
      <c r="A82" s="5"/>
      <c r="B82" s="5"/>
      <c r="C82" s="9" t="s">
        <v>196</v>
      </c>
      <c r="D82" s="5"/>
      <c r="E82" s="9" t="s">
        <v>197</v>
      </c>
      <c r="F82" s="5"/>
      <c r="G82" s="5"/>
    </row>
    <row r="83" spans="1:7" ht="14.1" customHeight="1">
      <c r="A83" s="5"/>
      <c r="B83" s="5"/>
      <c r="C83" s="9" t="s">
        <v>198</v>
      </c>
      <c r="D83" s="5"/>
      <c r="E83" s="9" t="s">
        <v>199</v>
      </c>
      <c r="F83" s="5"/>
      <c r="G83" s="5"/>
    </row>
    <row r="84" spans="1:7" ht="14.1" customHeight="1">
      <c r="A84" s="5"/>
      <c r="B84" s="5"/>
      <c r="C84" s="9" t="s">
        <v>200</v>
      </c>
      <c r="D84" s="5"/>
      <c r="E84" s="9" t="s">
        <v>201</v>
      </c>
      <c r="F84" s="5"/>
      <c r="G84" s="5"/>
    </row>
    <row r="85" spans="1:7" ht="14.1" customHeight="1">
      <c r="A85" s="5"/>
      <c r="B85" s="100" t="s">
        <v>202</v>
      </c>
      <c r="C85" s="100"/>
      <c r="D85" s="100"/>
      <c r="E85" s="100"/>
      <c r="F85" s="5"/>
      <c r="G85" s="5"/>
    </row>
    <row r="86" spans="1:7" ht="14.1" customHeight="1">
      <c r="A86" s="5"/>
      <c r="B86" s="5"/>
      <c r="C86" s="9" t="s">
        <v>203</v>
      </c>
      <c r="D86" s="5"/>
      <c r="E86" s="9" t="s">
        <v>204</v>
      </c>
      <c r="F86" s="5"/>
      <c r="G86" s="5"/>
    </row>
    <row r="87" spans="1:7" ht="23.1" customHeight="1">
      <c r="A87" s="5"/>
      <c r="B87" s="5"/>
      <c r="C87" s="9" t="s">
        <v>205</v>
      </c>
      <c r="D87" s="5"/>
      <c r="E87" s="9" t="s">
        <v>206</v>
      </c>
      <c r="F87" s="5"/>
      <c r="G87" s="5"/>
    </row>
    <row r="88" spans="1:7" ht="14.1" customHeight="1">
      <c r="A88" s="5"/>
      <c r="B88" s="100" t="s">
        <v>207</v>
      </c>
      <c r="C88" s="100"/>
      <c r="D88" s="100"/>
      <c r="E88" s="100"/>
      <c r="F88" s="5"/>
      <c r="G88" s="5"/>
    </row>
    <row r="89" spans="1:7" ht="14.1" customHeight="1">
      <c r="A89" s="5"/>
      <c r="B89" s="5"/>
      <c r="C89" s="9" t="s">
        <v>208</v>
      </c>
      <c r="D89" s="5"/>
      <c r="E89" s="9" t="s">
        <v>209</v>
      </c>
      <c r="F89" s="5"/>
      <c r="G89" s="5"/>
    </row>
    <row r="90" spans="1:7" ht="23.1" customHeight="1">
      <c r="A90" s="5"/>
      <c r="B90" s="5"/>
      <c r="C90" s="9" t="s">
        <v>210</v>
      </c>
      <c r="D90" s="5"/>
      <c r="E90" s="9" t="s">
        <v>211</v>
      </c>
      <c r="F90" s="5"/>
      <c r="G90" s="5"/>
    </row>
    <row r="91" spans="1:7" ht="23.1" customHeight="1" thickBot="1">
      <c r="A91" s="5"/>
      <c r="B91" s="5"/>
      <c r="C91" s="9" t="s">
        <v>212</v>
      </c>
      <c r="D91" s="5"/>
      <c r="E91" s="9" t="s">
        <v>213</v>
      </c>
      <c r="F91" s="5"/>
      <c r="G91" s="5"/>
    </row>
    <row r="92" spans="1:7" ht="0.95" customHeight="1">
      <c r="A92" s="5"/>
      <c r="B92" s="106"/>
      <c r="C92" s="106"/>
      <c r="D92" s="106"/>
      <c r="E92" s="106"/>
      <c r="F92" s="106"/>
      <c r="G92" s="5"/>
    </row>
    <row r="93" spans="1:7" ht="12.95" customHeight="1">
      <c r="A93" s="5"/>
      <c r="B93" s="107" t="s">
        <v>139</v>
      </c>
      <c r="C93" s="107"/>
      <c r="D93" s="107"/>
      <c r="E93" s="107"/>
      <c r="F93" s="107"/>
      <c r="G93" s="5"/>
    </row>
    <row r="94" spans="1:7" ht="12.95" customHeight="1">
      <c r="A94" s="5"/>
      <c r="B94" s="107"/>
      <c r="C94" s="107"/>
      <c r="D94" s="107"/>
      <c r="E94" s="107"/>
      <c r="F94" s="107"/>
      <c r="G94" s="5"/>
    </row>
    <row r="95" spans="1:7" ht="12.95" customHeight="1">
      <c r="A95" s="5"/>
      <c r="B95" s="108" t="s">
        <v>140</v>
      </c>
      <c r="C95" s="108"/>
      <c r="D95" s="108"/>
      <c r="E95" s="108"/>
      <c r="F95" s="108"/>
      <c r="G95" s="5"/>
    </row>
    <row r="96" spans="1:7" ht="12.95" customHeight="1">
      <c r="A96" s="5"/>
      <c r="B96" s="105" t="s">
        <v>214</v>
      </c>
      <c r="C96" s="105"/>
      <c r="D96" s="105"/>
      <c r="E96" s="105"/>
      <c r="F96" s="105"/>
      <c r="G96" s="5"/>
    </row>
    <row r="97" spans="1:7" ht="17.100000000000001" customHeight="1">
      <c r="A97" s="5"/>
      <c r="B97" s="101" t="s">
        <v>64</v>
      </c>
      <c r="C97" s="101"/>
      <c r="D97" s="101"/>
      <c r="E97" s="101"/>
      <c r="F97" s="101"/>
      <c r="G97" s="5"/>
    </row>
    <row r="98" spans="1:7" ht="23.1" customHeight="1">
      <c r="A98" s="5"/>
      <c r="B98" s="102" t="s">
        <v>65</v>
      </c>
      <c r="C98" s="102"/>
      <c r="D98" s="102"/>
      <c r="E98" s="102"/>
      <c r="F98" s="102"/>
      <c r="G98" s="5"/>
    </row>
    <row r="99" spans="1:7" ht="15.95" customHeight="1">
      <c r="A99" s="5"/>
      <c r="B99" s="103" t="s">
        <v>66</v>
      </c>
      <c r="C99" s="103"/>
      <c r="D99" s="103"/>
      <c r="E99" s="103"/>
      <c r="F99" s="103"/>
      <c r="G99" s="5"/>
    </row>
    <row r="100" spans="1:7" ht="12" customHeight="1">
      <c r="A100" s="5"/>
      <c r="B100" s="104" t="s">
        <v>67</v>
      </c>
      <c r="C100" s="104"/>
      <c r="D100" s="104"/>
      <c r="E100" s="104"/>
      <c r="F100" s="104"/>
      <c r="G100" s="5"/>
    </row>
    <row r="101" spans="1:7" ht="33.950000000000003" customHeight="1">
      <c r="A101" s="5"/>
      <c r="B101" s="5"/>
      <c r="C101" s="6" t="s">
        <v>68</v>
      </c>
      <c r="D101" s="5"/>
      <c r="E101" s="6" t="s">
        <v>0</v>
      </c>
      <c r="F101" s="5"/>
      <c r="G101" s="5"/>
    </row>
    <row r="102" spans="1:7" ht="14.1" customHeight="1">
      <c r="A102" s="5"/>
      <c r="B102" s="5"/>
      <c r="C102" s="9" t="s">
        <v>215</v>
      </c>
      <c r="D102" s="5"/>
      <c r="E102" s="9" t="s">
        <v>216</v>
      </c>
      <c r="F102" s="5"/>
      <c r="G102" s="5"/>
    </row>
    <row r="103" spans="1:7" ht="14.1" customHeight="1">
      <c r="A103" s="5"/>
      <c r="B103" s="5"/>
      <c r="C103" s="9" t="s">
        <v>217</v>
      </c>
      <c r="D103" s="5"/>
      <c r="E103" s="9" t="s">
        <v>218</v>
      </c>
      <c r="F103" s="5"/>
      <c r="G103" s="5"/>
    </row>
    <row r="104" spans="1:7" ht="23.1" customHeight="1">
      <c r="A104" s="5"/>
      <c r="B104" s="5"/>
      <c r="C104" s="9" t="s">
        <v>219</v>
      </c>
      <c r="D104" s="5"/>
      <c r="E104" s="9" t="s">
        <v>220</v>
      </c>
      <c r="F104" s="5"/>
      <c r="G104" s="5"/>
    </row>
    <row r="105" spans="1:7" ht="14.1" customHeight="1">
      <c r="A105" s="5"/>
      <c r="B105" s="5"/>
      <c r="C105" s="9" t="s">
        <v>221</v>
      </c>
      <c r="D105" s="5"/>
      <c r="E105" s="9" t="s">
        <v>222</v>
      </c>
      <c r="F105" s="5"/>
      <c r="G105" s="5"/>
    </row>
    <row r="106" spans="1:7" ht="14.1" customHeight="1">
      <c r="A106" s="5"/>
      <c r="B106" s="5"/>
      <c r="C106" s="9" t="s">
        <v>223</v>
      </c>
      <c r="D106" s="5"/>
      <c r="E106" s="9" t="s">
        <v>224</v>
      </c>
      <c r="F106" s="5"/>
      <c r="G106" s="5"/>
    </row>
    <row r="107" spans="1:7" ht="23.1" customHeight="1">
      <c r="A107" s="5"/>
      <c r="B107" s="5"/>
      <c r="C107" s="9" t="s">
        <v>225</v>
      </c>
      <c r="D107" s="5"/>
      <c r="E107" s="9" t="s">
        <v>226</v>
      </c>
      <c r="F107" s="5"/>
      <c r="G107" s="5"/>
    </row>
    <row r="108" spans="1:7" ht="23.1" customHeight="1">
      <c r="A108" s="5"/>
      <c r="B108" s="5"/>
      <c r="C108" s="9" t="s">
        <v>227</v>
      </c>
      <c r="D108" s="5"/>
      <c r="E108" s="9" t="s">
        <v>228</v>
      </c>
      <c r="F108" s="5"/>
      <c r="G108" s="5"/>
    </row>
    <row r="109" spans="1:7" ht="14.1" customHeight="1">
      <c r="A109" s="5"/>
      <c r="B109" s="5"/>
      <c r="C109" s="9" t="s">
        <v>229</v>
      </c>
      <c r="D109" s="5"/>
      <c r="E109" s="9" t="s">
        <v>230</v>
      </c>
      <c r="F109" s="5"/>
      <c r="G109" s="5"/>
    </row>
    <row r="110" spans="1:7" ht="23.1" customHeight="1">
      <c r="A110" s="5"/>
      <c r="B110" s="5"/>
      <c r="C110" s="9" t="s">
        <v>231</v>
      </c>
      <c r="D110" s="5"/>
      <c r="E110" s="9" t="s">
        <v>232</v>
      </c>
      <c r="F110" s="5"/>
      <c r="G110" s="5"/>
    </row>
    <row r="111" spans="1:7" ht="14.1" customHeight="1">
      <c r="A111" s="5"/>
      <c r="B111" s="5"/>
      <c r="C111" s="9" t="s">
        <v>233</v>
      </c>
      <c r="D111" s="5"/>
      <c r="E111" s="9" t="s">
        <v>234</v>
      </c>
      <c r="F111" s="5"/>
      <c r="G111" s="5"/>
    </row>
    <row r="112" spans="1:7" ht="14.1" customHeight="1">
      <c r="A112" s="5"/>
      <c r="B112" s="5"/>
      <c r="C112" s="9" t="s">
        <v>235</v>
      </c>
      <c r="D112" s="5"/>
      <c r="E112" s="9" t="s">
        <v>236</v>
      </c>
      <c r="F112" s="5"/>
      <c r="G112" s="5"/>
    </row>
    <row r="113" spans="1:7" ht="14.1" customHeight="1">
      <c r="A113" s="5"/>
      <c r="B113" s="5"/>
      <c r="C113" s="9" t="s">
        <v>237</v>
      </c>
      <c r="D113" s="5"/>
      <c r="E113" s="9" t="s">
        <v>238</v>
      </c>
      <c r="F113" s="5"/>
      <c r="G113" s="5"/>
    </row>
    <row r="114" spans="1:7" ht="14.1" customHeight="1">
      <c r="A114" s="5"/>
      <c r="B114" s="5"/>
      <c r="C114" s="9" t="s">
        <v>239</v>
      </c>
      <c r="D114" s="5"/>
      <c r="E114" s="9" t="s">
        <v>240</v>
      </c>
      <c r="F114" s="5"/>
      <c r="G114" s="5"/>
    </row>
    <row r="115" spans="1:7" ht="23.1" customHeight="1">
      <c r="A115" s="5"/>
      <c r="B115" s="5"/>
      <c r="C115" s="9" t="s">
        <v>241</v>
      </c>
      <c r="D115" s="5"/>
      <c r="E115" s="9" t="s">
        <v>242</v>
      </c>
      <c r="F115" s="5"/>
      <c r="G115" s="5"/>
    </row>
    <row r="116" spans="1:7" ht="23.1" customHeight="1">
      <c r="A116" s="5"/>
      <c r="B116" s="5"/>
      <c r="C116" s="9" t="s">
        <v>243</v>
      </c>
      <c r="D116" s="5"/>
      <c r="E116" s="9" t="s">
        <v>244</v>
      </c>
      <c r="F116" s="5"/>
      <c r="G116" s="5"/>
    </row>
    <row r="117" spans="1:7" ht="14.1" customHeight="1">
      <c r="A117" s="5"/>
      <c r="B117" s="5"/>
      <c r="C117" s="9" t="s">
        <v>245</v>
      </c>
      <c r="D117" s="5"/>
      <c r="E117" s="9" t="s">
        <v>246</v>
      </c>
      <c r="F117" s="5"/>
      <c r="G117" s="5"/>
    </row>
    <row r="118" spans="1:7" ht="14.1" customHeight="1">
      <c r="A118" s="5"/>
      <c r="B118" s="5"/>
      <c r="C118" s="9" t="s">
        <v>247</v>
      </c>
      <c r="D118" s="5"/>
      <c r="E118" s="9" t="s">
        <v>248</v>
      </c>
      <c r="F118" s="5"/>
      <c r="G118" s="5"/>
    </row>
    <row r="119" spans="1:7" ht="23.1" customHeight="1">
      <c r="A119" s="5"/>
      <c r="B119" s="100" t="s">
        <v>249</v>
      </c>
      <c r="C119" s="100"/>
      <c r="D119" s="100"/>
      <c r="E119" s="100"/>
      <c r="F119" s="5"/>
      <c r="G119" s="5"/>
    </row>
    <row r="120" spans="1:7" ht="14.1" customHeight="1">
      <c r="A120" s="5"/>
      <c r="B120" s="5"/>
      <c r="C120" s="9" t="s">
        <v>250</v>
      </c>
      <c r="D120" s="5"/>
      <c r="E120" s="9" t="s">
        <v>251</v>
      </c>
      <c r="F120" s="5"/>
      <c r="G120" s="5"/>
    </row>
    <row r="121" spans="1:7" ht="14.1" customHeight="1">
      <c r="A121" s="5"/>
      <c r="B121" s="5"/>
      <c r="C121" s="9" t="s">
        <v>252</v>
      </c>
      <c r="D121" s="5"/>
      <c r="E121" s="9" t="s">
        <v>253</v>
      </c>
      <c r="F121" s="5"/>
      <c r="G121" s="5"/>
    </row>
    <row r="122" spans="1:7" ht="14.1" customHeight="1">
      <c r="A122" s="5"/>
      <c r="B122" s="5"/>
      <c r="C122" s="9" t="s">
        <v>254</v>
      </c>
      <c r="D122" s="5"/>
      <c r="E122" s="9" t="s">
        <v>255</v>
      </c>
      <c r="F122" s="5"/>
      <c r="G122" s="5"/>
    </row>
    <row r="123" spans="1:7" ht="14.1" customHeight="1">
      <c r="A123" s="5"/>
      <c r="B123" s="5"/>
      <c r="C123" s="9" t="s">
        <v>256</v>
      </c>
      <c r="D123" s="5"/>
      <c r="E123" s="9" t="s">
        <v>257</v>
      </c>
      <c r="F123" s="5"/>
      <c r="G123" s="5"/>
    </row>
    <row r="124" spans="1:7" ht="14.1" customHeight="1">
      <c r="A124" s="5"/>
      <c r="B124" s="5"/>
      <c r="C124" s="9" t="s">
        <v>258</v>
      </c>
      <c r="D124" s="5"/>
      <c r="E124" s="9" t="s">
        <v>259</v>
      </c>
      <c r="F124" s="5"/>
      <c r="G124" s="5"/>
    </row>
    <row r="125" spans="1:7" ht="14.1" customHeight="1">
      <c r="A125" s="5"/>
      <c r="B125" s="5"/>
      <c r="C125" s="9" t="s">
        <v>260</v>
      </c>
      <c r="D125" s="5"/>
      <c r="E125" s="9" t="s">
        <v>261</v>
      </c>
      <c r="F125" s="5"/>
      <c r="G125" s="5"/>
    </row>
    <row r="126" spans="1:7" ht="14.1" customHeight="1">
      <c r="A126" s="5"/>
      <c r="B126" s="5"/>
      <c r="C126" s="9" t="s">
        <v>262</v>
      </c>
      <c r="D126" s="5"/>
      <c r="E126" s="9" t="s">
        <v>263</v>
      </c>
      <c r="F126" s="5"/>
      <c r="G126" s="5"/>
    </row>
    <row r="127" spans="1:7" ht="14.1" customHeight="1">
      <c r="A127" s="5"/>
      <c r="B127" s="5"/>
      <c r="C127" s="9" t="s">
        <v>264</v>
      </c>
      <c r="D127" s="5"/>
      <c r="E127" s="9" t="s">
        <v>265</v>
      </c>
      <c r="F127" s="5"/>
      <c r="G127" s="5"/>
    </row>
    <row r="128" spans="1:7" ht="14.1" customHeight="1">
      <c r="A128" s="5"/>
      <c r="B128" s="5"/>
      <c r="C128" s="9" t="s">
        <v>266</v>
      </c>
      <c r="D128" s="5"/>
      <c r="E128" s="9" t="s">
        <v>267</v>
      </c>
      <c r="F128" s="5"/>
      <c r="G128" s="5"/>
    </row>
    <row r="129" spans="1:7" ht="14.1" customHeight="1">
      <c r="A129" s="5"/>
      <c r="B129" s="5"/>
      <c r="C129" s="9" t="s">
        <v>268</v>
      </c>
      <c r="D129" s="5"/>
      <c r="E129" s="9" t="s">
        <v>269</v>
      </c>
      <c r="F129" s="5"/>
      <c r="G129" s="5"/>
    </row>
    <row r="130" spans="1:7" ht="14.1" customHeight="1">
      <c r="A130" s="5"/>
      <c r="B130" s="5"/>
      <c r="C130" s="9" t="s">
        <v>270</v>
      </c>
      <c r="D130" s="5"/>
      <c r="E130" s="9" t="s">
        <v>271</v>
      </c>
      <c r="F130" s="5"/>
      <c r="G130" s="5"/>
    </row>
    <row r="131" spans="1:7" ht="14.1" customHeight="1">
      <c r="A131" s="5"/>
      <c r="B131" s="5"/>
      <c r="C131" s="9" t="s">
        <v>272</v>
      </c>
      <c r="D131" s="5"/>
      <c r="E131" s="9" t="s">
        <v>273</v>
      </c>
      <c r="F131" s="5"/>
      <c r="G131" s="5"/>
    </row>
    <row r="132" spans="1:7" ht="14.1" customHeight="1">
      <c r="A132" s="5"/>
      <c r="B132" s="100" t="s">
        <v>274</v>
      </c>
      <c r="C132" s="100"/>
      <c r="D132" s="100"/>
      <c r="E132" s="100"/>
      <c r="F132" s="5"/>
      <c r="G132" s="5"/>
    </row>
    <row r="133" spans="1:7" ht="14.1" customHeight="1">
      <c r="A133" s="5"/>
      <c r="B133" s="5"/>
      <c r="C133" s="9" t="s">
        <v>275</v>
      </c>
      <c r="D133" s="5"/>
      <c r="E133" s="9" t="s">
        <v>276</v>
      </c>
      <c r="F133" s="5"/>
      <c r="G133" s="5"/>
    </row>
    <row r="134" spans="1:7" ht="23.1" customHeight="1">
      <c r="A134" s="5"/>
      <c r="B134" s="5"/>
      <c r="C134" s="9" t="s">
        <v>277</v>
      </c>
      <c r="D134" s="5"/>
      <c r="E134" s="9" t="s">
        <v>278</v>
      </c>
      <c r="F134" s="5"/>
      <c r="G134" s="5"/>
    </row>
    <row r="135" spans="1:7" ht="14.1" customHeight="1">
      <c r="A135" s="5"/>
      <c r="B135" s="5"/>
      <c r="C135" s="9" t="s">
        <v>279</v>
      </c>
      <c r="D135" s="5"/>
      <c r="E135" s="9" t="s">
        <v>280</v>
      </c>
      <c r="F135" s="5"/>
      <c r="G135" s="5"/>
    </row>
    <row r="136" spans="1:7" ht="14.1" customHeight="1">
      <c r="A136" s="5"/>
      <c r="B136" s="5"/>
      <c r="C136" s="9" t="s">
        <v>281</v>
      </c>
      <c r="D136" s="5"/>
      <c r="E136" s="9" t="s">
        <v>282</v>
      </c>
      <c r="F136" s="5"/>
      <c r="G136" s="5"/>
    </row>
    <row r="137" spans="1:7" ht="14.1" customHeight="1">
      <c r="A137" s="5"/>
      <c r="B137" s="5"/>
      <c r="C137" s="9" t="s">
        <v>283</v>
      </c>
      <c r="D137" s="5"/>
      <c r="E137" s="9" t="s">
        <v>284</v>
      </c>
      <c r="F137" s="5"/>
      <c r="G137" s="5"/>
    </row>
    <row r="138" spans="1:7" ht="14.1" customHeight="1" thickBot="1">
      <c r="A138" s="5"/>
      <c r="B138" s="5"/>
      <c r="C138" s="9" t="s">
        <v>285</v>
      </c>
      <c r="D138" s="5"/>
      <c r="E138" s="9" t="s">
        <v>286</v>
      </c>
      <c r="F138" s="5"/>
      <c r="G138" s="5"/>
    </row>
    <row r="139" spans="1:7" ht="0.95" customHeight="1">
      <c r="A139" s="5"/>
      <c r="B139" s="106"/>
      <c r="C139" s="106"/>
      <c r="D139" s="106"/>
      <c r="E139" s="106"/>
      <c r="F139" s="106"/>
      <c r="G139" s="5"/>
    </row>
    <row r="140" spans="1:7" ht="12.95" customHeight="1">
      <c r="A140" s="5"/>
      <c r="B140" s="107" t="s">
        <v>139</v>
      </c>
      <c r="C140" s="107"/>
      <c r="D140" s="107"/>
      <c r="E140" s="107"/>
      <c r="F140" s="107"/>
      <c r="G140" s="5"/>
    </row>
    <row r="141" spans="1:7" ht="12.95" customHeight="1">
      <c r="A141" s="5"/>
      <c r="B141" s="107"/>
      <c r="C141" s="107"/>
      <c r="D141" s="107"/>
      <c r="E141" s="107"/>
      <c r="F141" s="107"/>
      <c r="G141" s="5"/>
    </row>
    <row r="142" spans="1:7" ht="12.95" customHeight="1">
      <c r="A142" s="5"/>
      <c r="B142" s="108" t="s">
        <v>140</v>
      </c>
      <c r="C142" s="108"/>
      <c r="D142" s="108"/>
      <c r="E142" s="108"/>
      <c r="F142" s="108"/>
      <c r="G142" s="5"/>
    </row>
    <row r="143" spans="1:7" ht="12.95" customHeight="1">
      <c r="A143" s="5"/>
      <c r="B143" s="105" t="s">
        <v>287</v>
      </c>
      <c r="C143" s="105"/>
      <c r="D143" s="105"/>
      <c r="E143" s="105"/>
      <c r="F143" s="105"/>
      <c r="G143" s="5"/>
    </row>
    <row r="144" spans="1:7" ht="17.100000000000001" customHeight="1">
      <c r="A144" s="5"/>
      <c r="B144" s="101" t="s">
        <v>64</v>
      </c>
      <c r="C144" s="101"/>
      <c r="D144" s="101"/>
      <c r="E144" s="101"/>
      <c r="F144" s="101"/>
      <c r="G144" s="5"/>
    </row>
    <row r="145" spans="1:7" ht="23.1" customHeight="1">
      <c r="A145" s="5"/>
      <c r="B145" s="102" t="s">
        <v>65</v>
      </c>
      <c r="C145" s="102"/>
      <c r="D145" s="102"/>
      <c r="E145" s="102"/>
      <c r="F145" s="102"/>
      <c r="G145" s="5"/>
    </row>
    <row r="146" spans="1:7" ht="15.95" customHeight="1">
      <c r="A146" s="5"/>
      <c r="B146" s="103" t="s">
        <v>66</v>
      </c>
      <c r="C146" s="103"/>
      <c r="D146" s="103"/>
      <c r="E146" s="103"/>
      <c r="F146" s="103"/>
      <c r="G146" s="5"/>
    </row>
    <row r="147" spans="1:7" ht="12" customHeight="1">
      <c r="A147" s="5"/>
      <c r="B147" s="104" t="s">
        <v>67</v>
      </c>
      <c r="C147" s="104"/>
      <c r="D147" s="104"/>
      <c r="E147" s="104"/>
      <c r="F147" s="104"/>
      <c r="G147" s="5"/>
    </row>
    <row r="148" spans="1:7" ht="33.950000000000003" customHeight="1">
      <c r="A148" s="5"/>
      <c r="B148" s="5"/>
      <c r="C148" s="6" t="s">
        <v>68</v>
      </c>
      <c r="D148" s="5"/>
      <c r="E148" s="6" t="s">
        <v>0</v>
      </c>
      <c r="F148" s="5"/>
      <c r="G148" s="5"/>
    </row>
    <row r="149" spans="1:7" ht="14.1" customHeight="1">
      <c r="A149" s="5"/>
      <c r="B149" s="5"/>
      <c r="C149" s="9" t="s">
        <v>288</v>
      </c>
      <c r="D149" s="5"/>
      <c r="E149" s="9" t="s">
        <v>289</v>
      </c>
      <c r="F149" s="5"/>
      <c r="G149" s="5"/>
    </row>
    <row r="150" spans="1:7" ht="23.1" customHeight="1">
      <c r="A150" s="5"/>
      <c r="B150" s="5"/>
      <c r="C150" s="9" t="s">
        <v>290</v>
      </c>
      <c r="D150" s="5"/>
      <c r="E150" s="9" t="s">
        <v>291</v>
      </c>
      <c r="F150" s="5"/>
      <c r="G150" s="5"/>
    </row>
    <row r="151" spans="1:7" ht="23.1" customHeight="1">
      <c r="A151" s="5"/>
      <c r="B151" s="5"/>
      <c r="C151" s="9" t="s">
        <v>292</v>
      </c>
      <c r="D151" s="5"/>
      <c r="E151" s="9" t="s">
        <v>293</v>
      </c>
      <c r="F151" s="5"/>
      <c r="G151" s="5"/>
    </row>
    <row r="152" spans="1:7" ht="14.1" customHeight="1">
      <c r="A152" s="5"/>
      <c r="B152" s="5"/>
      <c r="C152" s="9" t="s">
        <v>294</v>
      </c>
      <c r="D152" s="5"/>
      <c r="E152" s="9" t="s">
        <v>295</v>
      </c>
      <c r="F152" s="5"/>
      <c r="G152" s="5"/>
    </row>
    <row r="153" spans="1:7" ht="23.1" customHeight="1">
      <c r="A153" s="5"/>
      <c r="B153" s="5"/>
      <c r="C153" s="9" t="s">
        <v>296</v>
      </c>
      <c r="D153" s="5"/>
      <c r="E153" s="9" t="s">
        <v>297</v>
      </c>
      <c r="F153" s="5"/>
      <c r="G153" s="5"/>
    </row>
    <row r="154" spans="1:7" ht="14.1" customHeight="1">
      <c r="A154" s="5"/>
      <c r="B154" s="5"/>
      <c r="C154" s="9" t="s">
        <v>298</v>
      </c>
      <c r="D154" s="5"/>
      <c r="E154" s="9" t="s">
        <v>299</v>
      </c>
      <c r="F154" s="5"/>
      <c r="G154" s="5"/>
    </row>
    <row r="155" spans="1:7" ht="14.1" customHeight="1">
      <c r="A155" s="5"/>
      <c r="B155" s="5"/>
      <c r="C155" s="9" t="s">
        <v>300</v>
      </c>
      <c r="D155" s="5"/>
      <c r="E155" s="9" t="s">
        <v>301</v>
      </c>
      <c r="F155" s="5"/>
      <c r="G155" s="5"/>
    </row>
    <row r="156" spans="1:7" ht="14.1" customHeight="1">
      <c r="A156" s="5"/>
      <c r="B156" s="5"/>
      <c r="C156" s="9" t="s">
        <v>302</v>
      </c>
      <c r="D156" s="5"/>
      <c r="E156" s="9" t="s">
        <v>303</v>
      </c>
      <c r="F156" s="5"/>
      <c r="G156" s="5"/>
    </row>
    <row r="157" spans="1:7" ht="14.1" customHeight="1">
      <c r="A157" s="5"/>
      <c r="B157" s="5"/>
      <c r="C157" s="9" t="s">
        <v>304</v>
      </c>
      <c r="D157" s="5"/>
      <c r="E157" s="9" t="s">
        <v>305</v>
      </c>
      <c r="F157" s="5"/>
      <c r="G157" s="5"/>
    </row>
    <row r="158" spans="1:7" ht="14.1" customHeight="1">
      <c r="A158" s="5"/>
      <c r="B158" s="5"/>
      <c r="C158" s="9" t="s">
        <v>306</v>
      </c>
      <c r="D158" s="5"/>
      <c r="E158" s="9" t="s">
        <v>307</v>
      </c>
      <c r="F158" s="5"/>
      <c r="G158" s="5"/>
    </row>
    <row r="159" spans="1:7" ht="23.1" customHeight="1">
      <c r="A159" s="5"/>
      <c r="B159" s="5"/>
      <c r="C159" s="9" t="s">
        <v>308</v>
      </c>
      <c r="D159" s="5"/>
      <c r="E159" s="9" t="s">
        <v>309</v>
      </c>
      <c r="F159" s="5"/>
      <c r="G159" s="5"/>
    </row>
    <row r="160" spans="1:7" ht="14.1" customHeight="1">
      <c r="A160" s="5"/>
      <c r="B160" s="5"/>
      <c r="C160" s="9" t="s">
        <v>310</v>
      </c>
      <c r="D160" s="5"/>
      <c r="E160" s="9" t="s">
        <v>311</v>
      </c>
      <c r="F160" s="5"/>
      <c r="G160" s="5"/>
    </row>
    <row r="161" spans="1:7" ht="14.1" customHeight="1">
      <c r="A161" s="5"/>
      <c r="B161" s="5"/>
      <c r="C161" s="9" t="s">
        <v>312</v>
      </c>
      <c r="D161" s="5"/>
      <c r="E161" s="9" t="s">
        <v>313</v>
      </c>
      <c r="F161" s="5"/>
      <c r="G161" s="5"/>
    </row>
    <row r="162" spans="1:7" ht="23.1" customHeight="1">
      <c r="A162" s="5"/>
      <c r="B162" s="5"/>
      <c r="C162" s="9" t="s">
        <v>314</v>
      </c>
      <c r="D162" s="5"/>
      <c r="E162" s="9" t="s">
        <v>315</v>
      </c>
      <c r="F162" s="5"/>
      <c r="G162" s="5"/>
    </row>
    <row r="163" spans="1:7" ht="23.1" customHeight="1">
      <c r="A163" s="5"/>
      <c r="B163" s="5"/>
      <c r="C163" s="9" t="s">
        <v>316</v>
      </c>
      <c r="D163" s="5"/>
      <c r="E163" s="9" t="s">
        <v>317</v>
      </c>
      <c r="F163" s="5"/>
      <c r="G163" s="5"/>
    </row>
    <row r="164" spans="1:7" ht="23.1" customHeight="1">
      <c r="A164" s="5"/>
      <c r="B164" s="5"/>
      <c r="C164" s="9" t="s">
        <v>318</v>
      </c>
      <c r="D164" s="5"/>
      <c r="E164" s="9" t="s">
        <v>319</v>
      </c>
      <c r="F164" s="5"/>
      <c r="G164" s="5"/>
    </row>
    <row r="165" spans="1:7" ht="14.1" customHeight="1">
      <c r="A165" s="5"/>
      <c r="B165" s="5"/>
      <c r="C165" s="9" t="s">
        <v>320</v>
      </c>
      <c r="D165" s="5"/>
      <c r="E165" s="9" t="s">
        <v>321</v>
      </c>
      <c r="F165" s="5"/>
      <c r="G165" s="5"/>
    </row>
    <row r="166" spans="1:7" ht="14.1" customHeight="1">
      <c r="A166" s="5"/>
      <c r="B166" s="5"/>
      <c r="C166" s="9" t="s">
        <v>322</v>
      </c>
      <c r="D166" s="5"/>
      <c r="E166" s="9" t="s">
        <v>323</v>
      </c>
      <c r="F166" s="5"/>
      <c r="G166" s="5"/>
    </row>
    <row r="167" spans="1:7" ht="23.1" customHeight="1">
      <c r="A167" s="5"/>
      <c r="B167" s="5"/>
      <c r="C167" s="9" t="s">
        <v>324</v>
      </c>
      <c r="D167" s="5"/>
      <c r="E167" s="9" t="s">
        <v>325</v>
      </c>
      <c r="F167" s="5"/>
      <c r="G167" s="5"/>
    </row>
    <row r="168" spans="1:7" ht="14.1" customHeight="1">
      <c r="A168" s="5"/>
      <c r="B168" s="5"/>
      <c r="C168" s="9" t="s">
        <v>326</v>
      </c>
      <c r="D168" s="5"/>
      <c r="E168" s="9" t="s">
        <v>327</v>
      </c>
      <c r="F168" s="5"/>
      <c r="G168" s="5"/>
    </row>
    <row r="169" spans="1:7" ht="14.1" customHeight="1">
      <c r="A169" s="5"/>
      <c r="B169" s="5"/>
      <c r="C169" s="9" t="s">
        <v>328</v>
      </c>
      <c r="D169" s="5"/>
      <c r="E169" s="9" t="s">
        <v>329</v>
      </c>
      <c r="F169" s="5"/>
      <c r="G169" s="5"/>
    </row>
    <row r="170" spans="1:7" ht="14.1" customHeight="1">
      <c r="A170" s="5"/>
      <c r="B170" s="5"/>
      <c r="C170" s="9" t="s">
        <v>330</v>
      </c>
      <c r="D170" s="5"/>
      <c r="E170" s="9" t="s">
        <v>331</v>
      </c>
      <c r="F170" s="5"/>
      <c r="G170" s="5"/>
    </row>
    <row r="171" spans="1:7" ht="14.1" customHeight="1">
      <c r="A171" s="5"/>
      <c r="B171" s="100" t="s">
        <v>332</v>
      </c>
      <c r="C171" s="100"/>
      <c r="D171" s="100"/>
      <c r="E171" s="100"/>
      <c r="F171" s="5"/>
      <c r="G171" s="5"/>
    </row>
    <row r="172" spans="1:7" ht="14.1" customHeight="1">
      <c r="A172" s="5"/>
      <c r="B172" s="5"/>
      <c r="C172" s="9" t="s">
        <v>333</v>
      </c>
      <c r="D172" s="5"/>
      <c r="E172" s="9" t="s">
        <v>334</v>
      </c>
      <c r="F172" s="5"/>
      <c r="G172" s="5"/>
    </row>
    <row r="173" spans="1:7" ht="14.1" customHeight="1">
      <c r="A173" s="5"/>
      <c r="B173" s="5"/>
      <c r="C173" s="9" t="s">
        <v>335</v>
      </c>
      <c r="D173" s="5"/>
      <c r="E173" s="9" t="s">
        <v>336</v>
      </c>
      <c r="F173" s="5"/>
      <c r="G173" s="5"/>
    </row>
    <row r="174" spans="1:7" ht="14.1" customHeight="1">
      <c r="A174" s="5"/>
      <c r="B174" s="5"/>
      <c r="C174" s="9" t="s">
        <v>337</v>
      </c>
      <c r="D174" s="5"/>
      <c r="E174" s="9" t="s">
        <v>338</v>
      </c>
      <c r="F174" s="5"/>
      <c r="G174" s="5"/>
    </row>
    <row r="175" spans="1:7" ht="14.1" customHeight="1">
      <c r="A175" s="5"/>
      <c r="B175" s="5"/>
      <c r="C175" s="9" t="s">
        <v>339</v>
      </c>
      <c r="D175" s="5"/>
      <c r="E175" s="9" t="s">
        <v>340</v>
      </c>
      <c r="F175" s="5"/>
      <c r="G175" s="5"/>
    </row>
    <row r="176" spans="1:7" ht="14.1" customHeight="1">
      <c r="A176" s="5"/>
      <c r="B176" s="5"/>
      <c r="C176" s="9" t="s">
        <v>341</v>
      </c>
      <c r="D176" s="5"/>
      <c r="E176" s="9" t="s">
        <v>342</v>
      </c>
      <c r="F176" s="5"/>
      <c r="G176" s="5"/>
    </row>
    <row r="177" spans="1:7" ht="14.1" customHeight="1">
      <c r="A177" s="5"/>
      <c r="B177" s="5"/>
      <c r="C177" s="9" t="s">
        <v>343</v>
      </c>
      <c r="D177" s="5"/>
      <c r="E177" s="9" t="s">
        <v>344</v>
      </c>
      <c r="F177" s="5"/>
      <c r="G177" s="5"/>
    </row>
    <row r="178" spans="1:7" ht="14.1" customHeight="1">
      <c r="A178" s="5"/>
      <c r="B178" s="5"/>
      <c r="C178" s="9" t="s">
        <v>345</v>
      </c>
      <c r="D178" s="5"/>
      <c r="E178" s="9" t="s">
        <v>346</v>
      </c>
      <c r="F178" s="5"/>
      <c r="G178" s="5"/>
    </row>
    <row r="179" spans="1:7" ht="14.1" customHeight="1">
      <c r="A179" s="5"/>
      <c r="B179" s="5"/>
      <c r="C179" s="9" t="s">
        <v>347</v>
      </c>
      <c r="D179" s="5"/>
      <c r="E179" s="9" t="s">
        <v>348</v>
      </c>
      <c r="F179" s="5"/>
      <c r="G179" s="5"/>
    </row>
    <row r="180" spans="1:7" ht="14.1" customHeight="1">
      <c r="A180" s="5"/>
      <c r="B180" s="5"/>
      <c r="C180" s="9" t="s">
        <v>349</v>
      </c>
      <c r="D180" s="5"/>
      <c r="E180" s="9" t="s">
        <v>350</v>
      </c>
      <c r="F180" s="5"/>
      <c r="G180" s="5"/>
    </row>
    <row r="181" spans="1:7" ht="14.1" customHeight="1">
      <c r="A181" s="5"/>
      <c r="B181" s="5"/>
      <c r="C181" s="9" t="s">
        <v>351</v>
      </c>
      <c r="D181" s="5"/>
      <c r="E181" s="9" t="s">
        <v>352</v>
      </c>
      <c r="F181" s="5"/>
      <c r="G181" s="5"/>
    </row>
    <row r="182" spans="1:7" ht="14.1" customHeight="1">
      <c r="A182" s="5"/>
      <c r="B182" s="5"/>
      <c r="C182" s="9" t="s">
        <v>353</v>
      </c>
      <c r="D182" s="5"/>
      <c r="E182" s="9" t="s">
        <v>354</v>
      </c>
      <c r="F182" s="5"/>
      <c r="G182" s="5"/>
    </row>
    <row r="183" spans="1:7" ht="23.1" customHeight="1">
      <c r="A183" s="5"/>
      <c r="B183" s="5"/>
      <c r="C183" s="9" t="s">
        <v>355</v>
      </c>
      <c r="D183" s="5"/>
      <c r="E183" s="9" t="s">
        <v>356</v>
      </c>
      <c r="F183" s="5"/>
      <c r="G183" s="5"/>
    </row>
    <row r="184" spans="1:7" ht="14.1" customHeight="1" thickBot="1">
      <c r="A184" s="5"/>
      <c r="B184" s="5"/>
      <c r="C184" s="9" t="s">
        <v>357</v>
      </c>
      <c r="D184" s="5"/>
      <c r="E184" s="9" t="s">
        <v>358</v>
      </c>
      <c r="F184" s="5"/>
      <c r="G184" s="5"/>
    </row>
    <row r="185" spans="1:7" ht="0.95" customHeight="1">
      <c r="A185" s="5"/>
      <c r="B185" s="106"/>
      <c r="C185" s="106"/>
      <c r="D185" s="106"/>
      <c r="E185" s="106"/>
      <c r="F185" s="106"/>
      <c r="G185" s="5"/>
    </row>
    <row r="186" spans="1:7" ht="12.95" customHeight="1">
      <c r="A186" s="5"/>
      <c r="B186" s="107" t="s">
        <v>139</v>
      </c>
      <c r="C186" s="107"/>
      <c r="D186" s="107"/>
      <c r="E186" s="107"/>
      <c r="F186" s="107"/>
      <c r="G186" s="5"/>
    </row>
    <row r="187" spans="1:7" ht="12.95" customHeight="1">
      <c r="A187" s="5"/>
      <c r="B187" s="107"/>
      <c r="C187" s="107"/>
      <c r="D187" s="107"/>
      <c r="E187" s="107"/>
      <c r="F187" s="107"/>
      <c r="G187" s="5"/>
    </row>
    <row r="188" spans="1:7" ht="12.95" customHeight="1">
      <c r="A188" s="5"/>
      <c r="B188" s="108" t="s">
        <v>140</v>
      </c>
      <c r="C188" s="108"/>
      <c r="D188" s="108"/>
      <c r="E188" s="108"/>
      <c r="F188" s="108"/>
      <c r="G188" s="5"/>
    </row>
    <row r="189" spans="1:7" ht="12.95" customHeight="1">
      <c r="A189" s="5"/>
      <c r="B189" s="105" t="s">
        <v>359</v>
      </c>
      <c r="C189" s="105"/>
      <c r="D189" s="105"/>
      <c r="E189" s="105"/>
      <c r="F189" s="105"/>
      <c r="G189" s="5"/>
    </row>
    <row r="190" spans="1:7" ht="17.100000000000001" customHeight="1">
      <c r="A190" s="5"/>
      <c r="B190" s="101" t="s">
        <v>64</v>
      </c>
      <c r="C190" s="101"/>
      <c r="D190" s="101"/>
      <c r="E190" s="101"/>
      <c r="F190" s="101"/>
      <c r="G190" s="5"/>
    </row>
    <row r="191" spans="1:7" ht="23.1" customHeight="1">
      <c r="A191" s="5"/>
      <c r="B191" s="102" t="s">
        <v>65</v>
      </c>
      <c r="C191" s="102"/>
      <c r="D191" s="102"/>
      <c r="E191" s="102"/>
      <c r="F191" s="102"/>
      <c r="G191" s="5"/>
    </row>
    <row r="192" spans="1:7" ht="15.95" customHeight="1">
      <c r="A192" s="5"/>
      <c r="B192" s="103" t="s">
        <v>66</v>
      </c>
      <c r="C192" s="103"/>
      <c r="D192" s="103"/>
      <c r="E192" s="103"/>
      <c r="F192" s="103"/>
      <c r="G192" s="5"/>
    </row>
    <row r="193" spans="1:7" ht="12" customHeight="1">
      <c r="A193" s="5"/>
      <c r="B193" s="104" t="s">
        <v>67</v>
      </c>
      <c r="C193" s="104"/>
      <c r="D193" s="104"/>
      <c r="E193" s="104"/>
      <c r="F193" s="104"/>
      <c r="G193" s="5"/>
    </row>
    <row r="194" spans="1:7" ht="33.950000000000003" customHeight="1">
      <c r="A194" s="5"/>
      <c r="B194" s="5"/>
      <c r="C194" s="6" t="s">
        <v>68</v>
      </c>
      <c r="D194" s="5"/>
      <c r="E194" s="6" t="s">
        <v>0</v>
      </c>
      <c r="F194" s="5"/>
      <c r="G194" s="5"/>
    </row>
    <row r="195" spans="1:7" ht="14.1" customHeight="1">
      <c r="A195" s="5"/>
      <c r="B195" s="5"/>
      <c r="C195" s="9" t="s">
        <v>360</v>
      </c>
      <c r="D195" s="5"/>
      <c r="E195" s="9" t="s">
        <v>361</v>
      </c>
      <c r="F195" s="5"/>
      <c r="G195" s="5"/>
    </row>
    <row r="196" spans="1:7" ht="14.1" customHeight="1">
      <c r="A196" s="5"/>
      <c r="B196" s="5"/>
      <c r="C196" s="9" t="s">
        <v>362</v>
      </c>
      <c r="D196" s="5"/>
      <c r="E196" s="9" t="s">
        <v>363</v>
      </c>
      <c r="F196" s="5"/>
      <c r="G196" s="5"/>
    </row>
    <row r="197" spans="1:7" ht="14.1" customHeight="1">
      <c r="A197" s="5"/>
      <c r="B197" s="5"/>
      <c r="C197" s="9" t="s">
        <v>364</v>
      </c>
      <c r="D197" s="5"/>
      <c r="E197" s="9" t="s">
        <v>365</v>
      </c>
      <c r="F197" s="5"/>
      <c r="G197" s="5"/>
    </row>
    <row r="198" spans="1:7" ht="23.1" customHeight="1">
      <c r="A198" s="5"/>
      <c r="B198" s="5"/>
      <c r="C198" s="9" t="s">
        <v>366</v>
      </c>
      <c r="D198" s="5"/>
      <c r="E198" s="9" t="s">
        <v>367</v>
      </c>
      <c r="F198" s="5"/>
      <c r="G198" s="5"/>
    </row>
    <row r="199" spans="1:7" ht="14.1" customHeight="1">
      <c r="A199" s="5"/>
      <c r="B199" s="100" t="s">
        <v>368</v>
      </c>
      <c r="C199" s="100"/>
      <c r="D199" s="100"/>
      <c r="E199" s="100"/>
      <c r="F199" s="5"/>
      <c r="G199" s="5"/>
    </row>
    <row r="200" spans="1:7" ht="14.1" customHeight="1">
      <c r="A200" s="5"/>
      <c r="B200" s="5"/>
      <c r="C200" s="9" t="s">
        <v>369</v>
      </c>
      <c r="D200" s="5"/>
      <c r="E200" s="9" t="s">
        <v>370</v>
      </c>
      <c r="F200" s="5"/>
      <c r="G200" s="5"/>
    </row>
    <row r="201" spans="1:7" ht="14.1" customHeight="1">
      <c r="A201" s="5"/>
      <c r="B201" s="5"/>
      <c r="C201" s="9" t="s">
        <v>371</v>
      </c>
      <c r="D201" s="5"/>
      <c r="E201" s="9" t="s">
        <v>372</v>
      </c>
      <c r="F201" s="5"/>
      <c r="G201" s="5"/>
    </row>
    <row r="202" spans="1:7" ht="14.1" customHeight="1">
      <c r="A202" s="5"/>
      <c r="B202" s="5"/>
      <c r="C202" s="9" t="s">
        <v>373</v>
      </c>
      <c r="D202" s="5"/>
      <c r="E202" s="9" t="s">
        <v>374</v>
      </c>
      <c r="F202" s="5"/>
      <c r="G202" s="5"/>
    </row>
    <row r="203" spans="1:7" ht="14.1" customHeight="1">
      <c r="A203" s="5"/>
      <c r="B203" s="5"/>
      <c r="C203" s="9" t="s">
        <v>375</v>
      </c>
      <c r="D203" s="5"/>
      <c r="E203" s="9" t="s">
        <v>376</v>
      </c>
      <c r="F203" s="5"/>
      <c r="G203" s="5"/>
    </row>
    <row r="204" spans="1:7" ht="14.1" customHeight="1">
      <c r="A204" s="5"/>
      <c r="B204" s="5"/>
      <c r="C204" s="9" t="s">
        <v>377</v>
      </c>
      <c r="D204" s="5"/>
      <c r="E204" s="9" t="s">
        <v>378</v>
      </c>
      <c r="F204" s="5"/>
      <c r="G204" s="5"/>
    </row>
    <row r="205" spans="1:7" ht="14.1" customHeight="1">
      <c r="A205" s="5"/>
      <c r="B205" s="5"/>
      <c r="C205" s="9" t="s">
        <v>379</v>
      </c>
      <c r="D205" s="5"/>
      <c r="E205" s="9" t="s">
        <v>380</v>
      </c>
      <c r="F205" s="5"/>
      <c r="G205" s="5"/>
    </row>
    <row r="206" spans="1:7" ht="14.1" customHeight="1">
      <c r="A206" s="5"/>
      <c r="B206" s="5"/>
      <c r="C206" s="9" t="s">
        <v>381</v>
      </c>
      <c r="D206" s="5"/>
      <c r="E206" s="9" t="s">
        <v>382</v>
      </c>
      <c r="F206" s="5"/>
      <c r="G206" s="5"/>
    </row>
    <row r="207" spans="1:7" ht="14.1" customHeight="1">
      <c r="A207" s="5"/>
      <c r="B207" s="5"/>
      <c r="C207" s="9" t="s">
        <v>383</v>
      </c>
      <c r="D207" s="5"/>
      <c r="E207" s="9" t="s">
        <v>384</v>
      </c>
      <c r="F207" s="5"/>
      <c r="G207" s="5"/>
    </row>
    <row r="208" spans="1:7" ht="14.1" customHeight="1">
      <c r="A208" s="5"/>
      <c r="B208" s="100" t="s">
        <v>385</v>
      </c>
      <c r="C208" s="100"/>
      <c r="D208" s="100"/>
      <c r="E208" s="100"/>
      <c r="F208" s="5"/>
      <c r="G208" s="5"/>
    </row>
    <row r="209" spans="1:7" ht="14.1" customHeight="1">
      <c r="A209" s="5"/>
      <c r="B209" s="5"/>
      <c r="C209" s="9" t="s">
        <v>386</v>
      </c>
      <c r="D209" s="5"/>
      <c r="E209" s="9" t="s">
        <v>387</v>
      </c>
      <c r="F209" s="5"/>
      <c r="G209" s="5"/>
    </row>
    <row r="210" spans="1:7" ht="14.1" customHeight="1">
      <c r="A210" s="5"/>
      <c r="B210" s="5"/>
      <c r="C210" s="9" t="s">
        <v>388</v>
      </c>
      <c r="D210" s="5"/>
      <c r="E210" s="9" t="s">
        <v>389</v>
      </c>
      <c r="F210" s="5"/>
      <c r="G210" s="5"/>
    </row>
    <row r="211" spans="1:7" ht="14.1" customHeight="1">
      <c r="A211" s="5"/>
      <c r="B211" s="5"/>
      <c r="C211" s="9" t="s">
        <v>390</v>
      </c>
      <c r="D211" s="5"/>
      <c r="E211" s="9" t="s">
        <v>391</v>
      </c>
      <c r="F211" s="5"/>
      <c r="G211" s="5"/>
    </row>
    <row r="212" spans="1:7" ht="14.1" customHeight="1">
      <c r="A212" s="5"/>
      <c r="B212" s="5"/>
      <c r="C212" s="9" t="s">
        <v>392</v>
      </c>
      <c r="D212" s="5"/>
      <c r="E212" s="9" t="s">
        <v>393</v>
      </c>
      <c r="F212" s="5"/>
      <c r="G212" s="5"/>
    </row>
    <row r="213" spans="1:7" ht="23.1" customHeight="1">
      <c r="A213" s="5"/>
      <c r="B213" s="5"/>
      <c r="C213" s="9" t="s">
        <v>394</v>
      </c>
      <c r="D213" s="5"/>
      <c r="E213" s="9" t="s">
        <v>395</v>
      </c>
      <c r="F213" s="5"/>
      <c r="G213" s="5"/>
    </row>
    <row r="214" spans="1:7" ht="14.1" customHeight="1">
      <c r="A214" s="5"/>
      <c r="B214" s="5"/>
      <c r="C214" s="9" t="s">
        <v>396</v>
      </c>
      <c r="D214" s="5"/>
      <c r="E214" s="9" t="s">
        <v>397</v>
      </c>
      <c r="F214" s="5"/>
      <c r="G214" s="5"/>
    </row>
    <row r="215" spans="1:7" ht="14.1" customHeight="1">
      <c r="A215" s="5"/>
      <c r="B215" s="5"/>
      <c r="C215" s="9" t="s">
        <v>398</v>
      </c>
      <c r="D215" s="5"/>
      <c r="E215" s="9" t="s">
        <v>399</v>
      </c>
      <c r="F215" s="5"/>
      <c r="G215" s="5"/>
    </row>
    <row r="216" spans="1:7" ht="14.1" customHeight="1">
      <c r="A216" s="5"/>
      <c r="B216" s="100" t="s">
        <v>400</v>
      </c>
      <c r="C216" s="100"/>
      <c r="D216" s="100"/>
      <c r="E216" s="100"/>
      <c r="F216" s="5"/>
      <c r="G216" s="5"/>
    </row>
    <row r="217" spans="1:7" ht="14.1" customHeight="1">
      <c r="A217" s="5"/>
      <c r="B217" s="5"/>
      <c r="C217" s="9" t="s">
        <v>401</v>
      </c>
      <c r="D217" s="5"/>
      <c r="E217" s="9" t="s">
        <v>402</v>
      </c>
      <c r="F217" s="5"/>
      <c r="G217" s="5"/>
    </row>
    <row r="218" spans="1:7" ht="14.1" customHeight="1">
      <c r="A218" s="5"/>
      <c r="B218" s="5"/>
      <c r="C218" s="9" t="s">
        <v>403</v>
      </c>
      <c r="D218" s="5"/>
      <c r="E218" s="9" t="s">
        <v>404</v>
      </c>
      <c r="F218" s="5"/>
      <c r="G218" s="5"/>
    </row>
    <row r="219" spans="1:7" ht="14.1" customHeight="1">
      <c r="A219" s="5"/>
      <c r="B219" s="5"/>
      <c r="C219" s="9" t="s">
        <v>405</v>
      </c>
      <c r="D219" s="5"/>
      <c r="E219" s="9" t="s">
        <v>406</v>
      </c>
      <c r="F219" s="5"/>
      <c r="G219" s="5"/>
    </row>
    <row r="220" spans="1:7" ht="14.1" customHeight="1">
      <c r="A220" s="5"/>
      <c r="B220" s="5"/>
      <c r="C220" s="9" t="s">
        <v>407</v>
      </c>
      <c r="D220" s="5"/>
      <c r="E220" s="9" t="s">
        <v>408</v>
      </c>
      <c r="F220" s="5"/>
      <c r="G220" s="5"/>
    </row>
    <row r="221" spans="1:7" ht="14.1" customHeight="1">
      <c r="A221" s="5"/>
      <c r="B221" s="5"/>
      <c r="C221" s="9" t="s">
        <v>409</v>
      </c>
      <c r="D221" s="5"/>
      <c r="E221" s="9" t="s">
        <v>410</v>
      </c>
      <c r="F221" s="5"/>
      <c r="G221" s="5"/>
    </row>
    <row r="222" spans="1:7" ht="14.1" customHeight="1">
      <c r="A222" s="5"/>
      <c r="B222" s="5"/>
      <c r="C222" s="9" t="s">
        <v>411</v>
      </c>
      <c r="D222" s="5"/>
      <c r="E222" s="9" t="s">
        <v>412</v>
      </c>
      <c r="F222" s="5"/>
      <c r="G222" s="5"/>
    </row>
    <row r="223" spans="1:7" ht="14.1" customHeight="1">
      <c r="A223" s="5"/>
      <c r="B223" s="5"/>
      <c r="C223" s="9" t="s">
        <v>413</v>
      </c>
      <c r="D223" s="5"/>
      <c r="E223" s="9" t="s">
        <v>414</v>
      </c>
      <c r="F223" s="5"/>
      <c r="G223" s="5"/>
    </row>
    <row r="224" spans="1:7" ht="14.1" customHeight="1">
      <c r="A224" s="5"/>
      <c r="B224" s="5"/>
      <c r="C224" s="9" t="s">
        <v>415</v>
      </c>
      <c r="D224" s="5"/>
      <c r="E224" s="9" t="s">
        <v>416</v>
      </c>
      <c r="F224" s="5"/>
      <c r="G224" s="5"/>
    </row>
    <row r="225" spans="1:7" ht="14.1" customHeight="1">
      <c r="A225" s="5"/>
      <c r="B225" s="5"/>
      <c r="C225" s="9" t="s">
        <v>417</v>
      </c>
      <c r="D225" s="5"/>
      <c r="E225" s="9" t="s">
        <v>418</v>
      </c>
      <c r="F225" s="5"/>
      <c r="G225" s="5"/>
    </row>
    <row r="226" spans="1:7" ht="14.1" customHeight="1">
      <c r="A226" s="5"/>
      <c r="B226" s="5"/>
      <c r="C226" s="9" t="s">
        <v>419</v>
      </c>
      <c r="D226" s="5"/>
      <c r="E226" s="9" t="s">
        <v>420</v>
      </c>
      <c r="F226" s="5"/>
      <c r="G226" s="5"/>
    </row>
    <row r="227" spans="1:7" ht="14.1" customHeight="1">
      <c r="A227" s="5"/>
      <c r="B227" s="5"/>
      <c r="C227" s="9" t="s">
        <v>421</v>
      </c>
      <c r="D227" s="5"/>
      <c r="E227" s="9" t="s">
        <v>422</v>
      </c>
      <c r="F227" s="5"/>
      <c r="G227" s="5"/>
    </row>
    <row r="228" spans="1:7" ht="14.1" customHeight="1">
      <c r="A228" s="5"/>
      <c r="B228" s="5"/>
      <c r="C228" s="9" t="s">
        <v>423</v>
      </c>
      <c r="D228" s="5"/>
      <c r="E228" s="9" t="s">
        <v>424</v>
      </c>
      <c r="F228" s="5"/>
      <c r="G228" s="5"/>
    </row>
    <row r="229" spans="1:7" ht="14.1" customHeight="1">
      <c r="A229" s="5"/>
      <c r="B229" s="5"/>
      <c r="C229" s="9" t="s">
        <v>425</v>
      </c>
      <c r="D229" s="5"/>
      <c r="E229" s="9" t="s">
        <v>426</v>
      </c>
      <c r="F229" s="5"/>
      <c r="G229" s="5"/>
    </row>
    <row r="230" spans="1:7" ht="14.1" customHeight="1">
      <c r="A230" s="5"/>
      <c r="B230" s="5"/>
      <c r="C230" s="9" t="s">
        <v>427</v>
      </c>
      <c r="D230" s="5"/>
      <c r="E230" s="9" t="s">
        <v>428</v>
      </c>
      <c r="F230" s="5"/>
      <c r="G230" s="5"/>
    </row>
    <row r="231" spans="1:7" ht="14.1" customHeight="1">
      <c r="A231" s="5"/>
      <c r="B231" s="5"/>
      <c r="C231" s="9" t="s">
        <v>429</v>
      </c>
      <c r="D231" s="5"/>
      <c r="E231" s="9" t="s">
        <v>430</v>
      </c>
      <c r="F231" s="5"/>
      <c r="G231" s="5"/>
    </row>
    <row r="232" spans="1:7" ht="14.1" customHeight="1">
      <c r="A232" s="5"/>
      <c r="B232" s="5"/>
      <c r="C232" s="9" t="s">
        <v>431</v>
      </c>
      <c r="D232" s="5"/>
      <c r="E232" s="9" t="s">
        <v>432</v>
      </c>
      <c r="F232" s="5"/>
      <c r="G232" s="5"/>
    </row>
    <row r="233" spans="1:7" ht="14.1" customHeight="1">
      <c r="A233" s="5"/>
      <c r="B233" s="100" t="s">
        <v>433</v>
      </c>
      <c r="C233" s="100"/>
      <c r="D233" s="100"/>
      <c r="E233" s="100"/>
      <c r="F233" s="5"/>
      <c r="G233" s="5"/>
    </row>
    <row r="234" spans="1:7" ht="14.1" customHeight="1">
      <c r="A234" s="5"/>
      <c r="B234" s="5"/>
      <c r="C234" s="9" t="s">
        <v>434</v>
      </c>
      <c r="D234" s="5"/>
      <c r="E234" s="9" t="s">
        <v>435</v>
      </c>
      <c r="F234" s="5"/>
      <c r="G234" s="5"/>
    </row>
    <row r="235" spans="1:7" ht="14.1" customHeight="1" thickBot="1">
      <c r="A235" s="5"/>
      <c r="B235" s="5"/>
      <c r="C235" s="9" t="s">
        <v>436</v>
      </c>
      <c r="D235" s="5"/>
      <c r="E235" s="9" t="s">
        <v>437</v>
      </c>
      <c r="F235" s="5"/>
      <c r="G235" s="5"/>
    </row>
    <row r="236" spans="1:7" ht="0.95" customHeight="1">
      <c r="A236" s="5"/>
      <c r="B236" s="106"/>
      <c r="C236" s="106"/>
      <c r="D236" s="106"/>
      <c r="E236" s="106"/>
      <c r="F236" s="106"/>
      <c r="G236" s="5"/>
    </row>
    <row r="237" spans="1:7" ht="12.95" customHeight="1">
      <c r="A237" s="5"/>
      <c r="B237" s="107" t="s">
        <v>139</v>
      </c>
      <c r="C237" s="107"/>
      <c r="D237" s="107"/>
      <c r="E237" s="107"/>
      <c r="F237" s="107"/>
      <c r="G237" s="5"/>
    </row>
    <row r="238" spans="1:7" ht="12.95" customHeight="1">
      <c r="A238" s="5"/>
      <c r="B238" s="107"/>
      <c r="C238" s="107"/>
      <c r="D238" s="107"/>
      <c r="E238" s="107"/>
      <c r="F238" s="107"/>
      <c r="G238" s="5"/>
    </row>
    <row r="239" spans="1:7" ht="12.95" customHeight="1">
      <c r="A239" s="5"/>
      <c r="B239" s="108" t="s">
        <v>140</v>
      </c>
      <c r="C239" s="108"/>
      <c r="D239" s="108"/>
      <c r="E239" s="108"/>
      <c r="F239" s="108"/>
      <c r="G239" s="5"/>
    </row>
    <row r="240" spans="1:7" ht="12.95" customHeight="1">
      <c r="A240" s="5"/>
      <c r="B240" s="105" t="s">
        <v>438</v>
      </c>
      <c r="C240" s="105"/>
      <c r="D240" s="105"/>
      <c r="E240" s="105"/>
      <c r="F240" s="105"/>
      <c r="G240" s="5"/>
    </row>
    <row r="241" spans="1:7" ht="17.100000000000001" customHeight="1">
      <c r="A241" s="5"/>
      <c r="B241" s="101" t="s">
        <v>64</v>
      </c>
      <c r="C241" s="101"/>
      <c r="D241" s="101"/>
      <c r="E241" s="101"/>
      <c r="F241" s="101"/>
      <c r="G241" s="5"/>
    </row>
    <row r="242" spans="1:7" ht="23.1" customHeight="1">
      <c r="A242" s="5"/>
      <c r="B242" s="102" t="s">
        <v>65</v>
      </c>
      <c r="C242" s="102"/>
      <c r="D242" s="102"/>
      <c r="E242" s="102"/>
      <c r="F242" s="102"/>
      <c r="G242" s="5"/>
    </row>
    <row r="243" spans="1:7" ht="15.95" customHeight="1">
      <c r="A243" s="5"/>
      <c r="B243" s="103" t="s">
        <v>66</v>
      </c>
      <c r="C243" s="103"/>
      <c r="D243" s="103"/>
      <c r="E243" s="103"/>
      <c r="F243" s="103"/>
      <c r="G243" s="5"/>
    </row>
    <row r="244" spans="1:7" ht="12" customHeight="1">
      <c r="A244" s="5"/>
      <c r="B244" s="104" t="s">
        <v>67</v>
      </c>
      <c r="C244" s="104"/>
      <c r="D244" s="104"/>
      <c r="E244" s="104"/>
      <c r="F244" s="104"/>
      <c r="G244" s="5"/>
    </row>
    <row r="245" spans="1:7" ht="33.950000000000003" customHeight="1">
      <c r="A245" s="5"/>
      <c r="B245" s="5"/>
      <c r="C245" s="6" t="s">
        <v>68</v>
      </c>
      <c r="D245" s="5"/>
      <c r="E245" s="6" t="s">
        <v>0</v>
      </c>
      <c r="F245" s="5"/>
      <c r="G245" s="5"/>
    </row>
    <row r="246" spans="1:7" ht="14.1" customHeight="1">
      <c r="A246" s="5"/>
      <c r="B246" s="5"/>
      <c r="C246" s="9" t="s">
        <v>439</v>
      </c>
      <c r="D246" s="5"/>
      <c r="E246" s="9" t="s">
        <v>440</v>
      </c>
      <c r="F246" s="5"/>
      <c r="G246" s="5"/>
    </row>
    <row r="247" spans="1:7" ht="14.1" customHeight="1">
      <c r="A247" s="5"/>
      <c r="B247" s="100" t="s">
        <v>441</v>
      </c>
      <c r="C247" s="100"/>
      <c r="D247" s="100"/>
      <c r="E247" s="100"/>
      <c r="F247" s="5"/>
      <c r="G247" s="5"/>
    </row>
    <row r="248" spans="1:7" ht="14.1" customHeight="1">
      <c r="A248" s="5"/>
      <c r="B248" s="5"/>
      <c r="C248" s="9" t="s">
        <v>442</v>
      </c>
      <c r="D248" s="5"/>
      <c r="E248" s="9" t="s">
        <v>443</v>
      </c>
      <c r="F248" s="5"/>
      <c r="G248" s="5"/>
    </row>
    <row r="249" spans="1:7" ht="14.1" customHeight="1">
      <c r="A249" s="5"/>
      <c r="B249" s="5"/>
      <c r="C249" s="9" t="s">
        <v>444</v>
      </c>
      <c r="D249" s="5"/>
      <c r="E249" s="9" t="s">
        <v>445</v>
      </c>
      <c r="F249" s="5"/>
      <c r="G249" s="5"/>
    </row>
    <row r="250" spans="1:7" ht="14.1" customHeight="1">
      <c r="A250" s="5"/>
      <c r="B250" s="5"/>
      <c r="C250" s="9" t="s">
        <v>446</v>
      </c>
      <c r="D250" s="5"/>
      <c r="E250" s="9" t="s">
        <v>447</v>
      </c>
      <c r="F250" s="5"/>
      <c r="G250" s="5"/>
    </row>
    <row r="251" spans="1:7" ht="14.1" customHeight="1">
      <c r="A251" s="5"/>
      <c r="B251" s="5"/>
      <c r="C251" s="9" t="s">
        <v>448</v>
      </c>
      <c r="D251" s="5"/>
      <c r="E251" s="9" t="s">
        <v>449</v>
      </c>
      <c r="F251" s="5"/>
      <c r="G251" s="5"/>
    </row>
    <row r="252" spans="1:7" ht="14.1" customHeight="1">
      <c r="A252" s="5"/>
      <c r="B252" s="5"/>
      <c r="C252" s="9" t="s">
        <v>450</v>
      </c>
      <c r="D252" s="5"/>
      <c r="E252" s="9" t="s">
        <v>451</v>
      </c>
      <c r="F252" s="5"/>
      <c r="G252" s="5"/>
    </row>
    <row r="253" spans="1:7" ht="14.1" customHeight="1">
      <c r="A253" s="5"/>
      <c r="B253" s="5"/>
      <c r="C253" s="9" t="s">
        <v>452</v>
      </c>
      <c r="D253" s="5"/>
      <c r="E253" s="9" t="s">
        <v>453</v>
      </c>
      <c r="F253" s="5"/>
      <c r="G253" s="5"/>
    </row>
    <row r="254" spans="1:7" ht="14.1" customHeight="1">
      <c r="A254" s="5"/>
      <c r="B254" s="5"/>
      <c r="C254" s="9" t="s">
        <v>454</v>
      </c>
      <c r="D254" s="5"/>
      <c r="E254" s="9" t="s">
        <v>455</v>
      </c>
      <c r="F254" s="5"/>
      <c r="G254" s="5"/>
    </row>
    <row r="255" spans="1:7" ht="14.1" customHeight="1">
      <c r="A255" s="5"/>
      <c r="B255" s="5"/>
      <c r="C255" s="9" t="s">
        <v>456</v>
      </c>
      <c r="D255" s="5"/>
      <c r="E255" s="9" t="s">
        <v>457</v>
      </c>
      <c r="F255" s="5"/>
      <c r="G255" s="5"/>
    </row>
    <row r="256" spans="1:7" ht="14.1" customHeight="1">
      <c r="A256" s="5"/>
      <c r="B256" s="5"/>
      <c r="C256" s="9" t="s">
        <v>458</v>
      </c>
      <c r="D256" s="5"/>
      <c r="E256" s="9" t="s">
        <v>459</v>
      </c>
      <c r="F256" s="5"/>
      <c r="G256" s="5"/>
    </row>
    <row r="257" spans="1:7" ht="14.1" customHeight="1">
      <c r="A257" s="5"/>
      <c r="B257" s="5"/>
      <c r="C257" s="9" t="s">
        <v>460</v>
      </c>
      <c r="D257" s="5"/>
      <c r="E257" s="9" t="s">
        <v>461</v>
      </c>
      <c r="F257" s="5"/>
      <c r="G257" s="5"/>
    </row>
    <row r="258" spans="1:7" ht="14.1" customHeight="1">
      <c r="A258" s="5"/>
      <c r="B258" s="5"/>
      <c r="C258" s="9" t="s">
        <v>462</v>
      </c>
      <c r="D258" s="5"/>
      <c r="E258" s="9" t="s">
        <v>463</v>
      </c>
      <c r="F258" s="5"/>
      <c r="G258" s="5"/>
    </row>
    <row r="259" spans="1:7" ht="14.1" customHeight="1">
      <c r="A259" s="5"/>
      <c r="B259" s="5"/>
      <c r="C259" s="9" t="s">
        <v>464</v>
      </c>
      <c r="D259" s="5"/>
      <c r="E259" s="9" t="s">
        <v>465</v>
      </c>
      <c r="F259" s="5"/>
      <c r="G259" s="5"/>
    </row>
    <row r="260" spans="1:7" ht="14.1" customHeight="1">
      <c r="A260" s="5"/>
      <c r="B260" s="5"/>
      <c r="C260" s="9" t="s">
        <v>466</v>
      </c>
      <c r="D260" s="5"/>
      <c r="E260" s="9" t="s">
        <v>467</v>
      </c>
      <c r="F260" s="5"/>
      <c r="G260" s="5"/>
    </row>
    <row r="261" spans="1:7" ht="14.1" customHeight="1">
      <c r="A261" s="5"/>
      <c r="B261" s="5"/>
      <c r="C261" s="9" t="s">
        <v>468</v>
      </c>
      <c r="D261" s="5"/>
      <c r="E261" s="9" t="s">
        <v>469</v>
      </c>
      <c r="F261" s="5"/>
      <c r="G261" s="5"/>
    </row>
    <row r="262" spans="1:7" ht="14.1" customHeight="1">
      <c r="A262" s="5"/>
      <c r="B262" s="5"/>
      <c r="C262" s="9" t="s">
        <v>470</v>
      </c>
      <c r="D262" s="5"/>
      <c r="E262" s="9" t="s">
        <v>471</v>
      </c>
      <c r="F262" s="5"/>
      <c r="G262" s="5"/>
    </row>
    <row r="263" spans="1:7" ht="14.1" customHeight="1">
      <c r="A263" s="5"/>
      <c r="B263" s="5"/>
      <c r="C263" s="9" t="s">
        <v>472</v>
      </c>
      <c r="D263" s="5"/>
      <c r="E263" s="9" t="s">
        <v>473</v>
      </c>
      <c r="F263" s="5"/>
      <c r="G263" s="5"/>
    </row>
    <row r="264" spans="1:7" ht="14.1" customHeight="1">
      <c r="A264" s="5"/>
      <c r="B264" s="5"/>
      <c r="C264" s="9" t="s">
        <v>474</v>
      </c>
      <c r="D264" s="5"/>
      <c r="E264" s="9" t="s">
        <v>475</v>
      </c>
      <c r="F264" s="5"/>
      <c r="G264" s="5"/>
    </row>
    <row r="265" spans="1:7" ht="14.1" customHeight="1">
      <c r="A265" s="5"/>
      <c r="B265" s="5"/>
      <c r="C265" s="9" t="s">
        <v>476</v>
      </c>
      <c r="D265" s="5"/>
      <c r="E265" s="9" t="s">
        <v>477</v>
      </c>
      <c r="F265" s="5"/>
      <c r="G265" s="5"/>
    </row>
    <row r="266" spans="1:7" ht="14.1" customHeight="1">
      <c r="A266" s="5"/>
      <c r="B266" s="5"/>
      <c r="C266" s="9" t="s">
        <v>478</v>
      </c>
      <c r="D266" s="5"/>
      <c r="E266" s="9" t="s">
        <v>479</v>
      </c>
      <c r="F266" s="5"/>
      <c r="G266" s="5"/>
    </row>
    <row r="267" spans="1:7" ht="14.1" customHeight="1">
      <c r="A267" s="5"/>
      <c r="B267" s="5"/>
      <c r="C267" s="9" t="s">
        <v>480</v>
      </c>
      <c r="D267" s="5"/>
      <c r="E267" s="9" t="s">
        <v>481</v>
      </c>
      <c r="F267" s="5"/>
      <c r="G267" s="5"/>
    </row>
    <row r="268" spans="1:7" ht="14.1" customHeight="1">
      <c r="A268" s="5"/>
      <c r="B268" s="5"/>
      <c r="C268" s="9" t="s">
        <v>482</v>
      </c>
      <c r="D268" s="5"/>
      <c r="E268" s="9" t="s">
        <v>483</v>
      </c>
      <c r="F268" s="5"/>
      <c r="G268" s="5"/>
    </row>
    <row r="269" spans="1:7" ht="14.1" customHeight="1">
      <c r="A269" s="5"/>
      <c r="B269" s="100" t="s">
        <v>484</v>
      </c>
      <c r="C269" s="100"/>
      <c r="D269" s="100"/>
      <c r="E269" s="100"/>
      <c r="F269" s="5"/>
      <c r="G269" s="5"/>
    </row>
    <row r="270" spans="1:7" ht="14.1" customHeight="1">
      <c r="A270" s="5"/>
      <c r="B270" s="5"/>
      <c r="C270" s="9" t="s">
        <v>485</v>
      </c>
      <c r="D270" s="5"/>
      <c r="E270" s="9" t="s">
        <v>486</v>
      </c>
      <c r="F270" s="5"/>
      <c r="G270" s="5"/>
    </row>
    <row r="271" spans="1:7" ht="14.1" customHeight="1">
      <c r="A271" s="5"/>
      <c r="B271" s="5"/>
      <c r="C271" s="9" t="s">
        <v>487</v>
      </c>
      <c r="D271" s="5"/>
      <c r="E271" s="9" t="s">
        <v>488</v>
      </c>
      <c r="F271" s="5"/>
      <c r="G271" s="5"/>
    </row>
    <row r="272" spans="1:7" ht="14.1" customHeight="1">
      <c r="A272" s="5"/>
      <c r="B272" s="5"/>
      <c r="C272" s="9" t="s">
        <v>489</v>
      </c>
      <c r="D272" s="5"/>
      <c r="E272" s="9" t="s">
        <v>490</v>
      </c>
      <c r="F272" s="5"/>
      <c r="G272" s="5"/>
    </row>
    <row r="273" spans="1:7" ht="14.1" customHeight="1">
      <c r="A273" s="5"/>
      <c r="B273" s="5"/>
      <c r="C273" s="9" t="s">
        <v>491</v>
      </c>
      <c r="D273" s="5"/>
      <c r="E273" s="9" t="s">
        <v>492</v>
      </c>
      <c r="F273" s="5"/>
      <c r="G273" s="5"/>
    </row>
    <row r="274" spans="1:7" ht="14.1" customHeight="1">
      <c r="A274" s="5"/>
      <c r="B274" s="5"/>
      <c r="C274" s="9" t="s">
        <v>493</v>
      </c>
      <c r="D274" s="5"/>
      <c r="E274" s="9" t="s">
        <v>494</v>
      </c>
      <c r="F274" s="5"/>
      <c r="G274" s="5"/>
    </row>
    <row r="275" spans="1:7" ht="14.1" customHeight="1">
      <c r="A275" s="5"/>
      <c r="B275" s="5"/>
      <c r="C275" s="9" t="s">
        <v>495</v>
      </c>
      <c r="D275" s="5"/>
      <c r="E275" s="9" t="s">
        <v>496</v>
      </c>
      <c r="F275" s="5"/>
      <c r="G275" s="5"/>
    </row>
    <row r="276" spans="1:7" ht="14.1" customHeight="1">
      <c r="A276" s="5"/>
      <c r="B276" s="100" t="s">
        <v>497</v>
      </c>
      <c r="C276" s="100"/>
      <c r="D276" s="100"/>
      <c r="E276" s="100"/>
      <c r="F276" s="5"/>
      <c r="G276" s="5"/>
    </row>
    <row r="277" spans="1:7" ht="14.1" customHeight="1">
      <c r="A277" s="5"/>
      <c r="B277" s="5"/>
      <c r="C277" s="9" t="s">
        <v>498</v>
      </c>
      <c r="D277" s="5"/>
      <c r="E277" s="9" t="s">
        <v>499</v>
      </c>
      <c r="F277" s="5"/>
      <c r="G277" s="5"/>
    </row>
    <row r="278" spans="1:7" ht="14.1" customHeight="1">
      <c r="A278" s="5"/>
      <c r="B278" s="5"/>
      <c r="C278" s="9" t="s">
        <v>500</v>
      </c>
      <c r="D278" s="5"/>
      <c r="E278" s="9" t="s">
        <v>501</v>
      </c>
      <c r="F278" s="5"/>
      <c r="G278" s="5"/>
    </row>
    <row r="279" spans="1:7" ht="14.1" customHeight="1">
      <c r="A279" s="5"/>
      <c r="B279" s="5"/>
      <c r="C279" s="9" t="s">
        <v>502</v>
      </c>
      <c r="D279" s="5"/>
      <c r="E279" s="9" t="s">
        <v>503</v>
      </c>
      <c r="F279" s="5"/>
      <c r="G279" s="5"/>
    </row>
    <row r="280" spans="1:7" ht="14.1" customHeight="1">
      <c r="A280" s="5"/>
      <c r="B280" s="100" t="s">
        <v>504</v>
      </c>
      <c r="C280" s="100"/>
      <c r="D280" s="100"/>
      <c r="E280" s="100"/>
      <c r="F280" s="5"/>
      <c r="G280" s="5"/>
    </row>
    <row r="281" spans="1:7" ht="14.1" customHeight="1">
      <c r="A281" s="5"/>
      <c r="B281" s="5"/>
      <c r="C281" s="9" t="s">
        <v>505</v>
      </c>
      <c r="D281" s="5"/>
      <c r="E281" s="9" t="s">
        <v>506</v>
      </c>
      <c r="F281" s="5"/>
      <c r="G281" s="5"/>
    </row>
    <row r="282" spans="1:7" ht="14.1" customHeight="1">
      <c r="A282" s="5"/>
      <c r="B282" s="5"/>
      <c r="C282" s="9" t="s">
        <v>507</v>
      </c>
      <c r="D282" s="5"/>
      <c r="E282" s="9" t="s">
        <v>508</v>
      </c>
      <c r="F282" s="5"/>
      <c r="G282" s="5"/>
    </row>
    <row r="283" spans="1:7" ht="14.1" customHeight="1">
      <c r="A283" s="5"/>
      <c r="B283" s="5"/>
      <c r="C283" s="9" t="s">
        <v>509</v>
      </c>
      <c r="D283" s="5"/>
      <c r="E283" s="9" t="s">
        <v>510</v>
      </c>
      <c r="F283" s="5"/>
      <c r="G283" s="5"/>
    </row>
    <row r="284" spans="1:7" ht="23.1" customHeight="1">
      <c r="A284" s="5"/>
      <c r="B284" s="5"/>
      <c r="C284" s="9" t="s">
        <v>511</v>
      </c>
      <c r="D284" s="5"/>
      <c r="E284" s="9" t="s">
        <v>512</v>
      </c>
      <c r="F284" s="5"/>
      <c r="G284" s="5"/>
    </row>
    <row r="285" spans="1:7" ht="23.1" customHeight="1">
      <c r="A285" s="5"/>
      <c r="B285" s="5"/>
      <c r="C285" s="9" t="s">
        <v>513</v>
      </c>
      <c r="D285" s="5"/>
      <c r="E285" s="9" t="s">
        <v>514</v>
      </c>
      <c r="F285" s="5"/>
      <c r="G285" s="5"/>
    </row>
    <row r="286" spans="1:7" ht="20.100000000000001" customHeight="1" thickBot="1">
      <c r="A286" s="5"/>
      <c r="B286" s="5"/>
      <c r="C286" s="9" t="s">
        <v>515</v>
      </c>
      <c r="D286" s="5"/>
      <c r="E286" s="9" t="s">
        <v>516</v>
      </c>
      <c r="F286" s="5"/>
      <c r="G286" s="5"/>
    </row>
    <row r="287" spans="1:7" ht="0.95" customHeight="1">
      <c r="A287" s="5"/>
      <c r="B287" s="106"/>
      <c r="C287" s="106"/>
      <c r="D287" s="106"/>
      <c r="E287" s="106"/>
      <c r="F287" s="106"/>
      <c r="G287" s="5"/>
    </row>
    <row r="288" spans="1:7" ht="12.95" customHeight="1">
      <c r="A288" s="5"/>
      <c r="B288" s="107" t="s">
        <v>139</v>
      </c>
      <c r="C288" s="107"/>
      <c r="D288" s="107"/>
      <c r="E288" s="107"/>
      <c r="F288" s="107"/>
      <c r="G288" s="5"/>
    </row>
    <row r="289" spans="1:7" ht="12.95" customHeight="1">
      <c r="A289" s="5"/>
      <c r="B289" s="107"/>
      <c r="C289" s="107"/>
      <c r="D289" s="107"/>
      <c r="E289" s="107"/>
      <c r="F289" s="107"/>
      <c r="G289" s="5"/>
    </row>
    <row r="290" spans="1:7" ht="12.95" customHeight="1">
      <c r="A290" s="5"/>
      <c r="B290" s="108" t="s">
        <v>140</v>
      </c>
      <c r="C290" s="108"/>
      <c r="D290" s="108"/>
      <c r="E290" s="108"/>
      <c r="F290" s="108"/>
      <c r="G290" s="5"/>
    </row>
    <row r="291" spans="1:7" ht="12.95" customHeight="1">
      <c r="A291" s="5"/>
      <c r="B291" s="105" t="s">
        <v>517</v>
      </c>
      <c r="C291" s="105"/>
      <c r="D291" s="105"/>
      <c r="E291" s="105"/>
      <c r="F291" s="105"/>
      <c r="G291" s="5"/>
    </row>
    <row r="292" spans="1:7" ht="17.100000000000001" customHeight="1">
      <c r="A292" s="5"/>
      <c r="B292" s="101" t="s">
        <v>64</v>
      </c>
      <c r="C292" s="101"/>
      <c r="D292" s="101"/>
      <c r="E292" s="101"/>
      <c r="F292" s="101"/>
      <c r="G292" s="5"/>
    </row>
    <row r="293" spans="1:7" ht="23.1" customHeight="1">
      <c r="A293" s="5"/>
      <c r="B293" s="102" t="s">
        <v>65</v>
      </c>
      <c r="C293" s="102"/>
      <c r="D293" s="102"/>
      <c r="E293" s="102"/>
      <c r="F293" s="102"/>
      <c r="G293" s="5"/>
    </row>
    <row r="294" spans="1:7" ht="15.95" customHeight="1">
      <c r="A294" s="5"/>
      <c r="B294" s="103" t="s">
        <v>66</v>
      </c>
      <c r="C294" s="103"/>
      <c r="D294" s="103"/>
      <c r="E294" s="103"/>
      <c r="F294" s="103"/>
      <c r="G294" s="5"/>
    </row>
    <row r="295" spans="1:7" ht="12" customHeight="1">
      <c r="A295" s="5"/>
      <c r="B295" s="104" t="s">
        <v>67</v>
      </c>
      <c r="C295" s="104"/>
      <c r="D295" s="104"/>
      <c r="E295" s="104"/>
      <c r="F295" s="104"/>
      <c r="G295" s="5"/>
    </row>
    <row r="296" spans="1:7" ht="33.950000000000003" customHeight="1">
      <c r="A296" s="5"/>
      <c r="B296" s="5"/>
      <c r="C296" s="6" t="s">
        <v>68</v>
      </c>
      <c r="D296" s="5"/>
      <c r="E296" s="6" t="s">
        <v>0</v>
      </c>
      <c r="F296" s="5"/>
      <c r="G296" s="5"/>
    </row>
    <row r="297" spans="1:7" ht="14.1" customHeight="1">
      <c r="A297" s="5"/>
      <c r="B297" s="5"/>
      <c r="C297" s="5"/>
      <c r="D297" s="5"/>
      <c r="E297" s="9" t="s">
        <v>518</v>
      </c>
      <c r="F297" s="5"/>
      <c r="G297" s="5"/>
    </row>
    <row r="298" spans="1:7" ht="14.1" customHeight="1">
      <c r="A298" s="5"/>
      <c r="B298" s="5"/>
      <c r="C298" s="9" t="s">
        <v>519</v>
      </c>
      <c r="D298" s="5"/>
      <c r="E298" s="9" t="s">
        <v>520</v>
      </c>
      <c r="F298" s="5"/>
      <c r="G298" s="5"/>
    </row>
    <row r="299" spans="1:7" ht="14.1" customHeight="1">
      <c r="A299" s="5"/>
      <c r="B299" s="100" t="s">
        <v>521</v>
      </c>
      <c r="C299" s="100"/>
      <c r="D299" s="100"/>
      <c r="E299" s="100"/>
      <c r="F299" s="5"/>
      <c r="G299" s="5"/>
    </row>
    <row r="300" spans="1:7" ht="14.1" customHeight="1">
      <c r="A300" s="5"/>
      <c r="B300" s="5"/>
      <c r="C300" s="9" t="s">
        <v>522</v>
      </c>
      <c r="D300" s="5"/>
      <c r="E300" s="9" t="s">
        <v>523</v>
      </c>
      <c r="F300" s="5"/>
      <c r="G300" s="5"/>
    </row>
    <row r="301" spans="1:7" ht="14.1" customHeight="1">
      <c r="A301" s="5"/>
      <c r="B301" s="100" t="s">
        <v>524</v>
      </c>
      <c r="C301" s="100"/>
      <c r="D301" s="100"/>
      <c r="E301" s="100"/>
      <c r="F301" s="5"/>
      <c r="G301" s="5"/>
    </row>
    <row r="302" spans="1:7" ht="23.1" customHeight="1">
      <c r="A302" s="5"/>
      <c r="B302" s="5"/>
      <c r="C302" s="9" t="s">
        <v>525</v>
      </c>
      <c r="D302" s="5"/>
      <c r="E302" s="9" t="s">
        <v>526</v>
      </c>
      <c r="F302" s="5"/>
      <c r="G302" s="5"/>
    </row>
    <row r="303" spans="1:7" ht="23.1" customHeight="1">
      <c r="A303" s="5"/>
      <c r="B303" s="5"/>
      <c r="C303" s="9" t="s">
        <v>527</v>
      </c>
      <c r="D303" s="5"/>
      <c r="E303" s="9" t="s">
        <v>528</v>
      </c>
      <c r="F303" s="5"/>
      <c r="G303" s="5"/>
    </row>
    <row r="304" spans="1:7" ht="23.1" customHeight="1">
      <c r="A304" s="5"/>
      <c r="B304" s="5"/>
      <c r="C304" s="9" t="s">
        <v>529</v>
      </c>
      <c r="D304" s="5"/>
      <c r="E304" s="9" t="s">
        <v>530</v>
      </c>
      <c r="F304" s="5"/>
      <c r="G304" s="5"/>
    </row>
    <row r="305" spans="1:7" ht="23.1" customHeight="1">
      <c r="A305" s="5"/>
      <c r="B305" s="5"/>
      <c r="C305" s="9" t="s">
        <v>531</v>
      </c>
      <c r="D305" s="5"/>
      <c r="E305" s="9" t="s">
        <v>532</v>
      </c>
      <c r="F305" s="5"/>
      <c r="G305" s="5"/>
    </row>
    <row r="306" spans="1:7" ht="23.1" customHeight="1">
      <c r="A306" s="5"/>
      <c r="B306" s="5"/>
      <c r="C306" s="9" t="s">
        <v>533</v>
      </c>
      <c r="D306" s="5"/>
      <c r="E306" s="9" t="s">
        <v>534</v>
      </c>
      <c r="F306" s="5"/>
      <c r="G306" s="5"/>
    </row>
    <row r="307" spans="1:7" ht="23.1" customHeight="1">
      <c r="A307" s="5"/>
      <c r="B307" s="5"/>
      <c r="C307" s="9" t="s">
        <v>535</v>
      </c>
      <c r="D307" s="5"/>
      <c r="E307" s="9" t="s">
        <v>536</v>
      </c>
      <c r="F307" s="5"/>
      <c r="G307" s="5"/>
    </row>
    <row r="308" spans="1:7" ht="23.1" customHeight="1">
      <c r="A308" s="5"/>
      <c r="B308" s="5"/>
      <c r="C308" s="9" t="s">
        <v>537</v>
      </c>
      <c r="D308" s="5"/>
      <c r="E308" s="9" t="s">
        <v>538</v>
      </c>
      <c r="F308" s="5"/>
      <c r="G308" s="5"/>
    </row>
    <row r="309" spans="1:7" ht="23.1" customHeight="1">
      <c r="A309" s="5"/>
      <c r="B309" s="5"/>
      <c r="C309" s="9" t="s">
        <v>539</v>
      </c>
      <c r="D309" s="5"/>
      <c r="E309" s="9" t="s">
        <v>540</v>
      </c>
      <c r="F309" s="5"/>
      <c r="G309" s="5"/>
    </row>
    <row r="310" spans="1:7" ht="23.1" customHeight="1">
      <c r="A310" s="5"/>
      <c r="B310" s="5"/>
      <c r="C310" s="9" t="s">
        <v>541</v>
      </c>
      <c r="D310" s="5"/>
      <c r="E310" s="9" t="s">
        <v>542</v>
      </c>
      <c r="F310" s="5"/>
      <c r="G310" s="5"/>
    </row>
    <row r="311" spans="1:7" ht="23.1" customHeight="1">
      <c r="A311" s="5"/>
      <c r="B311" s="5"/>
      <c r="C311" s="9" t="s">
        <v>543</v>
      </c>
      <c r="D311" s="5"/>
      <c r="E311" s="9" t="s">
        <v>544</v>
      </c>
      <c r="F311" s="5"/>
      <c r="G311" s="5"/>
    </row>
    <row r="312" spans="1:7" ht="14.1" customHeight="1">
      <c r="A312" s="5"/>
      <c r="B312" s="100" t="s">
        <v>545</v>
      </c>
      <c r="C312" s="100"/>
      <c r="D312" s="100"/>
      <c r="E312" s="100"/>
      <c r="F312" s="5"/>
      <c r="G312" s="5"/>
    </row>
    <row r="313" spans="1:7" ht="14.1" customHeight="1">
      <c r="A313" s="5"/>
      <c r="B313" s="5"/>
      <c r="C313" s="9" t="s">
        <v>546</v>
      </c>
      <c r="D313" s="5"/>
      <c r="E313" s="9" t="s">
        <v>547</v>
      </c>
      <c r="F313" s="5"/>
      <c r="G313" s="5"/>
    </row>
    <row r="314" spans="1:7" ht="14.1" customHeight="1">
      <c r="A314" s="5"/>
      <c r="B314" s="5"/>
      <c r="C314" s="9" t="s">
        <v>548</v>
      </c>
      <c r="D314" s="5"/>
      <c r="E314" s="9" t="s">
        <v>549</v>
      </c>
      <c r="F314" s="5"/>
      <c r="G314" s="5"/>
    </row>
    <row r="315" spans="1:7" ht="14.1" customHeight="1">
      <c r="A315" s="5"/>
      <c r="B315" s="100" t="s">
        <v>550</v>
      </c>
      <c r="C315" s="100"/>
      <c r="D315" s="100"/>
      <c r="E315" s="100"/>
      <c r="F315" s="5"/>
      <c r="G315" s="5"/>
    </row>
    <row r="316" spans="1:7" ht="14.1" customHeight="1">
      <c r="A316" s="5"/>
      <c r="B316" s="5"/>
      <c r="C316" s="9" t="s">
        <v>551</v>
      </c>
      <c r="D316" s="5"/>
      <c r="E316" s="9" t="s">
        <v>552</v>
      </c>
      <c r="F316" s="5"/>
      <c r="G316" s="5"/>
    </row>
    <row r="317" spans="1:7" ht="14.1" customHeight="1">
      <c r="A317" s="5"/>
      <c r="B317" s="5"/>
      <c r="C317" s="9" t="s">
        <v>553</v>
      </c>
      <c r="D317" s="5"/>
      <c r="E317" s="9" t="s">
        <v>554</v>
      </c>
      <c r="F317" s="5"/>
      <c r="G317" s="5"/>
    </row>
    <row r="318" spans="1:7" ht="14.1" customHeight="1">
      <c r="A318" s="5"/>
      <c r="B318" s="5"/>
      <c r="C318" s="9" t="s">
        <v>555</v>
      </c>
      <c r="D318" s="5"/>
      <c r="E318" s="9" t="s">
        <v>556</v>
      </c>
      <c r="F318" s="5"/>
      <c r="G318" s="5"/>
    </row>
    <row r="319" spans="1:7" ht="14.1" customHeight="1">
      <c r="A319" s="5"/>
      <c r="B319" s="5"/>
      <c r="C319" s="9" t="s">
        <v>557</v>
      </c>
      <c r="D319" s="5"/>
      <c r="E319" s="9" t="s">
        <v>558</v>
      </c>
      <c r="F319" s="5"/>
      <c r="G319" s="5"/>
    </row>
    <row r="320" spans="1:7" ht="14.1" customHeight="1">
      <c r="A320" s="5"/>
      <c r="B320" s="100" t="s">
        <v>559</v>
      </c>
      <c r="C320" s="100"/>
      <c r="D320" s="100"/>
      <c r="E320" s="100"/>
      <c r="F320" s="5"/>
      <c r="G320" s="5"/>
    </row>
    <row r="321" spans="1:7" ht="14.1" customHeight="1">
      <c r="A321" s="5"/>
      <c r="B321" s="5"/>
      <c r="C321" s="9" t="s">
        <v>560</v>
      </c>
      <c r="D321" s="5"/>
      <c r="E321" s="9" t="s">
        <v>561</v>
      </c>
      <c r="F321" s="5"/>
      <c r="G321" s="5"/>
    </row>
    <row r="322" spans="1:7" ht="14.1" customHeight="1">
      <c r="A322" s="5"/>
      <c r="B322" s="5"/>
      <c r="C322" s="9" t="s">
        <v>562</v>
      </c>
      <c r="D322" s="5"/>
      <c r="E322" s="9" t="s">
        <v>563</v>
      </c>
      <c r="F322" s="5"/>
      <c r="G322" s="5"/>
    </row>
    <row r="323" spans="1:7" ht="14.1" customHeight="1">
      <c r="A323" s="5"/>
      <c r="B323" s="5"/>
      <c r="C323" s="9" t="s">
        <v>564</v>
      </c>
      <c r="D323" s="5"/>
      <c r="E323" s="9" t="s">
        <v>565</v>
      </c>
      <c r="F323" s="5"/>
      <c r="G323" s="5"/>
    </row>
    <row r="324" spans="1:7" ht="14.1" customHeight="1">
      <c r="A324" s="5"/>
      <c r="B324" s="5"/>
      <c r="C324" s="9" t="s">
        <v>566</v>
      </c>
      <c r="D324" s="5"/>
      <c r="E324" s="9" t="s">
        <v>567</v>
      </c>
      <c r="F324" s="5"/>
      <c r="G324" s="5"/>
    </row>
    <row r="325" spans="1:7" ht="14.1" customHeight="1">
      <c r="A325" s="5"/>
      <c r="B325" s="5"/>
      <c r="C325" s="9" t="s">
        <v>568</v>
      </c>
      <c r="D325" s="5"/>
      <c r="E325" s="9" t="s">
        <v>569</v>
      </c>
      <c r="F325" s="5"/>
      <c r="G325" s="5"/>
    </row>
    <row r="326" spans="1:7" ht="14.1" customHeight="1">
      <c r="A326" s="5"/>
      <c r="B326" s="5"/>
      <c r="C326" s="9" t="s">
        <v>570</v>
      </c>
      <c r="D326" s="5"/>
      <c r="E326" s="9" t="s">
        <v>571</v>
      </c>
      <c r="F326" s="5"/>
      <c r="G326" s="5"/>
    </row>
    <row r="327" spans="1:7" ht="14.1" customHeight="1">
      <c r="A327" s="5"/>
      <c r="B327" s="5"/>
      <c r="C327" s="9" t="s">
        <v>572</v>
      </c>
      <c r="D327" s="5"/>
      <c r="E327" s="9" t="s">
        <v>573</v>
      </c>
      <c r="F327" s="5"/>
      <c r="G327" s="5"/>
    </row>
    <row r="328" spans="1:7" ht="14.1" customHeight="1">
      <c r="A328" s="5"/>
      <c r="B328" s="5"/>
      <c r="C328" s="9" t="s">
        <v>574</v>
      </c>
      <c r="D328" s="5"/>
      <c r="E328" s="9" t="s">
        <v>575</v>
      </c>
      <c r="F328" s="5"/>
      <c r="G328" s="5"/>
    </row>
    <row r="329" spans="1:7" ht="14.1" customHeight="1">
      <c r="A329" s="5"/>
      <c r="B329" s="5"/>
      <c r="C329" s="9" t="s">
        <v>576</v>
      </c>
      <c r="D329" s="5"/>
      <c r="E329" s="9" t="s">
        <v>577</v>
      </c>
      <c r="F329" s="5"/>
      <c r="G329" s="5"/>
    </row>
    <row r="330" spans="1:7" ht="23.1" customHeight="1">
      <c r="A330" s="5"/>
      <c r="B330" s="100" t="s">
        <v>578</v>
      </c>
      <c r="C330" s="100"/>
      <c r="D330" s="100"/>
      <c r="E330" s="100"/>
      <c r="F330" s="5"/>
      <c r="G330" s="5"/>
    </row>
    <row r="331" spans="1:7" ht="14.1" customHeight="1" thickBot="1">
      <c r="A331" s="5"/>
      <c r="B331" s="5"/>
      <c r="C331" s="9" t="s">
        <v>579</v>
      </c>
      <c r="D331" s="5"/>
      <c r="E331" s="9" t="s">
        <v>580</v>
      </c>
      <c r="F331" s="5"/>
      <c r="G331" s="5"/>
    </row>
    <row r="332" spans="1:7" ht="0.95" customHeight="1">
      <c r="A332" s="5"/>
      <c r="B332" s="106"/>
      <c r="C332" s="106"/>
      <c r="D332" s="106"/>
      <c r="E332" s="106"/>
      <c r="F332" s="106"/>
      <c r="G332" s="5"/>
    </row>
    <row r="333" spans="1:7" ht="14.1" customHeight="1">
      <c r="A333" s="5"/>
      <c r="B333" s="5"/>
      <c r="C333" s="9" t="s">
        <v>581</v>
      </c>
      <c r="D333" s="5"/>
      <c r="E333" s="9" t="s">
        <v>582</v>
      </c>
      <c r="F333" s="5"/>
      <c r="G333" s="5"/>
    </row>
    <row r="334" spans="1:7" ht="23.1" customHeight="1">
      <c r="A334" s="5"/>
      <c r="B334" s="5"/>
      <c r="C334" s="9" t="s">
        <v>583</v>
      </c>
      <c r="D334" s="5"/>
      <c r="E334" s="9" t="s">
        <v>584</v>
      </c>
      <c r="F334" s="5"/>
      <c r="G334" s="5"/>
    </row>
    <row r="335" spans="1:7" ht="23.1" customHeight="1">
      <c r="A335" s="5"/>
      <c r="B335" s="5"/>
      <c r="C335" s="9" t="s">
        <v>585</v>
      </c>
      <c r="D335" s="5"/>
      <c r="E335" s="9" t="s">
        <v>586</v>
      </c>
      <c r="F335" s="5"/>
      <c r="G335" s="5"/>
    </row>
    <row r="336" spans="1:7" ht="14.1" customHeight="1">
      <c r="A336" s="5"/>
      <c r="B336" s="5"/>
      <c r="C336" s="9" t="s">
        <v>587</v>
      </c>
      <c r="D336" s="5"/>
      <c r="E336" s="9" t="s">
        <v>588</v>
      </c>
      <c r="F336" s="5"/>
      <c r="G336" s="5"/>
    </row>
    <row r="337" spans="1:7" ht="14.1" customHeight="1">
      <c r="A337" s="5"/>
      <c r="B337" s="5"/>
      <c r="C337" s="9" t="s">
        <v>589</v>
      </c>
      <c r="D337" s="5"/>
      <c r="E337" s="9" t="s">
        <v>590</v>
      </c>
      <c r="F337" s="5"/>
      <c r="G337" s="5"/>
    </row>
    <row r="338" spans="1:7" ht="14.1" customHeight="1">
      <c r="A338" s="5"/>
      <c r="B338" s="5"/>
      <c r="C338" s="9" t="s">
        <v>591</v>
      </c>
      <c r="D338" s="5"/>
      <c r="E338" s="9" t="s">
        <v>592</v>
      </c>
      <c r="F338" s="5"/>
      <c r="G338" s="5"/>
    </row>
    <row r="339" spans="1:7" ht="23.1" customHeight="1">
      <c r="A339" s="5"/>
      <c r="B339" s="5"/>
      <c r="C339" s="9" t="s">
        <v>593</v>
      </c>
      <c r="D339" s="5"/>
      <c r="E339" s="9" t="s">
        <v>594</v>
      </c>
      <c r="F339" s="5"/>
      <c r="G339" s="5"/>
    </row>
    <row r="340" spans="1:7" ht="14.1" customHeight="1">
      <c r="A340" s="5"/>
      <c r="B340" s="5"/>
      <c r="C340" s="9" t="s">
        <v>595</v>
      </c>
      <c r="D340" s="5"/>
      <c r="E340" s="9" t="s">
        <v>596</v>
      </c>
      <c r="F340" s="5"/>
      <c r="G340" s="5"/>
    </row>
    <row r="341" spans="1:7" ht="14.1" customHeight="1">
      <c r="A341" s="5"/>
      <c r="B341" s="5"/>
      <c r="C341" s="9" t="s">
        <v>597</v>
      </c>
      <c r="D341" s="5"/>
      <c r="E341" s="9" t="s">
        <v>598</v>
      </c>
      <c r="F341" s="5"/>
      <c r="G341" s="5"/>
    </row>
    <row r="342" spans="1:7" ht="14.1" customHeight="1">
      <c r="A342" s="5"/>
      <c r="B342" s="5"/>
      <c r="C342" s="9" t="s">
        <v>599</v>
      </c>
      <c r="D342" s="5"/>
      <c r="E342" s="9" t="s">
        <v>600</v>
      </c>
      <c r="F342" s="5"/>
      <c r="G342" s="5"/>
    </row>
    <row r="343" spans="1:7" ht="14.1" customHeight="1">
      <c r="A343" s="5"/>
      <c r="B343" s="5"/>
      <c r="C343" s="9" t="s">
        <v>601</v>
      </c>
      <c r="D343" s="5"/>
      <c r="E343" s="9" t="s">
        <v>602</v>
      </c>
      <c r="F343" s="5"/>
      <c r="G343" s="5"/>
    </row>
    <row r="344" spans="1:7" ht="14.1" customHeight="1">
      <c r="A344" s="5"/>
      <c r="B344" s="5"/>
      <c r="C344" s="9" t="s">
        <v>603</v>
      </c>
      <c r="D344" s="5"/>
      <c r="E344" s="9" t="s">
        <v>604</v>
      </c>
      <c r="F344" s="5"/>
      <c r="G344" s="5"/>
    </row>
    <row r="345" spans="1:7" ht="14.1" customHeight="1">
      <c r="A345" s="5"/>
      <c r="B345" s="5"/>
      <c r="C345" s="9" t="s">
        <v>605</v>
      </c>
      <c r="D345" s="5"/>
      <c r="E345" s="9" t="s">
        <v>606</v>
      </c>
      <c r="F345" s="5"/>
      <c r="G345" s="5"/>
    </row>
    <row r="346" spans="1:7" ht="14.1" customHeight="1">
      <c r="A346" s="5"/>
      <c r="B346" s="5"/>
      <c r="C346" s="9" t="s">
        <v>607</v>
      </c>
      <c r="D346" s="5"/>
      <c r="E346" s="9" t="s">
        <v>608</v>
      </c>
      <c r="F346" s="5"/>
      <c r="G346" s="5"/>
    </row>
    <row r="347" spans="1:7" ht="23.1" customHeight="1">
      <c r="A347" s="5"/>
      <c r="B347" s="5"/>
      <c r="C347" s="9" t="s">
        <v>609</v>
      </c>
      <c r="D347" s="5"/>
      <c r="E347" s="9" t="s">
        <v>610</v>
      </c>
      <c r="F347" s="5"/>
      <c r="G347" s="5"/>
    </row>
    <row r="348" spans="1:7" ht="14.1" customHeight="1">
      <c r="A348" s="5"/>
      <c r="B348" s="5"/>
      <c r="C348" s="9" t="s">
        <v>611</v>
      </c>
      <c r="D348" s="5"/>
      <c r="E348" s="9" t="s">
        <v>612</v>
      </c>
      <c r="F348" s="5"/>
      <c r="G348" s="5"/>
    </row>
    <row r="349" spans="1:7" ht="14.1" customHeight="1">
      <c r="A349" s="5"/>
      <c r="B349" s="5"/>
      <c r="C349" s="9" t="s">
        <v>613</v>
      </c>
      <c r="D349" s="5"/>
      <c r="E349" s="9" t="s">
        <v>614</v>
      </c>
      <c r="F349" s="5"/>
      <c r="G349" s="5"/>
    </row>
    <row r="350" spans="1:7" ht="14.1" customHeight="1">
      <c r="A350" s="5"/>
      <c r="B350" s="5"/>
      <c r="C350" s="9" t="s">
        <v>615</v>
      </c>
      <c r="D350" s="5"/>
      <c r="E350" s="9" t="s">
        <v>616</v>
      </c>
      <c r="F350" s="5"/>
      <c r="G350" s="5"/>
    </row>
    <row r="351" spans="1:7" ht="14.1" customHeight="1">
      <c r="A351" s="5"/>
      <c r="B351" s="5"/>
      <c r="C351" s="9" t="s">
        <v>617</v>
      </c>
      <c r="D351" s="5"/>
      <c r="E351" s="9" t="s">
        <v>618</v>
      </c>
      <c r="F351" s="5"/>
      <c r="G351" s="5"/>
    </row>
    <row r="352" spans="1:7" ht="14.1" customHeight="1">
      <c r="A352" s="5"/>
      <c r="B352" s="5"/>
      <c r="C352" s="9" t="s">
        <v>619</v>
      </c>
      <c r="D352" s="5"/>
      <c r="E352" s="9" t="s">
        <v>620</v>
      </c>
      <c r="F352" s="5"/>
      <c r="G352" s="5"/>
    </row>
    <row r="353" spans="1:7" ht="14.1" customHeight="1">
      <c r="A353" s="5"/>
      <c r="B353" s="5"/>
      <c r="C353" s="9" t="s">
        <v>621</v>
      </c>
      <c r="D353" s="5"/>
      <c r="E353" s="9" t="s">
        <v>622</v>
      </c>
      <c r="F353" s="5"/>
      <c r="G353" s="5"/>
    </row>
    <row r="354" spans="1:7" ht="14.1" customHeight="1">
      <c r="A354" s="5"/>
      <c r="B354" s="5"/>
      <c r="C354" s="9" t="s">
        <v>623</v>
      </c>
      <c r="D354" s="5"/>
      <c r="E354" s="9" t="s">
        <v>624</v>
      </c>
      <c r="F354" s="5"/>
      <c r="G354" s="5"/>
    </row>
    <row r="355" spans="1:7" ht="14.1" customHeight="1">
      <c r="A355" s="5"/>
      <c r="B355" s="5"/>
      <c r="C355" s="9" t="s">
        <v>625</v>
      </c>
      <c r="D355" s="5"/>
      <c r="E355" s="9" t="s">
        <v>626</v>
      </c>
      <c r="F355" s="5"/>
      <c r="G355" s="5"/>
    </row>
    <row r="356" spans="1:7" ht="14.1" customHeight="1">
      <c r="A356" s="5"/>
      <c r="B356" s="5"/>
      <c r="C356" s="9" t="s">
        <v>627</v>
      </c>
      <c r="D356" s="5"/>
      <c r="E356" s="9" t="s">
        <v>628</v>
      </c>
      <c r="F356" s="5"/>
      <c r="G356" s="5"/>
    </row>
    <row r="357" spans="1:7" ht="14.1" customHeight="1">
      <c r="A357" s="5"/>
      <c r="B357" s="5"/>
      <c r="C357" s="9" t="s">
        <v>629</v>
      </c>
      <c r="D357" s="5"/>
      <c r="E357" s="9" t="s">
        <v>630</v>
      </c>
      <c r="F357" s="5"/>
      <c r="G357" s="5"/>
    </row>
    <row r="358" spans="1:7" ht="14.1" customHeight="1">
      <c r="A358" s="5"/>
      <c r="B358" s="100" t="s">
        <v>631</v>
      </c>
      <c r="C358" s="100"/>
      <c r="D358" s="100"/>
      <c r="E358" s="100"/>
      <c r="F358" s="5"/>
      <c r="G358" s="5"/>
    </row>
    <row r="359" spans="1:7" ht="14.1" customHeight="1">
      <c r="A359" s="5"/>
      <c r="B359" s="5"/>
      <c r="C359" s="9" t="s">
        <v>632</v>
      </c>
      <c r="D359" s="5"/>
      <c r="E359" s="9" t="s">
        <v>633</v>
      </c>
      <c r="F359" s="5"/>
      <c r="G359" s="5"/>
    </row>
    <row r="360" spans="1:7" ht="14.1" customHeight="1">
      <c r="A360" s="5"/>
      <c r="B360" s="5"/>
      <c r="C360" s="9" t="s">
        <v>634</v>
      </c>
      <c r="D360" s="5"/>
      <c r="E360" s="9" t="s">
        <v>635</v>
      </c>
      <c r="F360" s="5"/>
      <c r="G360" s="5"/>
    </row>
    <row r="361" spans="1:7" ht="14.1" customHeight="1">
      <c r="A361" s="5"/>
      <c r="B361" s="5"/>
      <c r="C361" s="9" t="s">
        <v>636</v>
      </c>
      <c r="D361" s="5"/>
      <c r="E361" s="9" t="s">
        <v>637</v>
      </c>
      <c r="F361" s="5"/>
      <c r="G361" s="5"/>
    </row>
    <row r="362" spans="1:7" ht="14.1" customHeight="1">
      <c r="A362" s="5"/>
      <c r="B362" s="100" t="s">
        <v>11</v>
      </c>
      <c r="C362" s="100"/>
      <c r="D362" s="100"/>
      <c r="E362" s="100"/>
      <c r="F362" s="5"/>
      <c r="G362" s="5"/>
    </row>
    <row r="363" spans="1:7" ht="14.1" customHeight="1">
      <c r="A363" s="5"/>
      <c r="B363" s="5"/>
      <c r="C363" s="9" t="s">
        <v>638</v>
      </c>
      <c r="D363" s="5"/>
      <c r="E363" s="9" t="s">
        <v>639</v>
      </c>
      <c r="F363" s="5"/>
      <c r="G363" s="5"/>
    </row>
    <row r="364" spans="1:7" ht="14.1" customHeight="1">
      <c r="A364" s="5"/>
      <c r="B364" s="5"/>
      <c r="C364" s="9" t="s">
        <v>640</v>
      </c>
      <c r="D364" s="5"/>
      <c r="E364" s="9" t="s">
        <v>641</v>
      </c>
      <c r="F364" s="5"/>
      <c r="G364" s="5"/>
    </row>
    <row r="365" spans="1:7" ht="14.1" customHeight="1">
      <c r="A365" s="5"/>
      <c r="B365" s="5"/>
      <c r="C365" s="9" t="s">
        <v>642</v>
      </c>
      <c r="D365" s="5"/>
      <c r="E365" s="9" t="s">
        <v>643</v>
      </c>
      <c r="F365" s="5"/>
      <c r="G365" s="5"/>
    </row>
    <row r="366" spans="1:7" ht="23.1" customHeight="1">
      <c r="A366" s="5"/>
      <c r="B366" s="5"/>
      <c r="C366" s="9" t="s">
        <v>644</v>
      </c>
      <c r="D366" s="5"/>
      <c r="E366" s="9" t="s">
        <v>645</v>
      </c>
      <c r="F366" s="5"/>
      <c r="G366" s="5"/>
    </row>
    <row r="367" spans="1:7" ht="14.1" customHeight="1">
      <c r="A367" s="5"/>
      <c r="B367" s="5"/>
      <c r="C367" s="9" t="s">
        <v>646</v>
      </c>
      <c r="D367" s="5"/>
      <c r="E367" s="9" t="s">
        <v>647</v>
      </c>
      <c r="F367" s="5"/>
      <c r="G367" s="5"/>
    </row>
    <row r="368" spans="1:7" ht="14.1" customHeight="1">
      <c r="A368" s="5"/>
      <c r="B368" s="5"/>
      <c r="C368" s="9" t="s">
        <v>648</v>
      </c>
      <c r="D368" s="5"/>
      <c r="E368" s="9" t="s">
        <v>649</v>
      </c>
      <c r="F368" s="5"/>
      <c r="G368" s="5"/>
    </row>
    <row r="369" spans="1:7" ht="23.1" customHeight="1">
      <c r="A369" s="5"/>
      <c r="B369" s="5"/>
      <c r="C369" s="9" t="s">
        <v>650</v>
      </c>
      <c r="D369" s="5"/>
      <c r="E369" s="9" t="s">
        <v>651</v>
      </c>
      <c r="F369" s="5"/>
      <c r="G369" s="5"/>
    </row>
    <row r="370" spans="1:7" ht="23.1" customHeight="1" thickBot="1">
      <c r="A370" s="5"/>
      <c r="B370" s="5"/>
      <c r="C370" s="9" t="s">
        <v>652</v>
      </c>
      <c r="D370" s="5"/>
      <c r="E370" s="9" t="s">
        <v>653</v>
      </c>
      <c r="F370" s="5"/>
      <c r="G370" s="5"/>
    </row>
    <row r="371" spans="1:7" ht="0.95" customHeight="1">
      <c r="A371" s="5"/>
      <c r="B371" s="106"/>
      <c r="C371" s="106"/>
      <c r="D371" s="106"/>
      <c r="E371" s="106"/>
      <c r="F371" s="106"/>
      <c r="G371" s="5"/>
    </row>
    <row r="372" spans="1:7" ht="12.95" customHeight="1">
      <c r="A372" s="5"/>
      <c r="B372" s="107" t="s">
        <v>139</v>
      </c>
      <c r="C372" s="107"/>
      <c r="D372" s="107"/>
      <c r="E372" s="107"/>
      <c r="F372" s="107"/>
      <c r="G372" s="5"/>
    </row>
    <row r="373" spans="1:7" ht="12.95" customHeight="1">
      <c r="A373" s="5"/>
      <c r="B373" s="107"/>
      <c r="C373" s="107"/>
      <c r="D373" s="107"/>
      <c r="E373" s="107"/>
      <c r="F373" s="107"/>
      <c r="G373" s="5"/>
    </row>
    <row r="374" spans="1:7" ht="12.95" customHeight="1">
      <c r="A374" s="5"/>
      <c r="B374" s="108" t="s">
        <v>140</v>
      </c>
      <c r="C374" s="108"/>
      <c r="D374" s="108"/>
      <c r="E374" s="108"/>
      <c r="F374" s="108"/>
      <c r="G374" s="5"/>
    </row>
    <row r="375" spans="1:7" ht="12.95" customHeight="1">
      <c r="A375" s="5"/>
      <c r="B375" s="105" t="s">
        <v>654</v>
      </c>
      <c r="C375" s="105"/>
      <c r="D375" s="105"/>
      <c r="E375" s="105"/>
      <c r="F375" s="105"/>
      <c r="G375" s="5"/>
    </row>
    <row r="376" spans="1:7" ht="17.100000000000001" customHeight="1">
      <c r="A376" s="5"/>
      <c r="B376" s="101" t="s">
        <v>64</v>
      </c>
      <c r="C376" s="101"/>
      <c r="D376" s="101"/>
      <c r="E376" s="101"/>
      <c r="F376" s="101"/>
      <c r="G376" s="5"/>
    </row>
    <row r="377" spans="1:7" ht="23.1" customHeight="1">
      <c r="A377" s="5"/>
      <c r="B377" s="102" t="s">
        <v>65</v>
      </c>
      <c r="C377" s="102"/>
      <c r="D377" s="102"/>
      <c r="E377" s="102"/>
      <c r="F377" s="102"/>
      <c r="G377" s="5"/>
    </row>
    <row r="378" spans="1:7" ht="15.95" customHeight="1">
      <c r="A378" s="5"/>
      <c r="B378" s="103" t="s">
        <v>66</v>
      </c>
      <c r="C378" s="103"/>
      <c r="D378" s="103"/>
      <c r="E378" s="103"/>
      <c r="F378" s="103"/>
      <c r="G378" s="5"/>
    </row>
    <row r="379" spans="1:7" ht="12" customHeight="1">
      <c r="A379" s="5"/>
      <c r="B379" s="104" t="s">
        <v>67</v>
      </c>
      <c r="C379" s="104"/>
      <c r="D379" s="104"/>
      <c r="E379" s="104"/>
      <c r="F379" s="104"/>
      <c r="G379" s="5"/>
    </row>
    <row r="380" spans="1:7" ht="33.950000000000003" customHeight="1">
      <c r="A380" s="5"/>
      <c r="B380" s="5"/>
      <c r="C380" s="6" t="s">
        <v>68</v>
      </c>
      <c r="D380" s="5"/>
      <c r="E380" s="6" t="s">
        <v>0</v>
      </c>
      <c r="F380" s="5"/>
      <c r="G380" s="5"/>
    </row>
    <row r="381" spans="1:7" ht="23.1" customHeight="1">
      <c r="A381" s="5"/>
      <c r="B381" s="5"/>
      <c r="C381" s="9" t="s">
        <v>655</v>
      </c>
      <c r="D381" s="5"/>
      <c r="E381" s="9" t="s">
        <v>656</v>
      </c>
      <c r="F381" s="5"/>
      <c r="G381" s="5"/>
    </row>
    <row r="382" spans="1:7" ht="14.1" customHeight="1">
      <c r="A382" s="5"/>
      <c r="B382" s="5"/>
      <c r="C382" s="9" t="s">
        <v>657</v>
      </c>
      <c r="D382" s="5"/>
      <c r="E382" s="9" t="s">
        <v>658</v>
      </c>
      <c r="F382" s="5"/>
      <c r="G382" s="5"/>
    </row>
    <row r="383" spans="1:7" ht="14.1" customHeight="1">
      <c r="A383" s="5"/>
      <c r="B383" s="5"/>
      <c r="C383" s="9" t="s">
        <v>659</v>
      </c>
      <c r="D383" s="5"/>
      <c r="E383" s="9" t="s">
        <v>660</v>
      </c>
      <c r="F383" s="5"/>
      <c r="G383" s="5"/>
    </row>
    <row r="384" spans="1:7" ht="14.1" customHeight="1">
      <c r="A384" s="5"/>
      <c r="B384" s="5"/>
      <c r="C384" s="9" t="s">
        <v>661</v>
      </c>
      <c r="D384" s="5"/>
      <c r="E384" s="9" t="s">
        <v>662</v>
      </c>
      <c r="F384" s="5"/>
      <c r="G384" s="5"/>
    </row>
    <row r="385" spans="1:7" ht="14.1" customHeight="1">
      <c r="A385" s="5"/>
      <c r="B385" s="5"/>
      <c r="C385" s="9" t="s">
        <v>663</v>
      </c>
      <c r="D385" s="5"/>
      <c r="E385" s="9" t="s">
        <v>664</v>
      </c>
      <c r="F385" s="5"/>
      <c r="G385" s="5"/>
    </row>
    <row r="386" spans="1:7" ht="14.1" customHeight="1">
      <c r="A386" s="5"/>
      <c r="B386" s="5"/>
      <c r="C386" s="9" t="s">
        <v>665</v>
      </c>
      <c r="D386" s="5"/>
      <c r="E386" s="9" t="s">
        <v>666</v>
      </c>
      <c r="F386" s="5"/>
      <c r="G386" s="5"/>
    </row>
    <row r="387" spans="1:7" ht="14.1" customHeight="1">
      <c r="A387" s="5"/>
      <c r="B387" s="5"/>
      <c r="C387" s="9" t="s">
        <v>667</v>
      </c>
      <c r="D387" s="5"/>
      <c r="E387" s="9" t="s">
        <v>668</v>
      </c>
      <c r="F387" s="5"/>
      <c r="G387" s="5"/>
    </row>
    <row r="388" spans="1:7" ht="14.1" customHeight="1">
      <c r="A388" s="5"/>
      <c r="B388" s="5"/>
      <c r="C388" s="9" t="s">
        <v>669</v>
      </c>
      <c r="D388" s="5"/>
      <c r="E388" s="9" t="s">
        <v>670</v>
      </c>
      <c r="F388" s="5"/>
      <c r="G388" s="5"/>
    </row>
    <row r="389" spans="1:7" ht="14.1" customHeight="1">
      <c r="A389" s="5"/>
      <c r="B389" s="5"/>
      <c r="C389" s="9" t="s">
        <v>671</v>
      </c>
      <c r="D389" s="5"/>
      <c r="E389" s="9" t="s">
        <v>672</v>
      </c>
      <c r="F389" s="5"/>
      <c r="G389" s="5"/>
    </row>
    <row r="390" spans="1:7" ht="14.1" customHeight="1">
      <c r="A390" s="5"/>
      <c r="B390" s="5"/>
      <c r="C390" s="9" t="s">
        <v>673</v>
      </c>
      <c r="D390" s="5"/>
      <c r="E390" s="9" t="s">
        <v>674</v>
      </c>
      <c r="F390" s="5"/>
      <c r="G390" s="5"/>
    </row>
    <row r="391" spans="1:7" ht="14.1" customHeight="1">
      <c r="A391" s="5"/>
      <c r="B391" s="5"/>
      <c r="C391" s="9" t="s">
        <v>675</v>
      </c>
      <c r="D391" s="5"/>
      <c r="E391" s="9" t="s">
        <v>676</v>
      </c>
      <c r="F391" s="5"/>
      <c r="G391" s="5"/>
    </row>
    <row r="392" spans="1:7" ht="14.1" customHeight="1">
      <c r="A392" s="5"/>
      <c r="B392" s="5"/>
      <c r="C392" s="9" t="s">
        <v>677</v>
      </c>
      <c r="D392" s="5"/>
      <c r="E392" s="9" t="s">
        <v>678</v>
      </c>
      <c r="F392" s="5"/>
      <c r="G392" s="5"/>
    </row>
    <row r="393" spans="1:7" ht="14.1" customHeight="1">
      <c r="A393" s="5"/>
      <c r="B393" s="5"/>
      <c r="C393" s="9" t="s">
        <v>679</v>
      </c>
      <c r="D393" s="5"/>
      <c r="E393" s="9" t="s">
        <v>680</v>
      </c>
      <c r="F393" s="5"/>
      <c r="G393" s="5"/>
    </row>
    <row r="394" spans="1:7" ht="14.1" customHeight="1">
      <c r="A394" s="5"/>
      <c r="B394" s="5"/>
      <c r="C394" s="9" t="s">
        <v>681</v>
      </c>
      <c r="D394" s="5"/>
      <c r="E394" s="9" t="s">
        <v>682</v>
      </c>
      <c r="F394" s="5"/>
      <c r="G394" s="5"/>
    </row>
    <row r="395" spans="1:7" ht="14.1" customHeight="1">
      <c r="A395" s="5"/>
      <c r="B395" s="5"/>
      <c r="C395" s="9" t="s">
        <v>683</v>
      </c>
      <c r="D395" s="5"/>
      <c r="E395" s="9" t="s">
        <v>684</v>
      </c>
      <c r="F395" s="5"/>
      <c r="G395" s="5"/>
    </row>
    <row r="396" spans="1:7" ht="23.1" customHeight="1">
      <c r="A396" s="5"/>
      <c r="B396" s="5"/>
      <c r="C396" s="9" t="s">
        <v>685</v>
      </c>
      <c r="D396" s="5"/>
      <c r="E396" s="9" t="s">
        <v>686</v>
      </c>
      <c r="F396" s="5"/>
      <c r="G396" s="5"/>
    </row>
    <row r="397" spans="1:7" ht="14.1" customHeight="1">
      <c r="A397" s="5"/>
      <c r="B397" s="5"/>
      <c r="C397" s="9" t="s">
        <v>687</v>
      </c>
      <c r="D397" s="5"/>
      <c r="E397" s="9" t="s">
        <v>688</v>
      </c>
      <c r="F397" s="5"/>
      <c r="G397" s="5"/>
    </row>
    <row r="398" spans="1:7" ht="14.1" customHeight="1">
      <c r="A398" s="5"/>
      <c r="B398" s="5"/>
      <c r="C398" s="9" t="s">
        <v>689</v>
      </c>
      <c r="D398" s="5"/>
      <c r="E398" s="9" t="s">
        <v>690</v>
      </c>
      <c r="F398" s="5"/>
      <c r="G398" s="5"/>
    </row>
    <row r="399" spans="1:7" ht="14.1" customHeight="1">
      <c r="A399" s="5"/>
      <c r="B399" s="5"/>
      <c r="C399" s="9" t="s">
        <v>691</v>
      </c>
      <c r="D399" s="5"/>
      <c r="E399" s="9" t="s">
        <v>692</v>
      </c>
      <c r="F399" s="5"/>
      <c r="G399" s="5"/>
    </row>
    <row r="400" spans="1:7" ht="14.1" customHeight="1">
      <c r="A400" s="5"/>
      <c r="B400" s="5"/>
      <c r="C400" s="9" t="s">
        <v>693</v>
      </c>
      <c r="D400" s="5"/>
      <c r="E400" s="9" t="s">
        <v>694</v>
      </c>
      <c r="F400" s="5"/>
      <c r="G400" s="5"/>
    </row>
    <row r="401" spans="1:7" ht="14.1" customHeight="1">
      <c r="A401" s="5"/>
      <c r="B401" s="5"/>
      <c r="C401" s="9" t="s">
        <v>695</v>
      </c>
      <c r="D401" s="5"/>
      <c r="E401" s="9" t="s">
        <v>696</v>
      </c>
      <c r="F401" s="5"/>
      <c r="G401" s="5"/>
    </row>
    <row r="402" spans="1:7" ht="14.1" customHeight="1">
      <c r="A402" s="5"/>
      <c r="B402" s="5"/>
      <c r="C402" s="9" t="s">
        <v>697</v>
      </c>
      <c r="D402" s="5"/>
      <c r="E402" s="9" t="s">
        <v>698</v>
      </c>
      <c r="F402" s="5"/>
      <c r="G402" s="5"/>
    </row>
    <row r="403" spans="1:7" ht="14.1" customHeight="1">
      <c r="A403" s="5"/>
      <c r="B403" s="5"/>
      <c r="C403" s="9" t="s">
        <v>699</v>
      </c>
      <c r="D403" s="5"/>
      <c r="E403" s="9" t="s">
        <v>700</v>
      </c>
      <c r="F403" s="5"/>
      <c r="G403" s="5"/>
    </row>
    <row r="404" spans="1:7" ht="14.1" customHeight="1">
      <c r="A404" s="5"/>
      <c r="B404" s="100" t="s">
        <v>22</v>
      </c>
      <c r="C404" s="100"/>
      <c r="D404" s="100"/>
      <c r="E404" s="100"/>
      <c r="F404" s="5"/>
      <c r="G404" s="5"/>
    </row>
    <row r="405" spans="1:7" ht="14.1" customHeight="1">
      <c r="A405" s="5"/>
      <c r="B405" s="5"/>
      <c r="C405" s="9" t="s">
        <v>701</v>
      </c>
      <c r="D405" s="5"/>
      <c r="E405" s="9" t="s">
        <v>702</v>
      </c>
      <c r="F405" s="5"/>
      <c r="G405" s="5"/>
    </row>
    <row r="406" spans="1:7" ht="14.1" customHeight="1">
      <c r="A406" s="5"/>
      <c r="B406" s="5"/>
      <c r="C406" s="9" t="s">
        <v>703</v>
      </c>
      <c r="D406" s="5"/>
      <c r="E406" s="9" t="s">
        <v>704</v>
      </c>
      <c r="F406" s="5"/>
      <c r="G406" s="5"/>
    </row>
    <row r="407" spans="1:7" ht="14.1" customHeight="1">
      <c r="A407" s="5"/>
      <c r="B407" s="5"/>
      <c r="C407" s="9" t="s">
        <v>705</v>
      </c>
      <c r="D407" s="5"/>
      <c r="E407" s="9" t="s">
        <v>706</v>
      </c>
      <c r="F407" s="5"/>
      <c r="G407" s="5"/>
    </row>
    <row r="408" spans="1:7" ht="14.1" customHeight="1">
      <c r="A408" s="5"/>
      <c r="B408" s="5"/>
      <c r="C408" s="9" t="s">
        <v>707</v>
      </c>
      <c r="D408" s="5"/>
      <c r="E408" s="9" t="s">
        <v>708</v>
      </c>
      <c r="F408" s="5"/>
      <c r="G408" s="5"/>
    </row>
    <row r="409" spans="1:7" ht="14.1" customHeight="1">
      <c r="A409" s="5"/>
      <c r="B409" s="5"/>
      <c r="C409" s="9" t="s">
        <v>709</v>
      </c>
      <c r="D409" s="5"/>
      <c r="E409" s="9" t="s">
        <v>710</v>
      </c>
      <c r="F409" s="5"/>
      <c r="G409" s="5"/>
    </row>
    <row r="410" spans="1:7" ht="14.1" customHeight="1">
      <c r="A410" s="5"/>
      <c r="B410" s="5"/>
      <c r="C410" s="9" t="s">
        <v>711</v>
      </c>
      <c r="D410" s="5"/>
      <c r="E410" s="9" t="s">
        <v>712</v>
      </c>
      <c r="F410" s="5"/>
      <c r="G410" s="5"/>
    </row>
    <row r="411" spans="1:7" ht="14.1" customHeight="1">
      <c r="A411" s="5"/>
      <c r="B411" s="5"/>
      <c r="C411" s="9" t="s">
        <v>713</v>
      </c>
      <c r="D411" s="5"/>
      <c r="E411" s="9" t="s">
        <v>714</v>
      </c>
      <c r="F411" s="5"/>
      <c r="G411" s="5"/>
    </row>
    <row r="412" spans="1:7" ht="14.1" customHeight="1">
      <c r="A412" s="5"/>
      <c r="B412" s="5"/>
      <c r="C412" s="9" t="s">
        <v>715</v>
      </c>
      <c r="D412" s="5"/>
      <c r="E412" s="9" t="s">
        <v>716</v>
      </c>
      <c r="F412" s="5"/>
      <c r="G412" s="5"/>
    </row>
    <row r="413" spans="1:7" ht="14.1" customHeight="1">
      <c r="A413" s="5"/>
      <c r="B413" s="5"/>
      <c r="C413" s="9" t="s">
        <v>717</v>
      </c>
      <c r="D413" s="5"/>
      <c r="E413" s="9" t="s">
        <v>718</v>
      </c>
      <c r="F413" s="5"/>
      <c r="G413" s="5"/>
    </row>
    <row r="414" spans="1:7" ht="14.1" customHeight="1">
      <c r="A414" s="5"/>
      <c r="B414" s="100" t="s">
        <v>719</v>
      </c>
      <c r="C414" s="100"/>
      <c r="D414" s="100"/>
      <c r="E414" s="100"/>
      <c r="F414" s="5"/>
      <c r="G414" s="5"/>
    </row>
    <row r="415" spans="1:7" ht="14.1" customHeight="1">
      <c r="A415" s="5"/>
      <c r="B415" s="5"/>
      <c r="C415" s="9" t="s">
        <v>720</v>
      </c>
      <c r="D415" s="5"/>
      <c r="E415" s="9" t="s">
        <v>721</v>
      </c>
      <c r="F415" s="5"/>
      <c r="G415" s="5"/>
    </row>
    <row r="416" spans="1:7" ht="14.1" customHeight="1">
      <c r="A416" s="5"/>
      <c r="B416" s="5"/>
      <c r="C416" s="9" t="s">
        <v>722</v>
      </c>
      <c r="D416" s="5"/>
      <c r="E416" s="9" t="s">
        <v>723</v>
      </c>
      <c r="F416" s="5"/>
      <c r="G416" s="5"/>
    </row>
    <row r="417" spans="1:7" ht="14.1" customHeight="1">
      <c r="A417" s="5"/>
      <c r="B417" s="5"/>
      <c r="C417" s="9" t="s">
        <v>724</v>
      </c>
      <c r="D417" s="5"/>
      <c r="E417" s="9" t="s">
        <v>725</v>
      </c>
      <c r="F417" s="5"/>
      <c r="G417" s="5"/>
    </row>
    <row r="418" spans="1:7" ht="14.1" customHeight="1">
      <c r="A418" s="5"/>
      <c r="B418" s="5"/>
      <c r="C418" s="9" t="s">
        <v>726</v>
      </c>
      <c r="D418" s="5"/>
      <c r="E418" s="9" t="s">
        <v>727</v>
      </c>
      <c r="F418" s="5"/>
      <c r="G418" s="5"/>
    </row>
    <row r="419" spans="1:7" ht="14.1" customHeight="1">
      <c r="A419" s="5"/>
      <c r="B419" s="5"/>
      <c r="C419" s="9" t="s">
        <v>728</v>
      </c>
      <c r="D419" s="5"/>
      <c r="E419" s="9" t="s">
        <v>729</v>
      </c>
      <c r="F419" s="5"/>
      <c r="G419" s="5"/>
    </row>
    <row r="420" spans="1:7" ht="23.1" customHeight="1" thickBot="1">
      <c r="A420" s="5"/>
      <c r="B420" s="5"/>
      <c r="C420" s="9" t="s">
        <v>730</v>
      </c>
      <c r="D420" s="5"/>
      <c r="E420" s="9" t="s">
        <v>731</v>
      </c>
      <c r="F420" s="5"/>
      <c r="G420" s="5"/>
    </row>
    <row r="421" spans="1:7" ht="0.95" customHeight="1">
      <c r="A421" s="5"/>
      <c r="B421" s="106"/>
      <c r="C421" s="106"/>
      <c r="D421" s="106"/>
      <c r="E421" s="106"/>
      <c r="F421" s="106"/>
      <c r="G421" s="5"/>
    </row>
    <row r="422" spans="1:7" ht="12.95" customHeight="1">
      <c r="A422" s="5"/>
      <c r="B422" s="107" t="s">
        <v>139</v>
      </c>
      <c r="C422" s="107"/>
      <c r="D422" s="107"/>
      <c r="E422" s="107"/>
      <c r="F422" s="107"/>
      <c r="G422" s="5"/>
    </row>
    <row r="423" spans="1:7" ht="12.95" customHeight="1">
      <c r="A423" s="5"/>
      <c r="B423" s="107"/>
      <c r="C423" s="107"/>
      <c r="D423" s="107"/>
      <c r="E423" s="107"/>
      <c r="F423" s="107"/>
      <c r="G423" s="5"/>
    </row>
    <row r="424" spans="1:7" ht="12.95" customHeight="1">
      <c r="A424" s="5"/>
      <c r="B424" s="108" t="s">
        <v>140</v>
      </c>
      <c r="C424" s="108"/>
      <c r="D424" s="108"/>
      <c r="E424" s="108"/>
      <c r="F424" s="108"/>
      <c r="G424" s="5"/>
    </row>
    <row r="425" spans="1:7" ht="12.95" customHeight="1">
      <c r="A425" s="5"/>
      <c r="B425" s="105" t="s">
        <v>732</v>
      </c>
      <c r="C425" s="105"/>
      <c r="D425" s="105"/>
      <c r="E425" s="105"/>
      <c r="F425" s="105"/>
      <c r="G425" s="5"/>
    </row>
    <row r="426" spans="1:7" ht="17.100000000000001" customHeight="1">
      <c r="A426" s="5"/>
      <c r="B426" s="101" t="s">
        <v>64</v>
      </c>
      <c r="C426" s="101"/>
      <c r="D426" s="101"/>
      <c r="E426" s="101"/>
      <c r="F426" s="101"/>
      <c r="G426" s="5"/>
    </row>
    <row r="427" spans="1:7" ht="23.1" customHeight="1">
      <c r="A427" s="5"/>
      <c r="B427" s="102" t="s">
        <v>65</v>
      </c>
      <c r="C427" s="102"/>
      <c r="D427" s="102"/>
      <c r="E427" s="102"/>
      <c r="F427" s="102"/>
      <c r="G427" s="5"/>
    </row>
    <row r="428" spans="1:7" ht="15.95" customHeight="1">
      <c r="A428" s="5"/>
      <c r="B428" s="103" t="s">
        <v>66</v>
      </c>
      <c r="C428" s="103"/>
      <c r="D428" s="103"/>
      <c r="E428" s="103"/>
      <c r="F428" s="103"/>
      <c r="G428" s="5"/>
    </row>
    <row r="429" spans="1:7" ht="12" customHeight="1">
      <c r="A429" s="5"/>
      <c r="B429" s="104" t="s">
        <v>67</v>
      </c>
      <c r="C429" s="104"/>
      <c r="D429" s="104"/>
      <c r="E429" s="104"/>
      <c r="F429" s="104"/>
      <c r="G429" s="5"/>
    </row>
    <row r="430" spans="1:7" ht="33.950000000000003" customHeight="1">
      <c r="A430" s="5"/>
      <c r="B430" s="5"/>
      <c r="C430" s="6" t="s">
        <v>68</v>
      </c>
      <c r="D430" s="5"/>
      <c r="E430" s="6" t="s">
        <v>0</v>
      </c>
      <c r="F430" s="5"/>
      <c r="G430" s="5"/>
    </row>
    <row r="431" spans="1:7" ht="14.1" customHeight="1">
      <c r="A431" s="5"/>
      <c r="B431" s="5"/>
      <c r="C431" s="9" t="s">
        <v>733</v>
      </c>
      <c r="D431" s="5"/>
      <c r="E431" s="9" t="s">
        <v>734</v>
      </c>
      <c r="F431" s="5"/>
      <c r="G431" s="5"/>
    </row>
    <row r="432" spans="1:7" ht="14.1" customHeight="1">
      <c r="A432" s="5"/>
      <c r="B432" s="5"/>
      <c r="C432" s="9" t="s">
        <v>735</v>
      </c>
      <c r="D432" s="5"/>
      <c r="E432" s="9" t="s">
        <v>736</v>
      </c>
      <c r="F432" s="5"/>
      <c r="G432" s="5"/>
    </row>
    <row r="433" spans="1:7" ht="14.1" customHeight="1">
      <c r="A433" s="5"/>
      <c r="B433" s="100" t="s">
        <v>737</v>
      </c>
      <c r="C433" s="100"/>
      <c r="D433" s="100"/>
      <c r="E433" s="100"/>
      <c r="F433" s="5"/>
      <c r="G433" s="5"/>
    </row>
    <row r="434" spans="1:7" ht="14.1" customHeight="1">
      <c r="A434" s="5"/>
      <c r="B434" s="5"/>
      <c r="C434" s="9" t="s">
        <v>738</v>
      </c>
      <c r="D434" s="5"/>
      <c r="E434" s="9" t="s">
        <v>739</v>
      </c>
      <c r="F434" s="5"/>
      <c r="G434" s="5"/>
    </row>
    <row r="435" spans="1:7" ht="14.1" customHeight="1">
      <c r="A435" s="5"/>
      <c r="B435" s="5"/>
      <c r="C435" s="9" t="s">
        <v>740</v>
      </c>
      <c r="D435" s="5"/>
      <c r="E435" s="9" t="s">
        <v>741</v>
      </c>
      <c r="F435" s="5"/>
      <c r="G435" s="5"/>
    </row>
    <row r="436" spans="1:7" ht="14.1" customHeight="1">
      <c r="A436" s="5"/>
      <c r="B436" s="5"/>
      <c r="C436" s="9" t="s">
        <v>742</v>
      </c>
      <c r="D436" s="5"/>
      <c r="E436" s="9" t="s">
        <v>743</v>
      </c>
      <c r="F436" s="5"/>
      <c r="G436" s="5"/>
    </row>
    <row r="437" spans="1:7" ht="14.1" customHeight="1">
      <c r="A437" s="5"/>
      <c r="B437" s="5"/>
      <c r="C437" s="9" t="s">
        <v>744</v>
      </c>
      <c r="D437" s="5"/>
      <c r="E437" s="9" t="s">
        <v>745</v>
      </c>
      <c r="F437" s="5"/>
      <c r="G437" s="5"/>
    </row>
    <row r="438" spans="1:7" ht="14.1" customHeight="1">
      <c r="A438" s="5"/>
      <c r="B438" s="5"/>
      <c r="C438" s="9" t="s">
        <v>746</v>
      </c>
      <c r="D438" s="5"/>
      <c r="E438" s="9" t="s">
        <v>747</v>
      </c>
      <c r="F438" s="5"/>
      <c r="G438" s="5"/>
    </row>
    <row r="439" spans="1:7" ht="14.1" customHeight="1">
      <c r="A439" s="5"/>
      <c r="B439" s="5"/>
      <c r="C439" s="9" t="s">
        <v>748</v>
      </c>
      <c r="D439" s="5"/>
      <c r="E439" s="9" t="s">
        <v>749</v>
      </c>
      <c r="F439" s="5"/>
      <c r="G439" s="5"/>
    </row>
    <row r="440" spans="1:7" ht="14.1" customHeight="1">
      <c r="A440" s="5"/>
      <c r="B440" s="100" t="s">
        <v>750</v>
      </c>
      <c r="C440" s="100"/>
      <c r="D440" s="100"/>
      <c r="E440" s="100"/>
      <c r="F440" s="5"/>
      <c r="G440" s="5"/>
    </row>
    <row r="441" spans="1:7" ht="14.1" customHeight="1">
      <c r="A441" s="5"/>
      <c r="B441" s="5"/>
      <c r="C441" s="9" t="s">
        <v>751</v>
      </c>
      <c r="D441" s="5"/>
      <c r="E441" s="9" t="s">
        <v>752</v>
      </c>
      <c r="F441" s="5"/>
      <c r="G441" s="5"/>
    </row>
    <row r="442" spans="1:7" ht="14.1" customHeight="1">
      <c r="A442" s="5"/>
      <c r="B442" s="5"/>
      <c r="C442" s="9" t="s">
        <v>753</v>
      </c>
      <c r="D442" s="5"/>
      <c r="E442" s="9" t="s">
        <v>754</v>
      </c>
      <c r="F442" s="5"/>
      <c r="G442" s="5"/>
    </row>
    <row r="443" spans="1:7" ht="14.1" customHeight="1">
      <c r="A443" s="5"/>
      <c r="B443" s="5"/>
      <c r="C443" s="9" t="s">
        <v>755</v>
      </c>
      <c r="D443" s="5"/>
      <c r="E443" s="9" t="s">
        <v>756</v>
      </c>
      <c r="F443" s="5"/>
      <c r="G443" s="5"/>
    </row>
    <row r="444" spans="1:7" ht="14.1" customHeight="1">
      <c r="A444" s="5"/>
      <c r="B444" s="5"/>
      <c r="C444" s="9" t="s">
        <v>757</v>
      </c>
      <c r="D444" s="5"/>
      <c r="E444" s="9" t="s">
        <v>758</v>
      </c>
      <c r="F444" s="5"/>
      <c r="G444" s="5"/>
    </row>
    <row r="445" spans="1:7" ht="14.1" customHeight="1">
      <c r="A445" s="5"/>
      <c r="B445" s="5"/>
      <c r="C445" s="9" t="s">
        <v>759</v>
      </c>
      <c r="D445" s="5"/>
      <c r="E445" s="9" t="s">
        <v>760</v>
      </c>
      <c r="F445" s="5"/>
      <c r="G445" s="5"/>
    </row>
    <row r="446" spans="1:7" ht="14.1" customHeight="1">
      <c r="A446" s="5"/>
      <c r="B446" s="5"/>
      <c r="C446" s="9" t="s">
        <v>761</v>
      </c>
      <c r="D446" s="5"/>
      <c r="E446" s="9" t="s">
        <v>762</v>
      </c>
      <c r="F446" s="5"/>
      <c r="G446" s="5"/>
    </row>
    <row r="447" spans="1:7" ht="14.1" customHeight="1">
      <c r="A447" s="5"/>
      <c r="B447" s="5"/>
      <c r="C447" s="9" t="s">
        <v>763</v>
      </c>
      <c r="D447" s="5"/>
      <c r="E447" s="9" t="s">
        <v>764</v>
      </c>
      <c r="F447" s="5"/>
      <c r="G447" s="5"/>
    </row>
    <row r="448" spans="1:7" ht="14.1" customHeight="1">
      <c r="A448" s="5"/>
      <c r="B448" s="5"/>
      <c r="C448" s="9" t="s">
        <v>765</v>
      </c>
      <c r="D448" s="5"/>
      <c r="E448" s="9" t="s">
        <v>766</v>
      </c>
      <c r="F448" s="5"/>
      <c r="G448" s="5"/>
    </row>
    <row r="449" spans="1:7" ht="14.1" customHeight="1">
      <c r="A449" s="5"/>
      <c r="B449" s="5"/>
      <c r="C449" s="9" t="s">
        <v>767</v>
      </c>
      <c r="D449" s="5"/>
      <c r="E449" s="9" t="s">
        <v>768</v>
      </c>
      <c r="F449" s="5"/>
      <c r="G449" s="5"/>
    </row>
    <row r="450" spans="1:7" ht="23.1" customHeight="1">
      <c r="A450" s="5"/>
      <c r="B450" s="5"/>
      <c r="C450" s="9" t="s">
        <v>769</v>
      </c>
      <c r="D450" s="5"/>
      <c r="E450" s="9" t="s">
        <v>770</v>
      </c>
      <c r="F450" s="5"/>
      <c r="G450" s="5"/>
    </row>
    <row r="451" spans="1:7" ht="14.1" customHeight="1">
      <c r="A451" s="5"/>
      <c r="B451" s="5"/>
      <c r="C451" s="9" t="s">
        <v>771</v>
      </c>
      <c r="D451" s="5"/>
      <c r="E451" s="9" t="s">
        <v>772</v>
      </c>
      <c r="F451" s="5"/>
      <c r="G451" s="5"/>
    </row>
    <row r="452" spans="1:7" ht="14.1" customHeight="1">
      <c r="A452" s="5"/>
      <c r="B452" s="5"/>
      <c r="C452" s="9" t="s">
        <v>773</v>
      </c>
      <c r="D452" s="5"/>
      <c r="E452" s="9" t="s">
        <v>774</v>
      </c>
      <c r="F452" s="5"/>
      <c r="G452" s="5"/>
    </row>
    <row r="453" spans="1:7" ht="14.1" customHeight="1">
      <c r="A453" s="5"/>
      <c r="B453" s="5"/>
      <c r="C453" s="9" t="s">
        <v>775</v>
      </c>
      <c r="D453" s="5"/>
      <c r="E453" s="9" t="s">
        <v>776</v>
      </c>
      <c r="F453" s="5"/>
      <c r="G453" s="5"/>
    </row>
    <row r="454" spans="1:7" ht="14.1" customHeight="1">
      <c r="A454" s="5"/>
      <c r="B454" s="5"/>
      <c r="C454" s="9" t="s">
        <v>777</v>
      </c>
      <c r="D454" s="5"/>
      <c r="E454" s="9" t="s">
        <v>778</v>
      </c>
      <c r="F454" s="5"/>
      <c r="G454" s="5"/>
    </row>
    <row r="455" spans="1:7" ht="14.1" customHeight="1">
      <c r="A455" s="5"/>
      <c r="B455" s="100" t="s">
        <v>779</v>
      </c>
      <c r="C455" s="100"/>
      <c r="D455" s="100"/>
      <c r="E455" s="100"/>
      <c r="F455" s="5"/>
      <c r="G455" s="5"/>
    </row>
    <row r="456" spans="1:7" ht="14.1" customHeight="1">
      <c r="A456" s="5"/>
      <c r="B456" s="5"/>
      <c r="C456" s="9" t="s">
        <v>780</v>
      </c>
      <c r="D456" s="5"/>
      <c r="E456" s="9" t="s">
        <v>781</v>
      </c>
      <c r="F456" s="5"/>
      <c r="G456" s="5"/>
    </row>
    <row r="457" spans="1:7" ht="14.1" customHeight="1">
      <c r="A457" s="5"/>
      <c r="B457" s="5"/>
      <c r="C457" s="9" t="s">
        <v>782</v>
      </c>
      <c r="D457" s="5"/>
      <c r="E457" s="9" t="s">
        <v>783</v>
      </c>
      <c r="F457" s="5"/>
      <c r="G457" s="5"/>
    </row>
    <row r="458" spans="1:7" ht="14.1" customHeight="1">
      <c r="A458" s="5"/>
      <c r="B458" s="5"/>
      <c r="C458" s="9" t="s">
        <v>784</v>
      </c>
      <c r="D458" s="5"/>
      <c r="E458" s="9" t="s">
        <v>785</v>
      </c>
      <c r="F458" s="5"/>
      <c r="G458" s="5"/>
    </row>
    <row r="459" spans="1:7" ht="14.1" customHeight="1">
      <c r="A459" s="5"/>
      <c r="B459" s="5"/>
      <c r="C459" s="9" t="s">
        <v>786</v>
      </c>
      <c r="D459" s="5"/>
      <c r="E459" s="9" t="s">
        <v>787</v>
      </c>
      <c r="F459" s="5"/>
      <c r="G459" s="5"/>
    </row>
    <row r="460" spans="1:7" ht="14.1" customHeight="1">
      <c r="A460" s="5"/>
      <c r="B460" s="5"/>
      <c r="C460" s="9" t="s">
        <v>788</v>
      </c>
      <c r="D460" s="5"/>
      <c r="E460" s="9" t="s">
        <v>789</v>
      </c>
      <c r="F460" s="5"/>
      <c r="G460" s="5"/>
    </row>
    <row r="461" spans="1:7" ht="14.1" customHeight="1">
      <c r="A461" s="5"/>
      <c r="B461" s="5"/>
      <c r="C461" s="9" t="s">
        <v>790</v>
      </c>
      <c r="D461" s="5"/>
      <c r="E461" s="9" t="s">
        <v>791</v>
      </c>
      <c r="F461" s="5"/>
      <c r="G461" s="5"/>
    </row>
    <row r="462" spans="1:7" ht="14.1" customHeight="1">
      <c r="A462" s="5"/>
      <c r="B462" s="100" t="s">
        <v>792</v>
      </c>
      <c r="C462" s="100"/>
      <c r="D462" s="100"/>
      <c r="E462" s="100"/>
      <c r="F462" s="5"/>
      <c r="G462" s="5"/>
    </row>
    <row r="463" spans="1:7" ht="14.1" customHeight="1">
      <c r="A463" s="5"/>
      <c r="B463" s="5"/>
      <c r="C463" s="9" t="s">
        <v>793</v>
      </c>
      <c r="D463" s="5"/>
      <c r="E463" s="9" t="s">
        <v>794</v>
      </c>
      <c r="F463" s="5"/>
      <c r="G463" s="5"/>
    </row>
    <row r="464" spans="1:7" ht="23.1" customHeight="1">
      <c r="A464" s="5"/>
      <c r="B464" s="5"/>
      <c r="C464" s="9" t="s">
        <v>795</v>
      </c>
      <c r="D464" s="5"/>
      <c r="E464" s="9" t="s">
        <v>796</v>
      </c>
      <c r="F464" s="5"/>
      <c r="G464" s="5"/>
    </row>
    <row r="465" spans="1:7" ht="23.1" customHeight="1">
      <c r="A465" s="5"/>
      <c r="B465" s="5"/>
      <c r="C465" s="9" t="s">
        <v>797</v>
      </c>
      <c r="D465" s="5"/>
      <c r="E465" s="9" t="s">
        <v>798</v>
      </c>
      <c r="F465" s="5"/>
      <c r="G465" s="5"/>
    </row>
    <row r="466" spans="1:7" ht="14.1" customHeight="1">
      <c r="A466" s="5"/>
      <c r="B466" s="5"/>
      <c r="C466" s="9" t="s">
        <v>799</v>
      </c>
      <c r="D466" s="5"/>
      <c r="E466" s="9" t="s">
        <v>800</v>
      </c>
      <c r="F466" s="5"/>
      <c r="G466" s="5"/>
    </row>
    <row r="467" spans="1:7" ht="14.1" customHeight="1">
      <c r="A467" s="5"/>
      <c r="B467" s="5"/>
      <c r="C467" s="9" t="s">
        <v>801</v>
      </c>
      <c r="D467" s="5"/>
      <c r="E467" s="9" t="s">
        <v>802</v>
      </c>
      <c r="F467" s="5"/>
      <c r="G467" s="5"/>
    </row>
    <row r="468" spans="1:7" ht="23.1" customHeight="1">
      <c r="A468" s="5"/>
      <c r="B468" s="5"/>
      <c r="C468" s="9" t="s">
        <v>803</v>
      </c>
      <c r="D468" s="5"/>
      <c r="E468" s="9" t="s">
        <v>804</v>
      </c>
      <c r="F468" s="5"/>
      <c r="G468" s="5"/>
    </row>
    <row r="469" spans="1:7" ht="14.1" customHeight="1">
      <c r="A469" s="5"/>
      <c r="B469" s="5"/>
      <c r="C469" s="9" t="s">
        <v>805</v>
      </c>
      <c r="D469" s="5"/>
      <c r="E469" s="9" t="s">
        <v>806</v>
      </c>
      <c r="F469" s="5"/>
      <c r="G469" s="5"/>
    </row>
    <row r="470" spans="1:7" ht="14.1" customHeight="1" thickBot="1">
      <c r="A470" s="5"/>
      <c r="B470" s="5"/>
      <c r="C470" s="9" t="s">
        <v>807</v>
      </c>
      <c r="D470" s="5"/>
      <c r="E470" s="9" t="s">
        <v>808</v>
      </c>
      <c r="F470" s="5"/>
      <c r="G470" s="5"/>
    </row>
    <row r="471" spans="1:7" ht="0.95" customHeight="1">
      <c r="A471" s="5"/>
      <c r="B471" s="106"/>
      <c r="C471" s="106"/>
      <c r="D471" s="106"/>
      <c r="E471" s="106"/>
      <c r="F471" s="106"/>
      <c r="G471" s="5"/>
    </row>
    <row r="472" spans="1:7" ht="12.95" customHeight="1">
      <c r="A472" s="5"/>
      <c r="B472" s="107" t="s">
        <v>139</v>
      </c>
      <c r="C472" s="107"/>
      <c r="D472" s="107"/>
      <c r="E472" s="107"/>
      <c r="F472" s="107"/>
      <c r="G472" s="5"/>
    </row>
    <row r="473" spans="1:7" ht="12.95" customHeight="1">
      <c r="A473" s="5"/>
      <c r="B473" s="107"/>
      <c r="C473" s="107"/>
      <c r="D473" s="107"/>
      <c r="E473" s="107"/>
      <c r="F473" s="107"/>
      <c r="G473" s="5"/>
    </row>
    <row r="474" spans="1:7" ht="12.95" customHeight="1">
      <c r="A474" s="5"/>
      <c r="B474" s="108" t="s">
        <v>140</v>
      </c>
      <c r="C474" s="108"/>
      <c r="D474" s="108"/>
      <c r="E474" s="108"/>
      <c r="F474" s="108"/>
      <c r="G474" s="5"/>
    </row>
    <row r="475" spans="1:7" ht="12.95" customHeight="1">
      <c r="A475" s="5"/>
      <c r="B475" s="105" t="s">
        <v>809</v>
      </c>
      <c r="C475" s="105"/>
      <c r="D475" s="105"/>
      <c r="E475" s="105"/>
      <c r="F475" s="105"/>
      <c r="G475" s="5"/>
    </row>
    <row r="476" spans="1:7" ht="17.100000000000001" customHeight="1">
      <c r="A476" s="5"/>
      <c r="B476" s="101" t="s">
        <v>64</v>
      </c>
      <c r="C476" s="101"/>
      <c r="D476" s="101"/>
      <c r="E476" s="101"/>
      <c r="F476" s="101"/>
      <c r="G476" s="5"/>
    </row>
    <row r="477" spans="1:7" ht="23.1" customHeight="1">
      <c r="A477" s="5"/>
      <c r="B477" s="102" t="s">
        <v>65</v>
      </c>
      <c r="C477" s="102"/>
      <c r="D477" s="102"/>
      <c r="E477" s="102"/>
      <c r="F477" s="102"/>
      <c r="G477" s="5"/>
    </row>
    <row r="478" spans="1:7" ht="15.95" customHeight="1">
      <c r="A478" s="5"/>
      <c r="B478" s="103" t="s">
        <v>66</v>
      </c>
      <c r="C478" s="103"/>
      <c r="D478" s="103"/>
      <c r="E478" s="103"/>
      <c r="F478" s="103"/>
      <c r="G478" s="5"/>
    </row>
    <row r="479" spans="1:7" ht="12" customHeight="1">
      <c r="A479" s="5"/>
      <c r="B479" s="104" t="s">
        <v>67</v>
      </c>
      <c r="C479" s="104"/>
      <c r="D479" s="104"/>
      <c r="E479" s="104"/>
      <c r="F479" s="104"/>
      <c r="G479" s="5"/>
    </row>
    <row r="480" spans="1:7" ht="33.950000000000003" customHeight="1">
      <c r="A480" s="5"/>
      <c r="B480" s="5"/>
      <c r="C480" s="6" t="s">
        <v>68</v>
      </c>
      <c r="D480" s="5"/>
      <c r="E480" s="6" t="s">
        <v>0</v>
      </c>
      <c r="F480" s="5"/>
      <c r="G480" s="5"/>
    </row>
    <row r="481" spans="1:7" ht="14.1" customHeight="1">
      <c r="A481" s="5"/>
      <c r="B481" s="5"/>
      <c r="C481" s="9" t="s">
        <v>810</v>
      </c>
      <c r="D481" s="5"/>
      <c r="E481" s="9" t="s">
        <v>811</v>
      </c>
      <c r="F481" s="5"/>
      <c r="G481" s="5"/>
    </row>
    <row r="482" spans="1:7" ht="14.1" customHeight="1">
      <c r="A482" s="5"/>
      <c r="B482" s="5"/>
      <c r="C482" s="9" t="s">
        <v>812</v>
      </c>
      <c r="D482" s="5"/>
      <c r="E482" s="9" t="s">
        <v>813</v>
      </c>
      <c r="F482" s="5"/>
      <c r="G482" s="5"/>
    </row>
    <row r="483" spans="1:7" ht="14.1" customHeight="1">
      <c r="A483" s="5"/>
      <c r="B483" s="100" t="s">
        <v>814</v>
      </c>
      <c r="C483" s="100"/>
      <c r="D483" s="100"/>
      <c r="E483" s="100"/>
      <c r="F483" s="5"/>
      <c r="G483" s="5"/>
    </row>
    <row r="484" spans="1:7" ht="14.1" customHeight="1">
      <c r="A484" s="5"/>
      <c r="B484" s="5"/>
      <c r="C484" s="9" t="s">
        <v>815</v>
      </c>
      <c r="D484" s="5"/>
      <c r="E484" s="9" t="s">
        <v>816</v>
      </c>
      <c r="F484" s="5"/>
      <c r="G484" s="5"/>
    </row>
    <row r="485" spans="1:7" ht="14.1" customHeight="1">
      <c r="A485" s="5"/>
      <c r="B485" s="5"/>
      <c r="C485" s="9" t="s">
        <v>817</v>
      </c>
      <c r="D485" s="5"/>
      <c r="E485" s="9" t="s">
        <v>818</v>
      </c>
      <c r="F485" s="5"/>
      <c r="G485" s="5"/>
    </row>
    <row r="486" spans="1:7" ht="14.1" customHeight="1">
      <c r="A486" s="5"/>
      <c r="B486" s="5"/>
      <c r="C486" s="9" t="s">
        <v>819</v>
      </c>
      <c r="D486" s="5"/>
      <c r="E486" s="9" t="s">
        <v>820</v>
      </c>
      <c r="F486" s="5"/>
      <c r="G486" s="5"/>
    </row>
    <row r="487" spans="1:7" ht="23.1" customHeight="1">
      <c r="A487" s="5"/>
      <c r="B487" s="5"/>
      <c r="C487" s="9" t="s">
        <v>821</v>
      </c>
      <c r="D487" s="5"/>
      <c r="E487" s="9" t="s">
        <v>822</v>
      </c>
      <c r="F487" s="5"/>
      <c r="G487" s="5"/>
    </row>
    <row r="488" spans="1:7" ht="14.1" customHeight="1">
      <c r="A488" s="5"/>
      <c r="B488" s="5"/>
      <c r="C488" s="9" t="s">
        <v>823</v>
      </c>
      <c r="D488" s="5"/>
      <c r="E488" s="9" t="s">
        <v>824</v>
      </c>
      <c r="F488" s="5"/>
      <c r="G488" s="5"/>
    </row>
    <row r="489" spans="1:7" ht="14.1" customHeight="1">
      <c r="A489" s="5"/>
      <c r="B489" s="5"/>
      <c r="C489" s="9" t="s">
        <v>825</v>
      </c>
      <c r="D489" s="5"/>
      <c r="E489" s="9" t="s">
        <v>826</v>
      </c>
      <c r="F489" s="5"/>
      <c r="G489" s="5"/>
    </row>
    <row r="490" spans="1:7" ht="14.1" customHeight="1">
      <c r="A490" s="5"/>
      <c r="B490" s="5"/>
      <c r="C490" s="9" t="s">
        <v>827</v>
      </c>
      <c r="D490" s="5"/>
      <c r="E490" s="9" t="s">
        <v>828</v>
      </c>
      <c r="F490" s="5"/>
      <c r="G490" s="5"/>
    </row>
    <row r="491" spans="1:7" ht="14.1" customHeight="1">
      <c r="A491" s="5"/>
      <c r="B491" s="100" t="s">
        <v>829</v>
      </c>
      <c r="C491" s="100"/>
      <c r="D491" s="100"/>
      <c r="E491" s="100"/>
      <c r="F491" s="5"/>
      <c r="G491" s="5"/>
    </row>
    <row r="492" spans="1:7" ht="14.1" customHeight="1">
      <c r="A492" s="5"/>
      <c r="B492" s="5"/>
      <c r="C492" s="9" t="s">
        <v>830</v>
      </c>
      <c r="D492" s="5"/>
      <c r="E492" s="9" t="s">
        <v>831</v>
      </c>
      <c r="F492" s="5"/>
      <c r="G492" s="5"/>
    </row>
    <row r="493" spans="1:7" ht="14.1" customHeight="1">
      <c r="A493" s="5"/>
      <c r="B493" s="5"/>
      <c r="C493" s="9" t="s">
        <v>832</v>
      </c>
      <c r="D493" s="5"/>
      <c r="E493" s="9" t="s">
        <v>833</v>
      </c>
      <c r="F493" s="5"/>
      <c r="G493" s="5"/>
    </row>
    <row r="494" spans="1:7" ht="14.1" customHeight="1">
      <c r="A494" s="5"/>
      <c r="B494" s="5"/>
      <c r="C494" s="9" t="s">
        <v>834</v>
      </c>
      <c r="D494" s="5"/>
      <c r="E494" s="9" t="s">
        <v>835</v>
      </c>
      <c r="F494" s="5"/>
      <c r="G494" s="5"/>
    </row>
    <row r="495" spans="1:7" ht="14.1" customHeight="1">
      <c r="A495" s="5"/>
      <c r="B495" s="5"/>
      <c r="C495" s="9" t="s">
        <v>836</v>
      </c>
      <c r="D495" s="5"/>
      <c r="E495" s="9" t="s">
        <v>837</v>
      </c>
      <c r="F495" s="5"/>
      <c r="G495" s="5"/>
    </row>
    <row r="496" spans="1:7" ht="14.1" customHeight="1">
      <c r="A496" s="5"/>
      <c r="B496" s="5"/>
      <c r="C496" s="9" t="s">
        <v>838</v>
      </c>
      <c r="D496" s="5"/>
      <c r="E496" s="9" t="s">
        <v>839</v>
      </c>
      <c r="F496" s="5"/>
      <c r="G496" s="5"/>
    </row>
    <row r="497" spans="1:7" ht="14.1" customHeight="1">
      <c r="A497" s="5"/>
      <c r="B497" s="5"/>
      <c r="C497" s="9" t="s">
        <v>840</v>
      </c>
      <c r="D497" s="5"/>
      <c r="E497" s="9" t="s">
        <v>841</v>
      </c>
      <c r="F497" s="5"/>
      <c r="G497" s="5"/>
    </row>
    <row r="498" spans="1:7" ht="14.1" customHeight="1">
      <c r="A498" s="5"/>
      <c r="B498" s="5"/>
      <c r="C498" s="9" t="s">
        <v>842</v>
      </c>
      <c r="D498" s="5"/>
      <c r="E498" s="9" t="s">
        <v>843</v>
      </c>
      <c r="F498" s="5"/>
      <c r="G498" s="5"/>
    </row>
    <row r="499" spans="1:7" ht="14.1" customHeight="1">
      <c r="A499" s="5"/>
      <c r="B499" s="100" t="s">
        <v>844</v>
      </c>
      <c r="C499" s="100"/>
      <c r="D499" s="100"/>
      <c r="E499" s="100"/>
      <c r="F499" s="5"/>
      <c r="G499" s="5"/>
    </row>
    <row r="500" spans="1:7" ht="14.1" customHeight="1">
      <c r="A500" s="5"/>
      <c r="B500" s="5"/>
      <c r="C500" s="9" t="s">
        <v>845</v>
      </c>
      <c r="D500" s="5"/>
      <c r="E500" s="9" t="s">
        <v>846</v>
      </c>
      <c r="F500" s="5"/>
      <c r="G500" s="5"/>
    </row>
    <row r="501" spans="1:7" ht="14.1" customHeight="1">
      <c r="A501" s="5"/>
      <c r="B501" s="5"/>
      <c r="C501" s="9" t="s">
        <v>847</v>
      </c>
      <c r="D501" s="5"/>
      <c r="E501" s="9" t="s">
        <v>848</v>
      </c>
      <c r="F501" s="5"/>
      <c r="G501" s="5"/>
    </row>
    <row r="502" spans="1:7" ht="14.1" customHeight="1">
      <c r="A502" s="5"/>
      <c r="B502" s="5"/>
      <c r="C502" s="9" t="s">
        <v>849</v>
      </c>
      <c r="D502" s="5"/>
      <c r="E502" s="9" t="s">
        <v>850</v>
      </c>
      <c r="F502" s="5"/>
      <c r="G502" s="5"/>
    </row>
    <row r="503" spans="1:7" ht="14.1" customHeight="1">
      <c r="A503" s="5"/>
      <c r="B503" s="5"/>
      <c r="C503" s="9" t="s">
        <v>851</v>
      </c>
      <c r="D503" s="5"/>
      <c r="E503" s="9" t="s">
        <v>852</v>
      </c>
      <c r="F503" s="5"/>
      <c r="G503" s="5"/>
    </row>
    <row r="504" spans="1:7" ht="23.1" customHeight="1">
      <c r="A504" s="5"/>
      <c r="B504" s="5"/>
      <c r="C504" s="9" t="s">
        <v>853</v>
      </c>
      <c r="D504" s="5"/>
      <c r="E504" s="9" t="s">
        <v>854</v>
      </c>
      <c r="F504" s="5"/>
      <c r="G504" s="5"/>
    </row>
    <row r="505" spans="1:7" ht="14.1" customHeight="1">
      <c r="A505" s="5"/>
      <c r="B505" s="5"/>
      <c r="C505" s="9" t="s">
        <v>855</v>
      </c>
      <c r="D505" s="5"/>
      <c r="E505" s="9" t="s">
        <v>856</v>
      </c>
      <c r="F505" s="5"/>
      <c r="G505" s="5"/>
    </row>
    <row r="506" spans="1:7" ht="23.1" customHeight="1">
      <c r="A506" s="5"/>
      <c r="B506" s="5"/>
      <c r="C506" s="9" t="s">
        <v>857</v>
      </c>
      <c r="D506" s="5"/>
      <c r="E506" s="9" t="s">
        <v>858</v>
      </c>
      <c r="F506" s="5"/>
      <c r="G506" s="5"/>
    </row>
    <row r="507" spans="1:7" ht="14.1" customHeight="1">
      <c r="A507" s="5"/>
      <c r="B507" s="5"/>
      <c r="C507" s="9" t="s">
        <v>859</v>
      </c>
      <c r="D507" s="5"/>
      <c r="E507" s="9" t="s">
        <v>860</v>
      </c>
      <c r="F507" s="5"/>
      <c r="G507" s="5"/>
    </row>
    <row r="508" spans="1:7" ht="14.1" customHeight="1">
      <c r="A508" s="5"/>
      <c r="B508" s="5"/>
      <c r="C508" s="9" t="s">
        <v>861</v>
      </c>
      <c r="D508" s="5"/>
      <c r="E508" s="9" t="s">
        <v>862</v>
      </c>
      <c r="F508" s="5"/>
      <c r="G508" s="5"/>
    </row>
    <row r="509" spans="1:7" ht="23.1" customHeight="1">
      <c r="A509" s="5"/>
      <c r="B509" s="5"/>
      <c r="C509" s="9" t="s">
        <v>863</v>
      </c>
      <c r="D509" s="5"/>
      <c r="E509" s="9" t="s">
        <v>864</v>
      </c>
      <c r="F509" s="5"/>
      <c r="G509" s="5"/>
    </row>
    <row r="510" spans="1:7" ht="14.1" customHeight="1">
      <c r="A510" s="5"/>
      <c r="B510" s="5"/>
      <c r="C510" s="9" t="s">
        <v>865</v>
      </c>
      <c r="D510" s="5"/>
      <c r="E510" s="9" t="s">
        <v>866</v>
      </c>
      <c r="F510" s="5"/>
      <c r="G510" s="5"/>
    </row>
    <row r="511" spans="1:7" ht="14.1" customHeight="1">
      <c r="A511" s="5"/>
      <c r="B511" s="5"/>
      <c r="C511" s="9" t="s">
        <v>867</v>
      </c>
      <c r="D511" s="5"/>
      <c r="E511" s="9" t="s">
        <v>868</v>
      </c>
      <c r="F511" s="5"/>
      <c r="G511" s="5"/>
    </row>
    <row r="512" spans="1:7" ht="14.1" customHeight="1">
      <c r="A512" s="5"/>
      <c r="B512" s="5"/>
      <c r="C512" s="9" t="s">
        <v>869</v>
      </c>
      <c r="D512" s="5"/>
      <c r="E512" s="9" t="s">
        <v>870</v>
      </c>
      <c r="F512" s="5"/>
      <c r="G512" s="5"/>
    </row>
    <row r="513" spans="1:7" ht="14.1" customHeight="1">
      <c r="A513" s="5"/>
      <c r="B513" s="5"/>
      <c r="C513" s="9" t="s">
        <v>871</v>
      </c>
      <c r="D513" s="5"/>
      <c r="E513" s="9" t="s">
        <v>872</v>
      </c>
      <c r="F513" s="5"/>
      <c r="G513" s="5"/>
    </row>
    <row r="514" spans="1:7" ht="14.1" customHeight="1">
      <c r="A514" s="5"/>
      <c r="B514" s="5"/>
      <c r="C514" s="9" t="s">
        <v>873</v>
      </c>
      <c r="D514" s="5"/>
      <c r="E514" s="9" t="s">
        <v>874</v>
      </c>
      <c r="F514" s="5"/>
      <c r="G514" s="5"/>
    </row>
    <row r="515" spans="1:7" ht="14.1" customHeight="1">
      <c r="A515" s="5"/>
      <c r="B515" s="5"/>
      <c r="C515" s="9" t="s">
        <v>875</v>
      </c>
      <c r="D515" s="5"/>
      <c r="E515" s="9" t="s">
        <v>876</v>
      </c>
      <c r="F515" s="5"/>
      <c r="G515" s="5"/>
    </row>
    <row r="516" spans="1:7" ht="14.1" customHeight="1">
      <c r="A516" s="5"/>
      <c r="B516" s="5"/>
      <c r="C516" s="9" t="s">
        <v>877</v>
      </c>
      <c r="D516" s="5"/>
      <c r="E516" s="9" t="s">
        <v>878</v>
      </c>
      <c r="F516" s="5"/>
      <c r="G516" s="5"/>
    </row>
    <row r="517" spans="1:7" ht="14.1" customHeight="1">
      <c r="A517" s="5"/>
      <c r="B517" s="5"/>
      <c r="C517" s="9" t="s">
        <v>879</v>
      </c>
      <c r="D517" s="5"/>
      <c r="E517" s="9" t="s">
        <v>880</v>
      </c>
      <c r="F517" s="5"/>
      <c r="G517" s="5"/>
    </row>
    <row r="518" spans="1:7" ht="23.1" customHeight="1">
      <c r="A518" s="5"/>
      <c r="B518" s="5"/>
      <c r="C518" s="9" t="s">
        <v>881</v>
      </c>
      <c r="D518" s="5"/>
      <c r="E518" s="9" t="s">
        <v>882</v>
      </c>
      <c r="F518" s="5"/>
      <c r="G518" s="5"/>
    </row>
    <row r="519" spans="1:7" ht="14.1" customHeight="1" thickBot="1">
      <c r="A519" s="5"/>
      <c r="B519" s="5"/>
      <c r="C519" s="9" t="s">
        <v>883</v>
      </c>
      <c r="D519" s="5"/>
      <c r="E519" s="9" t="s">
        <v>884</v>
      </c>
      <c r="F519" s="5"/>
      <c r="G519" s="5"/>
    </row>
    <row r="520" spans="1:7" ht="0.95" customHeight="1">
      <c r="A520" s="5"/>
      <c r="B520" s="106"/>
      <c r="C520" s="106"/>
      <c r="D520" s="106"/>
      <c r="E520" s="106"/>
      <c r="F520" s="106"/>
      <c r="G520" s="5"/>
    </row>
    <row r="521" spans="1:7" ht="12.95" customHeight="1">
      <c r="A521" s="5"/>
      <c r="B521" s="107" t="s">
        <v>139</v>
      </c>
      <c r="C521" s="107"/>
      <c r="D521" s="107"/>
      <c r="E521" s="107"/>
      <c r="F521" s="107"/>
      <c r="G521" s="5"/>
    </row>
    <row r="522" spans="1:7" ht="12.95" customHeight="1">
      <c r="A522" s="5"/>
      <c r="B522" s="107"/>
      <c r="C522" s="107"/>
      <c r="D522" s="107"/>
      <c r="E522" s="107"/>
      <c r="F522" s="107"/>
      <c r="G522" s="5"/>
    </row>
    <row r="523" spans="1:7" ht="12.95" customHeight="1">
      <c r="A523" s="5"/>
      <c r="B523" s="108" t="s">
        <v>140</v>
      </c>
      <c r="C523" s="108"/>
      <c r="D523" s="108"/>
      <c r="E523" s="108"/>
      <c r="F523" s="108"/>
      <c r="G523" s="5"/>
    </row>
    <row r="524" spans="1:7" ht="12.95" customHeight="1">
      <c r="A524" s="5"/>
      <c r="B524" s="105" t="s">
        <v>885</v>
      </c>
      <c r="C524" s="105"/>
      <c r="D524" s="105"/>
      <c r="E524" s="105"/>
      <c r="F524" s="105"/>
      <c r="G524" s="5"/>
    </row>
    <row r="525" spans="1:7" ht="17.100000000000001" customHeight="1">
      <c r="A525" s="5"/>
      <c r="B525" s="101" t="s">
        <v>64</v>
      </c>
      <c r="C525" s="101"/>
      <c r="D525" s="101"/>
      <c r="E525" s="101"/>
      <c r="F525" s="101"/>
      <c r="G525" s="5"/>
    </row>
    <row r="526" spans="1:7" ht="23.1" customHeight="1">
      <c r="A526" s="5"/>
      <c r="B526" s="102" t="s">
        <v>65</v>
      </c>
      <c r="C526" s="102"/>
      <c r="D526" s="102"/>
      <c r="E526" s="102"/>
      <c r="F526" s="102"/>
      <c r="G526" s="5"/>
    </row>
    <row r="527" spans="1:7" ht="15.95" customHeight="1">
      <c r="A527" s="5"/>
      <c r="B527" s="103" t="s">
        <v>66</v>
      </c>
      <c r="C527" s="103"/>
      <c r="D527" s="103"/>
      <c r="E527" s="103"/>
      <c r="F527" s="103"/>
      <c r="G527" s="5"/>
    </row>
    <row r="528" spans="1:7" ht="12" customHeight="1">
      <c r="A528" s="5"/>
      <c r="B528" s="104" t="s">
        <v>67</v>
      </c>
      <c r="C528" s="104"/>
      <c r="D528" s="104"/>
      <c r="E528" s="104"/>
      <c r="F528" s="104"/>
      <c r="G528" s="5"/>
    </row>
    <row r="529" spans="1:7" ht="33.950000000000003" customHeight="1">
      <c r="A529" s="5"/>
      <c r="B529" s="5"/>
      <c r="C529" s="6" t="s">
        <v>68</v>
      </c>
      <c r="D529" s="5"/>
      <c r="E529" s="6" t="s">
        <v>0</v>
      </c>
      <c r="F529" s="5"/>
      <c r="G529" s="5"/>
    </row>
    <row r="530" spans="1:7" ht="23.1" customHeight="1">
      <c r="A530" s="5"/>
      <c r="B530" s="5"/>
      <c r="C530" s="9" t="s">
        <v>886</v>
      </c>
      <c r="D530" s="5"/>
      <c r="E530" s="9" t="s">
        <v>887</v>
      </c>
      <c r="F530" s="5"/>
      <c r="G530" s="5"/>
    </row>
    <row r="531" spans="1:7" ht="14.1" customHeight="1">
      <c r="A531" s="5"/>
      <c r="B531" s="5"/>
      <c r="C531" s="9" t="s">
        <v>888</v>
      </c>
      <c r="D531" s="5"/>
      <c r="E531" s="9" t="s">
        <v>889</v>
      </c>
      <c r="F531" s="5"/>
      <c r="G531" s="5"/>
    </row>
    <row r="532" spans="1:7" ht="14.1" customHeight="1">
      <c r="A532" s="5"/>
      <c r="B532" s="5"/>
      <c r="C532" s="9" t="s">
        <v>890</v>
      </c>
      <c r="D532" s="5"/>
      <c r="E532" s="9" t="s">
        <v>891</v>
      </c>
      <c r="F532" s="5"/>
      <c r="G532" s="5"/>
    </row>
    <row r="533" spans="1:7" ht="14.1" customHeight="1">
      <c r="A533" s="5"/>
      <c r="B533" s="5"/>
      <c r="C533" s="9" t="s">
        <v>892</v>
      </c>
      <c r="D533" s="5"/>
      <c r="E533" s="9" t="s">
        <v>893</v>
      </c>
      <c r="F533" s="5"/>
      <c r="G533" s="5"/>
    </row>
    <row r="534" spans="1:7" ht="23.1" customHeight="1">
      <c r="A534" s="5"/>
      <c r="B534" s="5"/>
      <c r="C534" s="9" t="s">
        <v>894</v>
      </c>
      <c r="D534" s="5"/>
      <c r="E534" s="9" t="s">
        <v>895</v>
      </c>
      <c r="F534" s="5"/>
      <c r="G534" s="5"/>
    </row>
    <row r="535" spans="1:7" ht="14.1" customHeight="1">
      <c r="A535" s="5"/>
      <c r="B535" s="5"/>
      <c r="C535" s="9" t="s">
        <v>896</v>
      </c>
      <c r="D535" s="5"/>
      <c r="E535" s="9" t="s">
        <v>897</v>
      </c>
      <c r="F535" s="5"/>
      <c r="G535" s="5"/>
    </row>
    <row r="536" spans="1:7" ht="23.1" customHeight="1">
      <c r="A536" s="5"/>
      <c r="B536" s="5"/>
      <c r="C536" s="9" t="s">
        <v>898</v>
      </c>
      <c r="D536" s="5"/>
      <c r="E536" s="9" t="s">
        <v>899</v>
      </c>
      <c r="F536" s="5"/>
      <c r="G536" s="5"/>
    </row>
    <row r="537" spans="1:7" ht="14.1" customHeight="1">
      <c r="A537" s="5"/>
      <c r="B537" s="5"/>
      <c r="C537" s="9" t="s">
        <v>900</v>
      </c>
      <c r="D537" s="5"/>
      <c r="E537" s="9" t="s">
        <v>901</v>
      </c>
      <c r="F537" s="5"/>
      <c r="G537" s="5"/>
    </row>
    <row r="538" spans="1:7" ht="14.1" customHeight="1">
      <c r="A538" s="5"/>
      <c r="B538" s="5"/>
      <c r="C538" s="9" t="s">
        <v>902</v>
      </c>
      <c r="D538" s="5"/>
      <c r="E538" s="9" t="s">
        <v>903</v>
      </c>
      <c r="F538" s="5"/>
      <c r="G538" s="5"/>
    </row>
    <row r="539" spans="1:7" ht="14.1" customHeight="1">
      <c r="A539" s="5"/>
      <c r="B539" s="5"/>
      <c r="C539" s="9" t="s">
        <v>904</v>
      </c>
      <c r="D539" s="5"/>
      <c r="E539" s="9" t="s">
        <v>905</v>
      </c>
      <c r="F539" s="5"/>
      <c r="G539" s="5"/>
    </row>
    <row r="540" spans="1:7" ht="14.1" customHeight="1">
      <c r="A540" s="5"/>
      <c r="B540" s="100" t="s">
        <v>906</v>
      </c>
      <c r="C540" s="100"/>
      <c r="D540" s="100"/>
      <c r="E540" s="100"/>
      <c r="F540" s="5"/>
      <c r="G540" s="5"/>
    </row>
    <row r="541" spans="1:7" ht="14.1" customHeight="1">
      <c r="A541" s="5"/>
      <c r="B541" s="5"/>
      <c r="C541" s="9" t="s">
        <v>907</v>
      </c>
      <c r="D541" s="5"/>
      <c r="E541" s="9" t="s">
        <v>908</v>
      </c>
      <c r="F541" s="5"/>
      <c r="G541" s="5"/>
    </row>
    <row r="542" spans="1:7" ht="23.1" customHeight="1">
      <c r="A542" s="5"/>
      <c r="B542" s="5"/>
      <c r="C542" s="9" t="s">
        <v>909</v>
      </c>
      <c r="D542" s="5"/>
      <c r="E542" s="9" t="s">
        <v>910</v>
      </c>
      <c r="F542" s="5"/>
      <c r="G542" s="5"/>
    </row>
    <row r="543" spans="1:7" ht="23.1" customHeight="1">
      <c r="A543" s="5"/>
      <c r="B543" s="5"/>
      <c r="C543" s="9" t="s">
        <v>911</v>
      </c>
      <c r="D543" s="5"/>
      <c r="E543" s="9" t="s">
        <v>912</v>
      </c>
      <c r="F543" s="5"/>
      <c r="G543" s="5"/>
    </row>
    <row r="544" spans="1:7" ht="14.1" customHeight="1">
      <c r="A544" s="5"/>
      <c r="B544" s="5"/>
      <c r="C544" s="9" t="s">
        <v>913</v>
      </c>
      <c r="D544" s="5"/>
      <c r="E544" s="9" t="s">
        <v>914</v>
      </c>
      <c r="F544" s="5"/>
      <c r="G544" s="5"/>
    </row>
    <row r="545" spans="1:7" ht="14.1" customHeight="1">
      <c r="A545" s="5"/>
      <c r="B545" s="5"/>
      <c r="C545" s="9" t="s">
        <v>915</v>
      </c>
      <c r="D545" s="5"/>
      <c r="E545" s="9" t="s">
        <v>916</v>
      </c>
      <c r="F545" s="5"/>
      <c r="G545" s="5"/>
    </row>
    <row r="546" spans="1:7" ht="14.1" customHeight="1">
      <c r="A546" s="5"/>
      <c r="B546" s="5"/>
      <c r="C546" s="9" t="s">
        <v>917</v>
      </c>
      <c r="D546" s="5"/>
      <c r="E546" s="9" t="s">
        <v>918</v>
      </c>
      <c r="F546" s="5"/>
      <c r="G546" s="5"/>
    </row>
    <row r="547" spans="1:7" ht="14.1" customHeight="1">
      <c r="A547" s="5"/>
      <c r="B547" s="5"/>
      <c r="C547" s="9" t="s">
        <v>919</v>
      </c>
      <c r="D547" s="5"/>
      <c r="E547" s="9" t="s">
        <v>920</v>
      </c>
      <c r="F547" s="5"/>
      <c r="G547" s="5"/>
    </row>
    <row r="548" spans="1:7" ht="14.1" customHeight="1">
      <c r="A548" s="5"/>
      <c r="B548" s="5"/>
      <c r="C548" s="9" t="s">
        <v>921</v>
      </c>
      <c r="D548" s="5"/>
      <c r="E548" s="9" t="s">
        <v>922</v>
      </c>
      <c r="F548" s="5"/>
      <c r="G548" s="5"/>
    </row>
    <row r="549" spans="1:7" ht="23.1" customHeight="1">
      <c r="A549" s="5"/>
      <c r="B549" s="5"/>
      <c r="C549" s="9" t="s">
        <v>923</v>
      </c>
      <c r="D549" s="5"/>
      <c r="E549" s="9" t="s">
        <v>924</v>
      </c>
      <c r="F549" s="5"/>
      <c r="G549" s="5"/>
    </row>
    <row r="550" spans="1:7" ht="14.1" customHeight="1">
      <c r="A550" s="5"/>
      <c r="B550" s="5"/>
      <c r="C550" s="9" t="s">
        <v>925</v>
      </c>
      <c r="D550" s="5"/>
      <c r="E550" s="9" t="s">
        <v>926</v>
      </c>
      <c r="F550" s="5"/>
      <c r="G550" s="5"/>
    </row>
    <row r="551" spans="1:7" ht="14.1" customHeight="1">
      <c r="A551" s="5"/>
      <c r="B551" s="5"/>
      <c r="C551" s="9" t="s">
        <v>927</v>
      </c>
      <c r="D551" s="5"/>
      <c r="E551" s="9" t="s">
        <v>928</v>
      </c>
      <c r="F551" s="5"/>
      <c r="G551" s="5"/>
    </row>
    <row r="552" spans="1:7" ht="14.1" customHeight="1">
      <c r="A552" s="5"/>
      <c r="B552" s="5"/>
      <c r="C552" s="9" t="s">
        <v>929</v>
      </c>
      <c r="D552" s="5"/>
      <c r="E552" s="9" t="s">
        <v>930</v>
      </c>
      <c r="F552" s="5"/>
      <c r="G552" s="5"/>
    </row>
    <row r="553" spans="1:7" ht="14.1" customHeight="1">
      <c r="A553" s="5"/>
      <c r="B553" s="5"/>
      <c r="C553" s="9" t="s">
        <v>931</v>
      </c>
      <c r="D553" s="5"/>
      <c r="E553" s="9" t="s">
        <v>932</v>
      </c>
      <c r="F553" s="5"/>
      <c r="G553" s="5"/>
    </row>
    <row r="554" spans="1:7" ht="14.1" customHeight="1">
      <c r="A554" s="5"/>
      <c r="B554" s="5"/>
      <c r="C554" s="9" t="s">
        <v>933</v>
      </c>
      <c r="D554" s="5"/>
      <c r="E554" s="9" t="s">
        <v>934</v>
      </c>
      <c r="F554" s="5"/>
      <c r="G554" s="5"/>
    </row>
    <row r="555" spans="1:7" ht="14.1" customHeight="1">
      <c r="A555" s="5"/>
      <c r="B555" s="5"/>
      <c r="C555" s="9" t="s">
        <v>935</v>
      </c>
      <c r="D555" s="5"/>
      <c r="E555" s="9" t="s">
        <v>936</v>
      </c>
      <c r="F555" s="5"/>
      <c r="G555" s="5"/>
    </row>
    <row r="556" spans="1:7" ht="14.1" customHeight="1">
      <c r="A556" s="5"/>
      <c r="B556" s="5"/>
      <c r="C556" s="9" t="s">
        <v>937</v>
      </c>
      <c r="D556" s="5"/>
      <c r="E556" s="9" t="s">
        <v>938</v>
      </c>
      <c r="F556" s="5"/>
      <c r="G556" s="5"/>
    </row>
    <row r="557" spans="1:7" ht="14.1" customHeight="1">
      <c r="A557" s="5"/>
      <c r="B557" s="5"/>
      <c r="C557" s="9" t="s">
        <v>939</v>
      </c>
      <c r="D557" s="5"/>
      <c r="E557" s="9" t="s">
        <v>940</v>
      </c>
      <c r="F557" s="5"/>
      <c r="G557" s="5"/>
    </row>
    <row r="558" spans="1:7" ht="23.1" customHeight="1">
      <c r="A558" s="5"/>
      <c r="B558" s="5"/>
      <c r="C558" s="9" t="s">
        <v>941</v>
      </c>
      <c r="D558" s="5"/>
      <c r="E558" s="9" t="s">
        <v>942</v>
      </c>
      <c r="F558" s="5"/>
      <c r="G558" s="5"/>
    </row>
    <row r="559" spans="1:7" ht="14.1" customHeight="1">
      <c r="A559" s="5"/>
      <c r="B559" s="5"/>
      <c r="C559" s="9" t="s">
        <v>943</v>
      </c>
      <c r="D559" s="5"/>
      <c r="E559" s="9" t="s">
        <v>944</v>
      </c>
      <c r="F559" s="5"/>
      <c r="G559" s="5"/>
    </row>
    <row r="560" spans="1:7" ht="23.1" customHeight="1">
      <c r="A560" s="5"/>
      <c r="B560" s="5"/>
      <c r="C560" s="9" t="s">
        <v>945</v>
      </c>
      <c r="D560" s="5"/>
      <c r="E560" s="9" t="s">
        <v>946</v>
      </c>
      <c r="F560" s="5"/>
      <c r="G560" s="5"/>
    </row>
    <row r="561" spans="1:7" ht="23.1" customHeight="1">
      <c r="A561" s="5"/>
      <c r="B561" s="5"/>
      <c r="C561" s="9" t="s">
        <v>947</v>
      </c>
      <c r="D561" s="5"/>
      <c r="E561" s="9" t="s">
        <v>948</v>
      </c>
      <c r="F561" s="5"/>
      <c r="G561" s="5"/>
    </row>
    <row r="562" spans="1:7" ht="23.1" customHeight="1">
      <c r="A562" s="5"/>
      <c r="B562" s="5"/>
      <c r="C562" s="9" t="s">
        <v>949</v>
      </c>
      <c r="D562" s="5"/>
      <c r="E562" s="9" t="s">
        <v>950</v>
      </c>
      <c r="F562" s="5"/>
      <c r="G562" s="5"/>
    </row>
    <row r="563" spans="1:7" ht="14.1" customHeight="1">
      <c r="A563" s="5"/>
      <c r="B563" s="5"/>
      <c r="C563" s="9" t="s">
        <v>951</v>
      </c>
      <c r="D563" s="5"/>
      <c r="E563" s="9" t="s">
        <v>952</v>
      </c>
      <c r="F563" s="5"/>
      <c r="G563" s="5"/>
    </row>
    <row r="564" spans="1:7" ht="23.1" customHeight="1" thickBot="1">
      <c r="A564" s="5"/>
      <c r="B564" s="5"/>
      <c r="C564" s="9" t="s">
        <v>953</v>
      </c>
      <c r="D564" s="5"/>
      <c r="E564" s="9" t="s">
        <v>954</v>
      </c>
      <c r="F564" s="5"/>
      <c r="G564" s="5"/>
    </row>
    <row r="565" spans="1:7">
      <c r="A565" s="5"/>
      <c r="B565" s="106"/>
      <c r="C565" s="106"/>
      <c r="D565" s="106"/>
      <c r="E565" s="106"/>
      <c r="F565" s="106"/>
      <c r="G565" s="5"/>
    </row>
    <row r="566" spans="1:7" ht="12.95" customHeight="1">
      <c r="A566" s="5"/>
      <c r="B566" s="107" t="s">
        <v>139</v>
      </c>
      <c r="C566" s="107"/>
      <c r="D566" s="107"/>
      <c r="E566" s="107"/>
      <c r="F566" s="107"/>
      <c r="G566" s="5"/>
    </row>
    <row r="567" spans="1:7" ht="12.95" customHeight="1">
      <c r="A567" s="5"/>
      <c r="B567" s="107"/>
      <c r="C567" s="107"/>
      <c r="D567" s="107"/>
      <c r="E567" s="107"/>
      <c r="F567" s="107"/>
      <c r="G567" s="5"/>
    </row>
    <row r="568" spans="1:7" ht="12.95" customHeight="1">
      <c r="A568" s="5"/>
      <c r="B568" s="108" t="s">
        <v>140</v>
      </c>
      <c r="C568" s="108"/>
      <c r="D568" s="108"/>
      <c r="E568" s="108"/>
      <c r="F568" s="108"/>
      <c r="G568" s="5"/>
    </row>
    <row r="569" spans="1:7" ht="12.95" customHeight="1">
      <c r="A569" s="5"/>
      <c r="B569" s="105" t="s">
        <v>955</v>
      </c>
      <c r="C569" s="105"/>
      <c r="D569" s="105"/>
      <c r="E569" s="105"/>
      <c r="F569" s="105"/>
      <c r="G569" s="5"/>
    </row>
    <row r="570" spans="1:7" ht="17.100000000000001" customHeight="1">
      <c r="A570" s="5"/>
      <c r="B570" s="101" t="s">
        <v>64</v>
      </c>
      <c r="C570" s="101"/>
      <c r="D570" s="101"/>
      <c r="E570" s="101"/>
      <c r="F570" s="101"/>
      <c r="G570" s="5"/>
    </row>
    <row r="571" spans="1:7" ht="23.1" customHeight="1">
      <c r="A571" s="5"/>
      <c r="B571" s="102" t="s">
        <v>65</v>
      </c>
      <c r="C571" s="102"/>
      <c r="D571" s="102"/>
      <c r="E571" s="102"/>
      <c r="F571" s="102"/>
      <c r="G571" s="5"/>
    </row>
    <row r="572" spans="1:7" ht="15.95" customHeight="1">
      <c r="A572" s="5"/>
      <c r="B572" s="103" t="s">
        <v>66</v>
      </c>
      <c r="C572" s="103"/>
      <c r="D572" s="103"/>
      <c r="E572" s="103"/>
      <c r="F572" s="103"/>
      <c r="G572" s="5"/>
    </row>
    <row r="573" spans="1:7" ht="12" customHeight="1">
      <c r="A573" s="5"/>
      <c r="B573" s="104" t="s">
        <v>67</v>
      </c>
      <c r="C573" s="104"/>
      <c r="D573" s="104"/>
      <c r="E573" s="104"/>
      <c r="F573" s="104"/>
      <c r="G573" s="5"/>
    </row>
    <row r="574" spans="1:7" ht="33.950000000000003" customHeight="1">
      <c r="A574" s="5"/>
      <c r="B574" s="5"/>
      <c r="C574" s="6" t="s">
        <v>68</v>
      </c>
      <c r="D574" s="5"/>
      <c r="E574" s="6" t="s">
        <v>0</v>
      </c>
      <c r="F574" s="5"/>
      <c r="G574" s="5"/>
    </row>
    <row r="575" spans="1:7" ht="23.1" customHeight="1">
      <c r="A575" s="5"/>
      <c r="B575" s="5"/>
      <c r="C575" s="9" t="s">
        <v>956</v>
      </c>
      <c r="D575" s="5"/>
      <c r="E575" s="9" t="s">
        <v>957</v>
      </c>
      <c r="F575" s="5"/>
      <c r="G575" s="5"/>
    </row>
    <row r="576" spans="1:7" ht="14.1" customHeight="1">
      <c r="A576" s="5"/>
      <c r="B576" s="5"/>
      <c r="C576" s="9" t="s">
        <v>958</v>
      </c>
      <c r="D576" s="5"/>
      <c r="E576" s="9" t="s">
        <v>171</v>
      </c>
      <c r="F576" s="5"/>
      <c r="G576" s="5"/>
    </row>
    <row r="577" spans="1:7" ht="14.1" customHeight="1">
      <c r="A577" s="5"/>
      <c r="B577" s="5"/>
      <c r="C577" s="9" t="s">
        <v>959</v>
      </c>
      <c r="D577" s="5"/>
      <c r="E577" s="9" t="s">
        <v>171</v>
      </c>
      <c r="F577" s="5"/>
      <c r="G577" s="5"/>
    </row>
    <row r="578" spans="1:7" ht="23.1" customHeight="1">
      <c r="A578" s="5"/>
      <c r="B578" s="5"/>
      <c r="C578" s="9" t="s">
        <v>960</v>
      </c>
      <c r="D578" s="5"/>
      <c r="E578" s="9" t="s">
        <v>961</v>
      </c>
      <c r="F578" s="5"/>
      <c r="G578" s="5"/>
    </row>
    <row r="579" spans="1:7" ht="23.1" customHeight="1">
      <c r="A579" s="5"/>
      <c r="B579" s="5"/>
      <c r="C579" s="9" t="s">
        <v>962</v>
      </c>
      <c r="D579" s="5"/>
      <c r="E579" s="9" t="s">
        <v>963</v>
      </c>
      <c r="F579" s="5"/>
      <c r="G579" s="5"/>
    </row>
    <row r="580" spans="1:7" ht="14.1" customHeight="1">
      <c r="A580" s="5"/>
      <c r="B580" s="100" t="s">
        <v>964</v>
      </c>
      <c r="C580" s="100"/>
      <c r="D580" s="100"/>
      <c r="E580" s="100"/>
      <c r="F580" s="5"/>
      <c r="G580" s="5"/>
    </row>
    <row r="581" spans="1:7" ht="14.1" customHeight="1">
      <c r="A581" s="5"/>
      <c r="B581" s="5"/>
      <c r="C581" s="9" t="s">
        <v>965</v>
      </c>
      <c r="D581" s="5"/>
      <c r="E581" s="9" t="s">
        <v>966</v>
      </c>
      <c r="F581" s="5"/>
      <c r="G581" s="5"/>
    </row>
    <row r="582" spans="1:7" ht="14.1" customHeight="1">
      <c r="A582" s="5"/>
      <c r="B582" s="100" t="s">
        <v>967</v>
      </c>
      <c r="C582" s="100"/>
      <c r="D582" s="100"/>
      <c r="E582" s="100"/>
      <c r="F582" s="5"/>
      <c r="G582" s="5"/>
    </row>
    <row r="583" spans="1:7" ht="14.1" customHeight="1">
      <c r="A583" s="5"/>
      <c r="B583" s="5"/>
      <c r="C583" s="9" t="s">
        <v>968</v>
      </c>
      <c r="D583" s="5"/>
      <c r="E583" s="9" t="s">
        <v>969</v>
      </c>
      <c r="F583" s="5"/>
      <c r="G583" s="5"/>
    </row>
    <row r="584" spans="1:7" ht="14.1" customHeight="1">
      <c r="A584" s="5"/>
      <c r="B584" s="100" t="s">
        <v>970</v>
      </c>
      <c r="C584" s="100"/>
      <c r="D584" s="100"/>
      <c r="E584" s="100"/>
      <c r="F584" s="5"/>
      <c r="G584" s="5"/>
    </row>
    <row r="585" spans="1:7" ht="14.1" customHeight="1">
      <c r="A585" s="5"/>
      <c r="B585" s="5"/>
      <c r="C585" s="9" t="s">
        <v>971</v>
      </c>
      <c r="D585" s="5"/>
      <c r="E585" s="9" t="s">
        <v>972</v>
      </c>
      <c r="F585" s="5"/>
      <c r="G585" s="5"/>
    </row>
    <row r="586" spans="1:7" ht="14.1" customHeight="1">
      <c r="A586" s="5"/>
      <c r="B586" s="5"/>
      <c r="C586" s="9" t="s">
        <v>973</v>
      </c>
      <c r="D586" s="5"/>
      <c r="E586" s="9" t="s">
        <v>974</v>
      </c>
      <c r="F586" s="5"/>
      <c r="G586" s="5"/>
    </row>
    <row r="587" spans="1:7" ht="14.1" customHeight="1">
      <c r="A587" s="5"/>
      <c r="B587" s="5"/>
      <c r="C587" s="9" t="s">
        <v>975</v>
      </c>
      <c r="D587" s="5"/>
      <c r="E587" s="9" t="s">
        <v>976</v>
      </c>
      <c r="F587" s="5"/>
      <c r="G587" s="5"/>
    </row>
    <row r="588" spans="1:7" ht="14.1" customHeight="1">
      <c r="A588" s="5"/>
      <c r="B588" s="5"/>
      <c r="C588" s="9" t="s">
        <v>977</v>
      </c>
      <c r="D588" s="5"/>
      <c r="E588" s="9" t="s">
        <v>978</v>
      </c>
      <c r="F588" s="5"/>
      <c r="G588" s="5"/>
    </row>
    <row r="589" spans="1:7" ht="14.1" customHeight="1">
      <c r="A589" s="5"/>
      <c r="B589" s="5"/>
      <c r="C589" s="9" t="s">
        <v>979</v>
      </c>
      <c r="D589" s="5"/>
      <c r="E589" s="9" t="s">
        <v>980</v>
      </c>
      <c r="F589" s="5"/>
      <c r="G589" s="5"/>
    </row>
    <row r="590" spans="1:7" ht="14.1" customHeight="1">
      <c r="A590" s="5"/>
      <c r="B590" s="5"/>
      <c r="C590" s="9" t="s">
        <v>981</v>
      </c>
      <c r="D590" s="5"/>
      <c r="E590" s="9" t="s">
        <v>982</v>
      </c>
      <c r="F590" s="5"/>
      <c r="G590" s="5"/>
    </row>
    <row r="591" spans="1:7" ht="14.1" customHeight="1">
      <c r="A591" s="5"/>
      <c r="B591" s="5"/>
      <c r="C591" s="9" t="s">
        <v>983</v>
      </c>
      <c r="D591" s="5"/>
      <c r="E591" s="9" t="s">
        <v>984</v>
      </c>
      <c r="F591" s="5"/>
      <c r="G591" s="5"/>
    </row>
    <row r="592" spans="1:7" ht="14.1" customHeight="1">
      <c r="A592" s="5"/>
      <c r="B592" s="100" t="s">
        <v>985</v>
      </c>
      <c r="C592" s="100"/>
      <c r="D592" s="100"/>
      <c r="E592" s="100"/>
      <c r="F592" s="5"/>
      <c r="G592" s="5"/>
    </row>
    <row r="593" spans="1:7" ht="23.1" customHeight="1">
      <c r="A593" s="5"/>
      <c r="B593" s="5"/>
      <c r="C593" s="9" t="s">
        <v>986</v>
      </c>
      <c r="D593" s="5"/>
      <c r="E593" s="9" t="s">
        <v>987</v>
      </c>
      <c r="F593" s="5"/>
      <c r="G593" s="5"/>
    </row>
    <row r="594" spans="1:7" ht="14.1" customHeight="1">
      <c r="A594" s="5"/>
      <c r="B594" s="5"/>
      <c r="C594" s="9" t="s">
        <v>988</v>
      </c>
      <c r="D594" s="5"/>
      <c r="E594" s="9" t="s">
        <v>989</v>
      </c>
      <c r="F594" s="5"/>
      <c r="G594" s="5"/>
    </row>
    <row r="595" spans="1:7" ht="14.1" customHeight="1">
      <c r="A595" s="5"/>
      <c r="B595" s="5"/>
      <c r="C595" s="9" t="s">
        <v>990</v>
      </c>
      <c r="D595" s="5"/>
      <c r="E595" s="9" t="s">
        <v>991</v>
      </c>
      <c r="F595" s="5"/>
      <c r="G595" s="5"/>
    </row>
    <row r="596" spans="1:7" ht="14.1" customHeight="1">
      <c r="A596" s="5"/>
      <c r="B596" s="5"/>
      <c r="C596" s="9" t="s">
        <v>992</v>
      </c>
      <c r="D596" s="5"/>
      <c r="E596" s="9" t="s">
        <v>993</v>
      </c>
      <c r="F596" s="5"/>
      <c r="G596" s="5"/>
    </row>
    <row r="597" spans="1:7" ht="23.1" customHeight="1">
      <c r="A597" s="5"/>
      <c r="B597" s="5"/>
      <c r="C597" s="9" t="s">
        <v>994</v>
      </c>
      <c r="D597" s="5"/>
      <c r="E597" s="9" t="s">
        <v>995</v>
      </c>
      <c r="F597" s="5"/>
      <c r="G597" s="5"/>
    </row>
    <row r="598" spans="1:7" ht="14.1" customHeight="1">
      <c r="A598" s="5"/>
      <c r="B598" s="5"/>
      <c r="C598" s="9" t="s">
        <v>996</v>
      </c>
      <c r="D598" s="5"/>
      <c r="E598" s="9" t="s">
        <v>997</v>
      </c>
      <c r="F598" s="5"/>
      <c r="G598" s="5"/>
    </row>
    <row r="599" spans="1:7" ht="14.1" customHeight="1">
      <c r="A599" s="5"/>
      <c r="B599" s="5"/>
      <c r="C599" s="9" t="s">
        <v>998</v>
      </c>
      <c r="D599" s="5"/>
      <c r="E599" s="9" t="s">
        <v>999</v>
      </c>
      <c r="F599" s="5"/>
      <c r="G599" s="5"/>
    </row>
    <row r="600" spans="1:7" ht="14.1" customHeight="1">
      <c r="A600" s="5"/>
      <c r="B600" s="5"/>
      <c r="C600" s="9" t="s">
        <v>1000</v>
      </c>
      <c r="D600" s="5"/>
      <c r="E600" s="9" t="s">
        <v>1001</v>
      </c>
      <c r="F600" s="5"/>
      <c r="G600" s="5"/>
    </row>
    <row r="601" spans="1:7" ht="14.1" customHeight="1">
      <c r="A601" s="5"/>
      <c r="B601" s="5"/>
      <c r="C601" s="9" t="s">
        <v>1002</v>
      </c>
      <c r="D601" s="5"/>
      <c r="E601" s="9" t="s">
        <v>1003</v>
      </c>
      <c r="F601" s="5"/>
      <c r="G601" s="5"/>
    </row>
    <row r="602" spans="1:7" ht="14.1" customHeight="1">
      <c r="A602" s="5"/>
      <c r="B602" s="100" t="s">
        <v>1004</v>
      </c>
      <c r="C602" s="100"/>
      <c r="D602" s="100"/>
      <c r="E602" s="100"/>
      <c r="F602" s="5"/>
      <c r="G602" s="5"/>
    </row>
    <row r="603" spans="1:7" ht="23.1" customHeight="1">
      <c r="A603" s="5"/>
      <c r="B603" s="5"/>
      <c r="C603" s="9" t="s">
        <v>1005</v>
      </c>
      <c r="D603" s="5"/>
      <c r="E603" s="9" t="s">
        <v>1006</v>
      </c>
      <c r="F603" s="5"/>
      <c r="G603" s="5"/>
    </row>
    <row r="604" spans="1:7" ht="14.1" customHeight="1">
      <c r="A604" s="5"/>
      <c r="B604" s="5"/>
      <c r="C604" s="9" t="s">
        <v>1007</v>
      </c>
      <c r="D604" s="5"/>
      <c r="E604" s="9" t="s">
        <v>1008</v>
      </c>
      <c r="F604" s="5"/>
      <c r="G604" s="5"/>
    </row>
    <row r="605" spans="1:7" ht="14.1" customHeight="1">
      <c r="A605" s="5"/>
      <c r="B605" s="5"/>
      <c r="C605" s="9" t="s">
        <v>1009</v>
      </c>
      <c r="D605" s="5"/>
      <c r="E605" s="9" t="s">
        <v>169</v>
      </c>
      <c r="F605" s="5"/>
      <c r="G605" s="5"/>
    </row>
    <row r="606" spans="1:7" ht="14.1" customHeight="1">
      <c r="A606" s="5"/>
      <c r="B606" s="5"/>
      <c r="C606" s="9" t="s">
        <v>1010</v>
      </c>
      <c r="D606" s="5"/>
      <c r="E606" s="9" t="s">
        <v>1011</v>
      </c>
      <c r="F606" s="5"/>
      <c r="G606" s="5"/>
    </row>
    <row r="607" spans="1:7" ht="14.1" customHeight="1">
      <c r="A607" s="5"/>
      <c r="B607" s="5"/>
      <c r="C607" s="9" t="s">
        <v>1012</v>
      </c>
      <c r="D607" s="5"/>
      <c r="E607" s="9" t="s">
        <v>1013</v>
      </c>
      <c r="F607" s="5"/>
      <c r="G607" s="5"/>
    </row>
    <row r="608" spans="1:7" ht="14.1" customHeight="1">
      <c r="A608" s="5"/>
      <c r="B608" s="5"/>
      <c r="C608" s="9" t="s">
        <v>1014</v>
      </c>
      <c r="D608" s="5"/>
      <c r="E608" s="9" t="s">
        <v>1015</v>
      </c>
      <c r="F608" s="5"/>
      <c r="G608" s="5"/>
    </row>
    <row r="609" spans="1:7" ht="14.1" customHeight="1">
      <c r="A609" s="5"/>
      <c r="B609" s="5"/>
      <c r="C609" s="9" t="s">
        <v>1016</v>
      </c>
      <c r="D609" s="5"/>
      <c r="E609" s="9" t="s">
        <v>1017</v>
      </c>
      <c r="F609" s="5"/>
      <c r="G609" s="5"/>
    </row>
    <row r="610" spans="1:7" ht="14.1" customHeight="1">
      <c r="A610" s="5"/>
      <c r="B610" s="5"/>
      <c r="C610" s="9" t="s">
        <v>1018</v>
      </c>
      <c r="D610" s="5"/>
      <c r="E610" s="9" t="s">
        <v>729</v>
      </c>
      <c r="F610" s="5"/>
      <c r="G610" s="5"/>
    </row>
    <row r="611" spans="1:7" ht="14.1" customHeight="1">
      <c r="A611" s="5"/>
      <c r="B611" s="5"/>
      <c r="C611" s="9" t="s">
        <v>1019</v>
      </c>
      <c r="D611" s="5"/>
      <c r="E611" s="9" t="s">
        <v>1013</v>
      </c>
      <c r="F611" s="5"/>
      <c r="G611" s="5"/>
    </row>
    <row r="612" spans="1:7" ht="14.1" customHeight="1" thickBot="1">
      <c r="A612" s="5"/>
      <c r="B612" s="5"/>
      <c r="C612" s="9" t="s">
        <v>1020</v>
      </c>
      <c r="D612" s="5"/>
      <c r="E612" s="9" t="s">
        <v>1021</v>
      </c>
      <c r="F612" s="5"/>
      <c r="G612" s="5"/>
    </row>
    <row r="613" spans="1:7" ht="0.95" customHeight="1">
      <c r="A613" s="5"/>
      <c r="B613" s="106"/>
      <c r="C613" s="106"/>
      <c r="D613" s="106"/>
      <c r="E613" s="106"/>
      <c r="F613" s="106"/>
      <c r="G613" s="5"/>
    </row>
    <row r="614" spans="1:7" ht="12.95" customHeight="1">
      <c r="A614" s="5"/>
      <c r="B614" s="107" t="s">
        <v>139</v>
      </c>
      <c r="C614" s="107"/>
      <c r="D614" s="107"/>
      <c r="E614" s="107"/>
      <c r="F614" s="107"/>
      <c r="G614" s="5"/>
    </row>
    <row r="615" spans="1:7" ht="12.95" customHeight="1">
      <c r="A615" s="5"/>
      <c r="B615" s="107"/>
      <c r="C615" s="107"/>
      <c r="D615" s="107"/>
      <c r="E615" s="107"/>
      <c r="F615" s="107"/>
      <c r="G615" s="5"/>
    </row>
    <row r="616" spans="1:7" ht="12.95" customHeight="1">
      <c r="A616" s="5"/>
      <c r="B616" s="108" t="s">
        <v>140</v>
      </c>
      <c r="C616" s="108"/>
      <c r="D616" s="108"/>
      <c r="E616" s="108"/>
      <c r="F616" s="108"/>
      <c r="G616" s="5"/>
    </row>
    <row r="617" spans="1:7" ht="12.95" customHeight="1">
      <c r="A617" s="5"/>
      <c r="B617" s="105" t="s">
        <v>1022</v>
      </c>
      <c r="C617" s="105"/>
      <c r="D617" s="105"/>
      <c r="E617" s="105"/>
      <c r="F617" s="105"/>
      <c r="G617" s="5"/>
    </row>
    <row r="618" spans="1:7" ht="17.100000000000001" customHeight="1">
      <c r="A618" s="5"/>
      <c r="B618" s="101" t="s">
        <v>64</v>
      </c>
      <c r="C618" s="101"/>
      <c r="D618" s="101"/>
      <c r="E618" s="101"/>
      <c r="F618" s="101"/>
      <c r="G618" s="5"/>
    </row>
    <row r="619" spans="1:7" ht="23.1" customHeight="1">
      <c r="A619" s="5"/>
      <c r="B619" s="102" t="s">
        <v>65</v>
      </c>
      <c r="C619" s="102"/>
      <c r="D619" s="102"/>
      <c r="E619" s="102"/>
      <c r="F619" s="102"/>
      <c r="G619" s="5"/>
    </row>
    <row r="620" spans="1:7" ht="15.95" customHeight="1">
      <c r="A620" s="5"/>
      <c r="B620" s="103" t="s">
        <v>66</v>
      </c>
      <c r="C620" s="103"/>
      <c r="D620" s="103"/>
      <c r="E620" s="103"/>
      <c r="F620" s="103"/>
      <c r="G620" s="5"/>
    </row>
    <row r="621" spans="1:7" ht="12" customHeight="1">
      <c r="A621" s="5"/>
      <c r="B621" s="104" t="s">
        <v>67</v>
      </c>
      <c r="C621" s="104"/>
      <c r="D621" s="104"/>
      <c r="E621" s="104"/>
      <c r="F621" s="104"/>
      <c r="G621" s="5"/>
    </row>
    <row r="622" spans="1:7" ht="33.950000000000003" customHeight="1">
      <c r="A622" s="5"/>
      <c r="B622" s="5"/>
      <c r="C622" s="6" t="s">
        <v>68</v>
      </c>
      <c r="D622" s="5"/>
      <c r="E622" s="6" t="s">
        <v>0</v>
      </c>
      <c r="F622" s="5"/>
      <c r="G622" s="5"/>
    </row>
    <row r="623" spans="1:7" ht="14.1" customHeight="1">
      <c r="A623" s="5"/>
      <c r="B623" s="5"/>
      <c r="C623" s="9" t="s">
        <v>1023</v>
      </c>
      <c r="D623" s="5"/>
      <c r="E623" s="9" t="s">
        <v>1024</v>
      </c>
      <c r="F623" s="5"/>
      <c r="G623" s="5"/>
    </row>
    <row r="624" spans="1:7" ht="14.1" customHeight="1">
      <c r="A624" s="5"/>
      <c r="B624" s="5"/>
      <c r="C624" s="9" t="s">
        <v>1025</v>
      </c>
      <c r="D624" s="5"/>
      <c r="E624" s="9" t="s">
        <v>1026</v>
      </c>
      <c r="F624" s="5"/>
      <c r="G624" s="5"/>
    </row>
    <row r="625" spans="1:7" ht="14.1" customHeight="1">
      <c r="A625" s="5"/>
      <c r="B625" s="5"/>
      <c r="C625" s="9" t="s">
        <v>1027</v>
      </c>
      <c r="D625" s="5"/>
      <c r="E625" s="9" t="s">
        <v>1028</v>
      </c>
      <c r="F625" s="5"/>
      <c r="G625" s="5"/>
    </row>
    <row r="626" spans="1:7" ht="14.1" customHeight="1">
      <c r="A626" s="5"/>
      <c r="B626" s="5"/>
      <c r="C626" s="9" t="s">
        <v>1029</v>
      </c>
      <c r="D626" s="5"/>
      <c r="E626" s="9" t="s">
        <v>1030</v>
      </c>
      <c r="F626" s="5"/>
      <c r="G626" s="5"/>
    </row>
    <row r="627" spans="1:7" ht="14.1" customHeight="1">
      <c r="A627" s="5"/>
      <c r="B627" s="5"/>
      <c r="C627" s="9" t="s">
        <v>1031</v>
      </c>
      <c r="D627" s="5"/>
      <c r="E627" s="9" t="s">
        <v>1032</v>
      </c>
      <c r="F627" s="5"/>
      <c r="G627" s="5"/>
    </row>
    <row r="628" spans="1:7" ht="14.1" customHeight="1">
      <c r="A628" s="5"/>
      <c r="B628" s="5"/>
      <c r="C628" s="9" t="s">
        <v>1033</v>
      </c>
      <c r="D628" s="5"/>
      <c r="E628" s="9" t="s">
        <v>1034</v>
      </c>
      <c r="F628" s="5"/>
      <c r="G628" s="5"/>
    </row>
    <row r="629" spans="1:7" ht="14.1" customHeight="1">
      <c r="A629" s="5"/>
      <c r="B629" s="5"/>
      <c r="C629" s="9" t="s">
        <v>1035</v>
      </c>
      <c r="D629" s="5"/>
      <c r="E629" s="9" t="s">
        <v>1036</v>
      </c>
      <c r="F629" s="5"/>
      <c r="G629" s="5"/>
    </row>
    <row r="630" spans="1:7" ht="14.1" customHeight="1">
      <c r="A630" s="5"/>
      <c r="B630" s="5"/>
      <c r="C630" s="9" t="s">
        <v>1037</v>
      </c>
      <c r="D630" s="5"/>
      <c r="E630" s="9" t="s">
        <v>1038</v>
      </c>
      <c r="F630" s="5"/>
      <c r="G630" s="5"/>
    </row>
    <row r="631" spans="1:7" ht="14.1" customHeight="1">
      <c r="A631" s="5"/>
      <c r="B631" s="5"/>
      <c r="C631" s="9" t="s">
        <v>1039</v>
      </c>
      <c r="D631" s="5"/>
      <c r="E631" s="9" t="s">
        <v>1040</v>
      </c>
      <c r="F631" s="5"/>
      <c r="G631" s="5"/>
    </row>
    <row r="632" spans="1:7" ht="14.1" customHeight="1">
      <c r="A632" s="5"/>
      <c r="B632" s="5"/>
      <c r="C632" s="9" t="s">
        <v>1041</v>
      </c>
      <c r="D632" s="5"/>
      <c r="E632" s="9" t="s">
        <v>1042</v>
      </c>
      <c r="F632" s="5"/>
      <c r="G632" s="5"/>
    </row>
    <row r="633" spans="1:7" ht="14.1" customHeight="1">
      <c r="A633" s="5"/>
      <c r="B633" s="5"/>
      <c r="C633" s="9" t="s">
        <v>1043</v>
      </c>
      <c r="D633" s="5"/>
      <c r="E633" s="9" t="s">
        <v>1044</v>
      </c>
      <c r="F633" s="5"/>
      <c r="G633" s="5"/>
    </row>
    <row r="634" spans="1:7" ht="14.1" customHeight="1">
      <c r="A634" s="5"/>
      <c r="B634" s="5"/>
      <c r="C634" s="9" t="s">
        <v>1045</v>
      </c>
      <c r="D634" s="5"/>
      <c r="E634" s="9" t="s">
        <v>1046</v>
      </c>
      <c r="F634" s="5"/>
      <c r="G634" s="5"/>
    </row>
    <row r="635" spans="1:7" ht="14.1" customHeight="1">
      <c r="A635" s="5"/>
      <c r="B635" s="5"/>
      <c r="C635" s="9" t="s">
        <v>1047</v>
      </c>
      <c r="D635" s="5"/>
      <c r="E635" s="9" t="s">
        <v>1048</v>
      </c>
      <c r="F635" s="5"/>
      <c r="G635" s="5"/>
    </row>
    <row r="636" spans="1:7" ht="14.1" customHeight="1">
      <c r="A636" s="5"/>
      <c r="B636" s="5"/>
      <c r="C636" s="9" t="s">
        <v>1049</v>
      </c>
      <c r="D636" s="5"/>
      <c r="E636" s="9" t="s">
        <v>1050</v>
      </c>
      <c r="F636" s="5"/>
      <c r="G636" s="5"/>
    </row>
    <row r="637" spans="1:7" ht="14.1" customHeight="1">
      <c r="A637" s="5"/>
      <c r="B637" s="5"/>
      <c r="C637" s="9" t="s">
        <v>1051</v>
      </c>
      <c r="D637" s="5"/>
      <c r="E637" s="9" t="s">
        <v>1052</v>
      </c>
      <c r="F637" s="5"/>
      <c r="G637" s="5"/>
    </row>
    <row r="638" spans="1:7" ht="14.1" customHeight="1">
      <c r="A638" s="5"/>
      <c r="B638" s="5"/>
      <c r="C638" s="9" t="s">
        <v>1053</v>
      </c>
      <c r="D638" s="5"/>
      <c r="E638" s="9" t="s">
        <v>1054</v>
      </c>
      <c r="F638" s="5"/>
      <c r="G638" s="5"/>
    </row>
    <row r="639" spans="1:7" ht="14.1" customHeight="1">
      <c r="A639" s="5"/>
      <c r="B639" s="5"/>
      <c r="C639" s="9" t="s">
        <v>1055</v>
      </c>
      <c r="D639" s="5"/>
      <c r="E639" s="9" t="s">
        <v>1056</v>
      </c>
      <c r="F639" s="5"/>
      <c r="G639" s="5"/>
    </row>
    <row r="640" spans="1:7" ht="14.1" customHeight="1">
      <c r="A640" s="5"/>
      <c r="B640" s="5"/>
      <c r="C640" s="9" t="s">
        <v>1057</v>
      </c>
      <c r="D640" s="5"/>
      <c r="E640" s="9" t="s">
        <v>1058</v>
      </c>
      <c r="F640" s="5"/>
      <c r="G640" s="5"/>
    </row>
    <row r="641" spans="1:7" ht="14.1" customHeight="1">
      <c r="A641" s="5"/>
      <c r="B641" s="5"/>
      <c r="C641" s="9" t="s">
        <v>1059</v>
      </c>
      <c r="D641" s="5"/>
      <c r="E641" s="9" t="s">
        <v>1060</v>
      </c>
      <c r="F641" s="5"/>
      <c r="G641" s="5"/>
    </row>
    <row r="642" spans="1:7" ht="14.1" customHeight="1">
      <c r="A642" s="5"/>
      <c r="B642" s="5"/>
      <c r="C642" s="9" t="s">
        <v>1061</v>
      </c>
      <c r="D642" s="5"/>
      <c r="E642" s="9" t="s">
        <v>1062</v>
      </c>
      <c r="F642" s="5"/>
      <c r="G642" s="5"/>
    </row>
    <row r="643" spans="1:7" ht="14.1" customHeight="1">
      <c r="A643" s="5"/>
      <c r="B643" s="5"/>
      <c r="C643" s="9" t="s">
        <v>1063</v>
      </c>
      <c r="D643" s="5"/>
      <c r="E643" s="9" t="s">
        <v>1064</v>
      </c>
      <c r="F643" s="5"/>
      <c r="G643" s="5"/>
    </row>
    <row r="644" spans="1:7" ht="14.1" customHeight="1">
      <c r="A644" s="5"/>
      <c r="B644" s="5"/>
      <c r="C644" s="9" t="s">
        <v>1065</v>
      </c>
      <c r="D644" s="5"/>
      <c r="E644" s="9" t="s">
        <v>1066</v>
      </c>
      <c r="F644" s="5"/>
      <c r="G644" s="5"/>
    </row>
    <row r="645" spans="1:7" ht="14.1" customHeight="1">
      <c r="A645" s="5"/>
      <c r="B645" s="5"/>
      <c r="C645" s="9" t="s">
        <v>1067</v>
      </c>
      <c r="D645" s="5"/>
      <c r="E645" s="9" t="s">
        <v>1068</v>
      </c>
      <c r="F645" s="5"/>
      <c r="G645" s="5"/>
    </row>
    <row r="646" spans="1:7" ht="14.1" customHeight="1">
      <c r="A646" s="5"/>
      <c r="B646" s="5"/>
      <c r="C646" s="9" t="s">
        <v>1069</v>
      </c>
      <c r="D646" s="5"/>
      <c r="E646" s="9" t="s">
        <v>1070</v>
      </c>
      <c r="F646" s="5"/>
      <c r="G646" s="5"/>
    </row>
    <row r="647" spans="1:7" ht="14.1" customHeight="1">
      <c r="A647" s="5"/>
      <c r="B647" s="5"/>
      <c r="C647" s="9" t="s">
        <v>1071</v>
      </c>
      <c r="D647" s="5"/>
      <c r="E647" s="9" t="s">
        <v>1072</v>
      </c>
      <c r="F647" s="5"/>
      <c r="G647" s="5"/>
    </row>
    <row r="648" spans="1:7" ht="14.1" customHeight="1">
      <c r="A648" s="5"/>
      <c r="B648" s="5"/>
      <c r="C648" s="9" t="s">
        <v>1073</v>
      </c>
      <c r="D648" s="5"/>
      <c r="E648" s="9" t="s">
        <v>1074</v>
      </c>
      <c r="F648" s="5"/>
      <c r="G648" s="5"/>
    </row>
    <row r="649" spans="1:7" ht="14.1" customHeight="1">
      <c r="A649" s="5"/>
      <c r="B649" s="5"/>
      <c r="C649" s="9" t="s">
        <v>1075</v>
      </c>
      <c r="D649" s="5"/>
      <c r="E649" s="9" t="s">
        <v>1076</v>
      </c>
      <c r="F649" s="5"/>
      <c r="G649" s="5"/>
    </row>
    <row r="650" spans="1:7" ht="14.1" customHeight="1">
      <c r="A650" s="5"/>
      <c r="B650" s="5"/>
      <c r="C650" s="9" t="s">
        <v>1077</v>
      </c>
      <c r="D650" s="5"/>
      <c r="E650" s="9" t="s">
        <v>1078</v>
      </c>
      <c r="F650" s="5"/>
      <c r="G650" s="5"/>
    </row>
    <row r="651" spans="1:7" ht="14.1" customHeight="1">
      <c r="A651" s="5"/>
      <c r="B651" s="5"/>
      <c r="C651" s="9" t="s">
        <v>1079</v>
      </c>
      <c r="D651" s="5"/>
      <c r="E651" s="9" t="s">
        <v>1080</v>
      </c>
      <c r="F651" s="5"/>
      <c r="G651" s="5"/>
    </row>
    <row r="652" spans="1:7" ht="14.1" customHeight="1">
      <c r="A652" s="5"/>
      <c r="B652" s="5"/>
      <c r="C652" s="9" t="s">
        <v>1081</v>
      </c>
      <c r="D652" s="5"/>
      <c r="E652" s="9" t="s">
        <v>1082</v>
      </c>
      <c r="F652" s="5"/>
      <c r="G652" s="5"/>
    </row>
    <row r="653" spans="1:7" ht="14.1" customHeight="1">
      <c r="A653" s="5"/>
      <c r="B653" s="5"/>
      <c r="C653" s="9" t="s">
        <v>1083</v>
      </c>
      <c r="D653" s="5"/>
      <c r="E653" s="9" t="s">
        <v>1084</v>
      </c>
      <c r="F653" s="5"/>
      <c r="G653" s="5"/>
    </row>
    <row r="654" spans="1:7" ht="14.1" customHeight="1">
      <c r="A654" s="5"/>
      <c r="B654" s="5"/>
      <c r="C654" s="9" t="s">
        <v>1085</v>
      </c>
      <c r="D654" s="5"/>
      <c r="E654" s="9" t="s">
        <v>1086</v>
      </c>
      <c r="F654" s="5"/>
      <c r="G654" s="5"/>
    </row>
    <row r="655" spans="1:7" ht="14.1" customHeight="1">
      <c r="A655" s="5"/>
      <c r="B655" s="5"/>
      <c r="C655" s="9" t="s">
        <v>1087</v>
      </c>
      <c r="D655" s="5"/>
      <c r="E655" s="9" t="s">
        <v>1088</v>
      </c>
      <c r="F655" s="5"/>
      <c r="G655" s="5"/>
    </row>
    <row r="656" spans="1:7" ht="14.1" customHeight="1">
      <c r="A656" s="5"/>
      <c r="B656" s="5"/>
      <c r="C656" s="9" t="s">
        <v>1089</v>
      </c>
      <c r="D656" s="5"/>
      <c r="E656" s="9" t="s">
        <v>1090</v>
      </c>
      <c r="F656" s="5"/>
      <c r="G656" s="5"/>
    </row>
    <row r="657" spans="1:7" ht="14.1" customHeight="1">
      <c r="A657" s="5"/>
      <c r="B657" s="5"/>
      <c r="C657" s="9" t="s">
        <v>1091</v>
      </c>
      <c r="D657" s="5"/>
      <c r="E657" s="9" t="s">
        <v>1092</v>
      </c>
      <c r="F657" s="5"/>
      <c r="G657" s="5"/>
    </row>
    <row r="658" spans="1:7" ht="14.1" customHeight="1">
      <c r="A658" s="5"/>
      <c r="B658" s="5"/>
      <c r="C658" s="9" t="s">
        <v>1093</v>
      </c>
      <c r="D658" s="5"/>
      <c r="E658" s="9" t="s">
        <v>1094</v>
      </c>
      <c r="F658" s="5"/>
      <c r="G658" s="5"/>
    </row>
    <row r="659" spans="1:7" ht="14.1" customHeight="1">
      <c r="A659" s="5"/>
      <c r="B659" s="5"/>
      <c r="C659" s="9" t="s">
        <v>1095</v>
      </c>
      <c r="D659" s="5"/>
      <c r="E659" s="9" t="s">
        <v>1096</v>
      </c>
      <c r="F659" s="5"/>
      <c r="G659" s="5"/>
    </row>
    <row r="660" spans="1:7" ht="14.1" customHeight="1">
      <c r="A660" s="5"/>
      <c r="B660" s="5"/>
      <c r="C660" s="9" t="s">
        <v>1097</v>
      </c>
      <c r="D660" s="5"/>
      <c r="E660" s="9" t="s">
        <v>1098</v>
      </c>
      <c r="F660" s="5"/>
      <c r="G660" s="5"/>
    </row>
    <row r="661" spans="1:7" ht="14.1" customHeight="1">
      <c r="A661" s="5"/>
      <c r="B661" s="5"/>
      <c r="C661" s="9" t="s">
        <v>1099</v>
      </c>
      <c r="D661" s="5"/>
      <c r="E661" s="9" t="s">
        <v>1100</v>
      </c>
      <c r="F661" s="5"/>
      <c r="G661" s="5"/>
    </row>
    <row r="662" spans="1:7" ht="14.1" customHeight="1">
      <c r="A662" s="5"/>
      <c r="B662" s="5"/>
      <c r="C662" s="9" t="s">
        <v>1101</v>
      </c>
      <c r="D662" s="5"/>
      <c r="E662" s="9" t="s">
        <v>1102</v>
      </c>
      <c r="F662" s="5"/>
      <c r="G662" s="5"/>
    </row>
    <row r="663" spans="1:7" ht="14.1" customHeight="1">
      <c r="A663" s="5"/>
      <c r="B663" s="5"/>
      <c r="C663" s="9" t="s">
        <v>1103</v>
      </c>
      <c r="D663" s="5"/>
      <c r="E663" s="9" t="s">
        <v>1104</v>
      </c>
      <c r="F663" s="5"/>
      <c r="G663" s="5"/>
    </row>
    <row r="664" spans="1:7" ht="14.1" customHeight="1" thickBot="1">
      <c r="A664" s="5"/>
      <c r="B664" s="5"/>
      <c r="C664" s="9" t="s">
        <v>1105</v>
      </c>
      <c r="D664" s="5"/>
      <c r="E664" s="9" t="s">
        <v>1106</v>
      </c>
      <c r="F664" s="5"/>
      <c r="G664" s="5"/>
    </row>
    <row r="665" spans="1:7" ht="0.95" customHeight="1">
      <c r="A665" s="5"/>
      <c r="B665" s="106"/>
      <c r="C665" s="106"/>
      <c r="D665" s="106"/>
      <c r="E665" s="106"/>
      <c r="F665" s="106"/>
      <c r="G665" s="5"/>
    </row>
    <row r="666" spans="1:7" ht="12.95" customHeight="1">
      <c r="A666" s="5"/>
      <c r="B666" s="107" t="s">
        <v>139</v>
      </c>
      <c r="C666" s="107"/>
      <c r="D666" s="107"/>
      <c r="E666" s="107"/>
      <c r="F666" s="107"/>
      <c r="G666" s="5"/>
    </row>
    <row r="667" spans="1:7" ht="12.95" customHeight="1">
      <c r="A667" s="5"/>
      <c r="B667" s="107"/>
      <c r="C667" s="107"/>
      <c r="D667" s="107"/>
      <c r="E667" s="107"/>
      <c r="F667" s="107"/>
      <c r="G667" s="5"/>
    </row>
    <row r="668" spans="1:7" ht="12.95" customHeight="1">
      <c r="A668" s="5"/>
      <c r="B668" s="108" t="s">
        <v>140</v>
      </c>
      <c r="C668" s="108"/>
      <c r="D668" s="108"/>
      <c r="E668" s="108"/>
      <c r="F668" s="108"/>
      <c r="G668" s="5"/>
    </row>
    <row r="669" spans="1:7" ht="12.95" customHeight="1">
      <c r="A669" s="5"/>
      <c r="B669" s="105" t="s">
        <v>1107</v>
      </c>
      <c r="C669" s="105"/>
      <c r="D669" s="105"/>
      <c r="E669" s="105"/>
      <c r="F669" s="105"/>
      <c r="G669" s="5"/>
    </row>
    <row r="670" spans="1:7" ht="17.100000000000001" customHeight="1">
      <c r="A670" s="5"/>
      <c r="B670" s="101" t="s">
        <v>64</v>
      </c>
      <c r="C670" s="101"/>
      <c r="D670" s="101"/>
      <c r="E670" s="101"/>
      <c r="F670" s="101"/>
      <c r="G670" s="5"/>
    </row>
    <row r="671" spans="1:7" ht="23.1" customHeight="1">
      <c r="A671" s="5"/>
      <c r="B671" s="102" t="s">
        <v>65</v>
      </c>
      <c r="C671" s="102"/>
      <c r="D671" s="102"/>
      <c r="E671" s="102"/>
      <c r="F671" s="102"/>
      <c r="G671" s="5"/>
    </row>
    <row r="672" spans="1:7" ht="15.95" customHeight="1">
      <c r="A672" s="5"/>
      <c r="B672" s="103" t="s">
        <v>66</v>
      </c>
      <c r="C672" s="103"/>
      <c r="D672" s="103"/>
      <c r="E672" s="103"/>
      <c r="F672" s="103"/>
      <c r="G672" s="5"/>
    </row>
    <row r="673" spans="1:7" ht="12" customHeight="1">
      <c r="A673" s="5"/>
      <c r="B673" s="104" t="s">
        <v>67</v>
      </c>
      <c r="C673" s="104"/>
      <c r="D673" s="104"/>
      <c r="E673" s="104"/>
      <c r="F673" s="104"/>
      <c r="G673" s="5"/>
    </row>
    <row r="674" spans="1:7" ht="33.950000000000003" customHeight="1">
      <c r="A674" s="5"/>
      <c r="B674" s="5"/>
      <c r="C674" s="6" t="s">
        <v>68</v>
      </c>
      <c r="D674" s="5"/>
      <c r="E674" s="6" t="s">
        <v>0</v>
      </c>
      <c r="F674" s="5"/>
      <c r="G674" s="5"/>
    </row>
    <row r="675" spans="1:7" ht="14.1" customHeight="1">
      <c r="A675" s="5"/>
      <c r="B675" s="5"/>
      <c r="C675" s="9" t="s">
        <v>1108</v>
      </c>
      <c r="D675" s="5"/>
      <c r="E675" s="9" t="s">
        <v>1109</v>
      </c>
      <c r="F675" s="5"/>
      <c r="G675" s="5"/>
    </row>
    <row r="676" spans="1:7" ht="14.1" customHeight="1">
      <c r="A676" s="5"/>
      <c r="B676" s="5"/>
      <c r="C676" s="9" t="s">
        <v>1110</v>
      </c>
      <c r="D676" s="5"/>
      <c r="E676" s="9" t="s">
        <v>1111</v>
      </c>
      <c r="F676" s="5"/>
      <c r="G676" s="5"/>
    </row>
    <row r="677" spans="1:7" ht="14.1" customHeight="1">
      <c r="A677" s="5"/>
      <c r="B677" s="5"/>
      <c r="C677" s="9" t="s">
        <v>1112</v>
      </c>
      <c r="D677" s="5"/>
      <c r="E677" s="9" t="s">
        <v>1113</v>
      </c>
      <c r="F677" s="5"/>
      <c r="G677" s="5"/>
    </row>
    <row r="678" spans="1:7" ht="14.1" customHeight="1">
      <c r="A678" s="5"/>
      <c r="B678" s="5"/>
      <c r="C678" s="9" t="s">
        <v>1114</v>
      </c>
      <c r="D678" s="5"/>
      <c r="E678" s="9" t="s">
        <v>1115</v>
      </c>
      <c r="F678" s="5"/>
      <c r="G678" s="5"/>
    </row>
    <row r="679" spans="1:7" ht="14.1" customHeight="1">
      <c r="A679" s="5"/>
      <c r="B679" s="5"/>
      <c r="C679" s="9" t="s">
        <v>1116</v>
      </c>
      <c r="D679" s="5"/>
      <c r="E679" s="9" t="s">
        <v>1117</v>
      </c>
      <c r="F679" s="5"/>
      <c r="G679" s="5"/>
    </row>
    <row r="680" spans="1:7" ht="14.1" customHeight="1">
      <c r="A680" s="5"/>
      <c r="B680" s="5"/>
      <c r="C680" s="9" t="s">
        <v>1118</v>
      </c>
      <c r="D680" s="5"/>
      <c r="E680" s="9" t="s">
        <v>1119</v>
      </c>
      <c r="F680" s="5"/>
      <c r="G680" s="5"/>
    </row>
    <row r="681" spans="1:7" ht="14.1" customHeight="1">
      <c r="A681" s="5"/>
      <c r="B681" s="5"/>
      <c r="C681" s="9" t="s">
        <v>1120</v>
      </c>
      <c r="D681" s="5"/>
      <c r="E681" s="9" t="s">
        <v>1121</v>
      </c>
      <c r="F681" s="5"/>
      <c r="G681" s="5"/>
    </row>
    <row r="682" spans="1:7" ht="14.1" customHeight="1">
      <c r="A682" s="5"/>
      <c r="B682" s="5"/>
      <c r="C682" s="9" t="s">
        <v>1122</v>
      </c>
      <c r="D682" s="5"/>
      <c r="E682" s="9" t="s">
        <v>1123</v>
      </c>
      <c r="F682" s="5"/>
      <c r="G682" s="5"/>
    </row>
    <row r="683" spans="1:7" ht="14.1" customHeight="1">
      <c r="A683" s="5"/>
      <c r="B683" s="5"/>
      <c r="C683" s="9" t="s">
        <v>1124</v>
      </c>
      <c r="D683" s="5"/>
      <c r="E683" s="9" t="s">
        <v>1125</v>
      </c>
      <c r="F683" s="5"/>
      <c r="G683" s="5"/>
    </row>
    <row r="684" spans="1:7" ht="14.1" customHeight="1">
      <c r="A684" s="5"/>
      <c r="B684" s="5"/>
      <c r="C684" s="9" t="s">
        <v>1126</v>
      </c>
      <c r="D684" s="5"/>
      <c r="E684" s="9" t="s">
        <v>1127</v>
      </c>
      <c r="F684" s="5"/>
      <c r="G684" s="5"/>
    </row>
    <row r="685" spans="1:7" ht="14.1" customHeight="1">
      <c r="A685" s="5"/>
      <c r="B685" s="5"/>
      <c r="C685" s="9" t="s">
        <v>1128</v>
      </c>
      <c r="D685" s="5"/>
      <c r="E685" s="9" t="s">
        <v>1129</v>
      </c>
      <c r="F685" s="5"/>
      <c r="G685" s="5"/>
    </row>
    <row r="686" spans="1:7" ht="14.1" customHeight="1">
      <c r="A686" s="5"/>
      <c r="B686" s="5"/>
      <c r="C686" s="9" t="s">
        <v>1130</v>
      </c>
      <c r="D686" s="5"/>
      <c r="E686" s="9" t="s">
        <v>1131</v>
      </c>
      <c r="F686" s="5"/>
      <c r="G686" s="5"/>
    </row>
    <row r="687" spans="1:7" ht="14.1" customHeight="1">
      <c r="A687" s="5"/>
      <c r="B687" s="5"/>
      <c r="C687" s="9" t="s">
        <v>1132</v>
      </c>
      <c r="D687" s="5"/>
      <c r="E687" s="9" t="s">
        <v>1133</v>
      </c>
      <c r="F687" s="5"/>
      <c r="G687" s="5"/>
    </row>
    <row r="688" spans="1:7" ht="14.1" customHeight="1">
      <c r="A688" s="5"/>
      <c r="B688" s="5"/>
      <c r="C688" s="9" t="s">
        <v>1134</v>
      </c>
      <c r="D688" s="5"/>
      <c r="E688" s="9" t="s">
        <v>1135</v>
      </c>
      <c r="F688" s="5"/>
      <c r="G688" s="5"/>
    </row>
    <row r="689" spans="1:7" ht="14.1" customHeight="1">
      <c r="A689" s="5"/>
      <c r="B689" s="5"/>
      <c r="C689" s="9" t="s">
        <v>1136</v>
      </c>
      <c r="D689" s="5"/>
      <c r="E689" s="9" t="s">
        <v>1137</v>
      </c>
      <c r="F689" s="5"/>
      <c r="G689" s="5"/>
    </row>
    <row r="690" spans="1:7" ht="14.1" customHeight="1">
      <c r="A690" s="5"/>
      <c r="B690" s="5"/>
      <c r="C690" s="9" t="s">
        <v>1138</v>
      </c>
      <c r="D690" s="5"/>
      <c r="E690" s="9" t="s">
        <v>1139</v>
      </c>
      <c r="F690" s="5"/>
      <c r="G690" s="5"/>
    </row>
    <row r="691" spans="1:7" ht="14.1" customHeight="1">
      <c r="A691" s="5"/>
      <c r="B691" s="5"/>
      <c r="C691" s="9" t="s">
        <v>1140</v>
      </c>
      <c r="D691" s="5"/>
      <c r="E691" s="9" t="s">
        <v>171</v>
      </c>
      <c r="F691" s="5"/>
      <c r="G691" s="5"/>
    </row>
    <row r="692" spans="1:7" ht="14.1" customHeight="1">
      <c r="A692" s="5"/>
      <c r="B692" s="5"/>
      <c r="C692" s="9" t="s">
        <v>1141</v>
      </c>
      <c r="D692" s="5"/>
      <c r="E692" s="9" t="s">
        <v>1142</v>
      </c>
      <c r="F692" s="5"/>
      <c r="G692" s="5"/>
    </row>
    <row r="693" spans="1:7" ht="14.1" customHeight="1">
      <c r="A693" s="5"/>
      <c r="B693" s="5"/>
      <c r="C693" s="9" t="s">
        <v>1143</v>
      </c>
      <c r="D693" s="5"/>
      <c r="E693" s="9" t="s">
        <v>1144</v>
      </c>
      <c r="F693" s="5"/>
      <c r="G693" s="5"/>
    </row>
    <row r="694" spans="1:7" ht="23.1" customHeight="1">
      <c r="A694" s="5"/>
      <c r="B694" s="5"/>
      <c r="C694" s="9" t="s">
        <v>1145</v>
      </c>
      <c r="D694" s="5"/>
      <c r="E694" s="9" t="s">
        <v>1146</v>
      </c>
      <c r="F694" s="5"/>
      <c r="G694" s="5"/>
    </row>
    <row r="695" spans="1:7" ht="23.1" customHeight="1">
      <c r="A695" s="5"/>
      <c r="B695" s="5"/>
      <c r="C695" s="9" t="s">
        <v>1147</v>
      </c>
      <c r="D695" s="5"/>
      <c r="E695" s="9" t="s">
        <v>1148</v>
      </c>
      <c r="F695" s="5"/>
      <c r="G695" s="5"/>
    </row>
    <row r="696" spans="1:7" ht="23.1" customHeight="1">
      <c r="A696" s="5"/>
      <c r="B696" s="5"/>
      <c r="C696" s="9" t="s">
        <v>1149</v>
      </c>
      <c r="D696" s="5"/>
      <c r="E696" s="9" t="s">
        <v>1150</v>
      </c>
      <c r="F696" s="5"/>
      <c r="G696" s="5"/>
    </row>
    <row r="697" spans="1:7" ht="23.1" customHeight="1">
      <c r="A697" s="5"/>
      <c r="B697" s="5"/>
      <c r="C697" s="9" t="s">
        <v>1151</v>
      </c>
      <c r="D697" s="5"/>
      <c r="E697" s="9" t="s">
        <v>1152</v>
      </c>
      <c r="F697" s="5"/>
      <c r="G697" s="5"/>
    </row>
    <row r="698" spans="1:7" ht="23.1" customHeight="1">
      <c r="A698" s="5"/>
      <c r="B698" s="5"/>
      <c r="C698" s="9" t="s">
        <v>1153</v>
      </c>
      <c r="D698" s="5"/>
      <c r="E698" s="9" t="s">
        <v>1154</v>
      </c>
      <c r="F698" s="5"/>
      <c r="G698" s="5"/>
    </row>
    <row r="699" spans="1:7" ht="23.1" customHeight="1">
      <c r="A699" s="5"/>
      <c r="B699" s="5"/>
      <c r="C699" s="9" t="s">
        <v>1155</v>
      </c>
      <c r="D699" s="5"/>
      <c r="E699" s="9" t="s">
        <v>1156</v>
      </c>
      <c r="F699" s="5"/>
      <c r="G699" s="5"/>
    </row>
    <row r="700" spans="1:7" ht="23.1" customHeight="1">
      <c r="A700" s="5"/>
      <c r="B700" s="5"/>
      <c r="C700" s="9" t="s">
        <v>1157</v>
      </c>
      <c r="D700" s="5"/>
      <c r="E700" s="9" t="s">
        <v>1158</v>
      </c>
      <c r="F700" s="5"/>
      <c r="G700" s="5"/>
    </row>
    <row r="701" spans="1:7" ht="23.1" customHeight="1">
      <c r="A701" s="5"/>
      <c r="B701" s="5"/>
      <c r="C701" s="9" t="s">
        <v>1159</v>
      </c>
      <c r="D701" s="5"/>
      <c r="E701" s="9" t="s">
        <v>1160</v>
      </c>
      <c r="F701" s="5"/>
      <c r="G701" s="5"/>
    </row>
    <row r="702" spans="1:7" ht="23.1" customHeight="1">
      <c r="A702" s="5"/>
      <c r="B702" s="5"/>
      <c r="C702" s="9" t="s">
        <v>1161</v>
      </c>
      <c r="D702" s="5"/>
      <c r="E702" s="9" t="s">
        <v>1162</v>
      </c>
      <c r="F702" s="5"/>
      <c r="G702" s="5"/>
    </row>
    <row r="703" spans="1:7" ht="23.1" customHeight="1">
      <c r="A703" s="5"/>
      <c r="B703" s="5"/>
      <c r="C703" s="9" t="s">
        <v>1163</v>
      </c>
      <c r="D703" s="5"/>
      <c r="E703" s="9" t="s">
        <v>1164</v>
      </c>
      <c r="F703" s="5"/>
      <c r="G703" s="5"/>
    </row>
    <row r="704" spans="1:7" ht="23.1" customHeight="1">
      <c r="A704" s="5"/>
      <c r="B704" s="5"/>
      <c r="C704" s="9" t="s">
        <v>1165</v>
      </c>
      <c r="D704" s="5"/>
      <c r="E704" s="9" t="s">
        <v>1166</v>
      </c>
      <c r="F704" s="5"/>
      <c r="G704" s="5"/>
    </row>
    <row r="705" spans="1:7" ht="23.1" customHeight="1">
      <c r="A705" s="5"/>
      <c r="B705" s="5"/>
      <c r="C705" s="9" t="s">
        <v>1167</v>
      </c>
      <c r="D705" s="5"/>
      <c r="E705" s="9" t="s">
        <v>1168</v>
      </c>
      <c r="F705" s="5"/>
      <c r="G705" s="5"/>
    </row>
    <row r="706" spans="1:7" ht="23.1" customHeight="1">
      <c r="A706" s="5"/>
      <c r="B706" s="5"/>
      <c r="C706" s="9" t="s">
        <v>1169</v>
      </c>
      <c r="D706" s="5"/>
      <c r="E706" s="9" t="s">
        <v>1170</v>
      </c>
      <c r="F706" s="5"/>
      <c r="G706" s="5"/>
    </row>
    <row r="707" spans="1:7" ht="23.1" customHeight="1" thickBot="1">
      <c r="A707" s="5"/>
      <c r="B707" s="5"/>
      <c r="C707" s="9" t="s">
        <v>1171</v>
      </c>
      <c r="D707" s="5"/>
      <c r="E707" s="9" t="s">
        <v>1172</v>
      </c>
      <c r="F707" s="5"/>
      <c r="G707" s="5"/>
    </row>
    <row r="708" spans="1:7" ht="0.95" customHeight="1">
      <c r="A708" s="5"/>
      <c r="B708" s="106"/>
      <c r="C708" s="106"/>
      <c r="D708" s="106"/>
      <c r="E708" s="106"/>
      <c r="F708" s="106"/>
      <c r="G708" s="5"/>
    </row>
    <row r="709" spans="1:7" ht="12.95" customHeight="1">
      <c r="A709" s="5"/>
      <c r="B709" s="107" t="s">
        <v>139</v>
      </c>
      <c r="C709" s="107"/>
      <c r="D709" s="107"/>
      <c r="E709" s="107"/>
      <c r="F709" s="107"/>
      <c r="G709" s="5"/>
    </row>
    <row r="710" spans="1:7" ht="12.95" customHeight="1">
      <c r="A710" s="5"/>
      <c r="B710" s="107"/>
      <c r="C710" s="107"/>
      <c r="D710" s="107"/>
      <c r="E710" s="107"/>
      <c r="F710" s="107"/>
      <c r="G710" s="5"/>
    </row>
    <row r="711" spans="1:7" ht="12.95" customHeight="1">
      <c r="A711" s="5"/>
      <c r="B711" s="108" t="s">
        <v>140</v>
      </c>
      <c r="C711" s="108"/>
      <c r="D711" s="108"/>
      <c r="E711" s="108"/>
      <c r="F711" s="108"/>
      <c r="G711" s="5"/>
    </row>
    <row r="712" spans="1:7" ht="12.95" customHeight="1">
      <c r="A712" s="5"/>
      <c r="B712" s="105" t="s">
        <v>1173</v>
      </c>
      <c r="C712" s="105"/>
      <c r="D712" s="105"/>
      <c r="E712" s="105"/>
      <c r="F712" s="105"/>
      <c r="G712" s="5"/>
    </row>
    <row r="713" spans="1:7" ht="17.100000000000001" customHeight="1">
      <c r="A713" s="5"/>
      <c r="B713" s="101" t="s">
        <v>64</v>
      </c>
      <c r="C713" s="101"/>
      <c r="D713" s="101"/>
      <c r="E713" s="101"/>
      <c r="F713" s="101"/>
      <c r="G713" s="5"/>
    </row>
    <row r="714" spans="1:7" ht="23.1" customHeight="1">
      <c r="A714" s="5"/>
      <c r="B714" s="102" t="s">
        <v>65</v>
      </c>
      <c r="C714" s="102"/>
      <c r="D714" s="102"/>
      <c r="E714" s="102"/>
      <c r="F714" s="102"/>
      <c r="G714" s="5"/>
    </row>
    <row r="715" spans="1:7" ht="15.95" customHeight="1">
      <c r="A715" s="5"/>
      <c r="B715" s="103" t="s">
        <v>66</v>
      </c>
      <c r="C715" s="103"/>
      <c r="D715" s="103"/>
      <c r="E715" s="103"/>
      <c r="F715" s="103"/>
      <c r="G715" s="5"/>
    </row>
    <row r="716" spans="1:7" ht="12" customHeight="1">
      <c r="A716" s="5"/>
      <c r="B716" s="104" t="s">
        <v>67</v>
      </c>
      <c r="C716" s="104"/>
      <c r="D716" s="104"/>
      <c r="E716" s="104"/>
      <c r="F716" s="104"/>
      <c r="G716" s="5"/>
    </row>
    <row r="717" spans="1:7" ht="33.950000000000003" customHeight="1">
      <c r="A717" s="5"/>
      <c r="B717" s="5"/>
      <c r="C717" s="6" t="s">
        <v>68</v>
      </c>
      <c r="D717" s="5"/>
      <c r="E717" s="6" t="s">
        <v>0</v>
      </c>
      <c r="F717" s="5"/>
      <c r="G717" s="5"/>
    </row>
    <row r="718" spans="1:7" ht="23.1" customHeight="1">
      <c r="A718" s="5"/>
      <c r="B718" s="5"/>
      <c r="C718" s="9" t="s">
        <v>1174</v>
      </c>
      <c r="D718" s="5"/>
      <c r="E718" s="9" t="s">
        <v>1175</v>
      </c>
      <c r="F718" s="5"/>
      <c r="G718" s="5"/>
    </row>
    <row r="719" spans="1:7" ht="14.1" customHeight="1">
      <c r="A719" s="5"/>
      <c r="B719" s="5"/>
      <c r="C719" s="9" t="s">
        <v>1176</v>
      </c>
      <c r="D719" s="5"/>
      <c r="E719" s="9" t="s">
        <v>1177</v>
      </c>
      <c r="F719" s="5"/>
      <c r="G719" s="5"/>
    </row>
    <row r="720" spans="1:7" ht="14.1" customHeight="1">
      <c r="A720" s="5"/>
      <c r="B720" s="100" t="s">
        <v>1178</v>
      </c>
      <c r="C720" s="100"/>
      <c r="D720" s="100"/>
      <c r="E720" s="100"/>
      <c r="F720" s="5"/>
      <c r="G720" s="5"/>
    </row>
    <row r="721" spans="1:7" ht="14.1" customHeight="1">
      <c r="A721" s="5"/>
      <c r="B721" s="5"/>
      <c r="C721" s="9" t="s">
        <v>1179</v>
      </c>
      <c r="D721" s="5"/>
      <c r="E721" s="9" t="s">
        <v>1180</v>
      </c>
      <c r="F721" s="5"/>
      <c r="G721" s="5"/>
    </row>
    <row r="722" spans="1:7" ht="14.1" customHeight="1">
      <c r="A722" s="5"/>
      <c r="B722" s="5"/>
      <c r="C722" s="9" t="s">
        <v>1181</v>
      </c>
      <c r="D722" s="5"/>
      <c r="E722" s="9" t="s">
        <v>1182</v>
      </c>
      <c r="F722" s="5"/>
      <c r="G722" s="5"/>
    </row>
    <row r="723" spans="1:7" ht="14.1" customHeight="1">
      <c r="A723" s="5"/>
      <c r="B723" s="5"/>
      <c r="C723" s="9" t="s">
        <v>1183</v>
      </c>
      <c r="D723" s="5"/>
      <c r="E723" s="9" t="s">
        <v>1184</v>
      </c>
      <c r="F723" s="5"/>
      <c r="G723" s="5"/>
    </row>
    <row r="724" spans="1:7" ht="14.1" customHeight="1">
      <c r="A724" s="5"/>
      <c r="B724" s="5"/>
      <c r="C724" s="9" t="s">
        <v>1185</v>
      </c>
      <c r="D724" s="5"/>
      <c r="E724" s="9" t="s">
        <v>1186</v>
      </c>
      <c r="F724" s="5"/>
      <c r="G724" s="5"/>
    </row>
    <row r="725" spans="1:7" ht="14.1" customHeight="1">
      <c r="A725" s="5"/>
      <c r="B725" s="5"/>
      <c r="C725" s="9" t="s">
        <v>1187</v>
      </c>
      <c r="D725" s="5"/>
      <c r="E725" s="9" t="s">
        <v>1188</v>
      </c>
      <c r="F725" s="5"/>
      <c r="G725" s="5"/>
    </row>
    <row r="726" spans="1:7" ht="14.1" customHeight="1">
      <c r="A726" s="5"/>
      <c r="B726" s="5"/>
      <c r="C726" s="9" t="s">
        <v>1189</v>
      </c>
      <c r="D726" s="5"/>
      <c r="E726" s="9" t="s">
        <v>1190</v>
      </c>
      <c r="F726" s="5"/>
      <c r="G726" s="5"/>
    </row>
    <row r="727" spans="1:7" ht="14.1" customHeight="1">
      <c r="A727" s="5"/>
      <c r="B727" s="5"/>
      <c r="C727" s="9" t="s">
        <v>1191</v>
      </c>
      <c r="D727" s="5"/>
      <c r="E727" s="9" t="s">
        <v>1192</v>
      </c>
      <c r="F727" s="5"/>
      <c r="G727" s="5"/>
    </row>
    <row r="728" spans="1:7" ht="23.1" customHeight="1">
      <c r="A728" s="5"/>
      <c r="B728" s="5"/>
      <c r="C728" s="9" t="s">
        <v>1193</v>
      </c>
      <c r="D728" s="5"/>
      <c r="E728" s="9" t="s">
        <v>1194</v>
      </c>
      <c r="F728" s="5"/>
      <c r="G728" s="5"/>
    </row>
    <row r="729" spans="1:7" ht="14.1" customHeight="1">
      <c r="A729" s="5"/>
      <c r="B729" s="5"/>
      <c r="C729" s="9" t="s">
        <v>1195</v>
      </c>
      <c r="D729" s="5"/>
      <c r="E729" s="9" t="s">
        <v>1196</v>
      </c>
      <c r="F729" s="5"/>
      <c r="G729" s="5"/>
    </row>
    <row r="730" spans="1:7" ht="23.1" customHeight="1" thickBot="1">
      <c r="A730" s="5"/>
      <c r="B730" s="5"/>
      <c r="C730" s="9" t="s">
        <v>1197</v>
      </c>
      <c r="D730" s="5"/>
      <c r="E730" s="9" t="s">
        <v>1198</v>
      </c>
      <c r="F730" s="5"/>
      <c r="G730" s="5"/>
    </row>
    <row r="731" spans="1:7" ht="0.95" customHeight="1">
      <c r="A731" s="5"/>
      <c r="B731" s="106"/>
      <c r="C731" s="106"/>
      <c r="D731" s="106"/>
      <c r="E731" s="106"/>
      <c r="F731" s="106"/>
      <c r="G731" s="5"/>
    </row>
    <row r="732" spans="1:7" ht="12.95" customHeight="1">
      <c r="A732" s="5"/>
      <c r="B732" s="107" t="s">
        <v>139</v>
      </c>
      <c r="C732" s="107"/>
      <c r="D732" s="107"/>
      <c r="E732" s="107"/>
      <c r="F732" s="107"/>
      <c r="G732" s="5"/>
    </row>
    <row r="733" spans="1:7" ht="12.95" customHeight="1">
      <c r="A733" s="5"/>
      <c r="B733" s="107"/>
      <c r="C733" s="107"/>
      <c r="D733" s="107"/>
      <c r="E733" s="107"/>
      <c r="F733" s="107"/>
      <c r="G733" s="5"/>
    </row>
    <row r="734" spans="1:7" ht="12.95" customHeight="1">
      <c r="A734" s="5"/>
      <c r="B734" s="108" t="s">
        <v>140</v>
      </c>
      <c r="C734" s="108"/>
      <c r="D734" s="108"/>
      <c r="E734" s="108"/>
      <c r="F734" s="108"/>
      <c r="G734" s="5"/>
    </row>
    <row r="735" spans="1:7" ht="12.95" customHeight="1">
      <c r="A735" s="5"/>
      <c r="B735" s="105" t="s">
        <v>1199</v>
      </c>
      <c r="C735" s="105"/>
      <c r="D735" s="105"/>
      <c r="E735" s="105"/>
      <c r="F735" s="105"/>
      <c r="G735" s="5"/>
    </row>
  </sheetData>
  <mergeCells count="178">
    <mergeCell ref="B733:F733"/>
    <mergeCell ref="B734:F734"/>
    <mergeCell ref="B735:F735"/>
    <mergeCell ref="B731:F731"/>
    <mergeCell ref="B732:F732"/>
    <mergeCell ref="B715:F715"/>
    <mergeCell ref="B716:F716"/>
    <mergeCell ref="B720:E720"/>
    <mergeCell ref="B709:F709"/>
    <mergeCell ref="B710:F710"/>
    <mergeCell ref="B711:F711"/>
    <mergeCell ref="B712:F712"/>
    <mergeCell ref="B713:F713"/>
    <mergeCell ref="B714:F714"/>
    <mergeCell ref="B708:F708"/>
    <mergeCell ref="B673:F673"/>
    <mergeCell ref="B667:F667"/>
    <mergeCell ref="B668:F668"/>
    <mergeCell ref="B669:F669"/>
    <mergeCell ref="B670:F670"/>
    <mergeCell ref="B671:F671"/>
    <mergeCell ref="B672:F672"/>
    <mergeCell ref="B665:F665"/>
    <mergeCell ref="B666:F666"/>
    <mergeCell ref="B619:F619"/>
    <mergeCell ref="B620:F620"/>
    <mergeCell ref="B621:F621"/>
    <mergeCell ref="B613:F613"/>
    <mergeCell ref="B614:F614"/>
    <mergeCell ref="B615:F615"/>
    <mergeCell ref="B616:F616"/>
    <mergeCell ref="B617:F617"/>
    <mergeCell ref="B618:F618"/>
    <mergeCell ref="B602:E602"/>
    <mergeCell ref="B592:E592"/>
    <mergeCell ref="B584:E584"/>
    <mergeCell ref="B580:E580"/>
    <mergeCell ref="B582:E582"/>
    <mergeCell ref="B571:F571"/>
    <mergeCell ref="B572:F572"/>
    <mergeCell ref="B573:F573"/>
    <mergeCell ref="B565:F565"/>
    <mergeCell ref="B566:F566"/>
    <mergeCell ref="B567:F567"/>
    <mergeCell ref="B568:F568"/>
    <mergeCell ref="B569:F569"/>
    <mergeCell ref="B570:F570"/>
    <mergeCell ref="B540:E540"/>
    <mergeCell ref="B523:F523"/>
    <mergeCell ref="B524:F524"/>
    <mergeCell ref="B525:F525"/>
    <mergeCell ref="B526:F526"/>
    <mergeCell ref="B527:F527"/>
    <mergeCell ref="B528:F528"/>
    <mergeCell ref="B520:F520"/>
    <mergeCell ref="B521:F521"/>
    <mergeCell ref="B522:F522"/>
    <mergeCell ref="B499:E499"/>
    <mergeCell ref="B491:E491"/>
    <mergeCell ref="B483:E483"/>
    <mergeCell ref="B475:F475"/>
    <mergeCell ref="B476:F476"/>
    <mergeCell ref="B477:F477"/>
    <mergeCell ref="B478:F478"/>
    <mergeCell ref="B479:F479"/>
    <mergeCell ref="B471:F471"/>
    <mergeCell ref="B472:F472"/>
    <mergeCell ref="B473:F473"/>
    <mergeCell ref="B474:F474"/>
    <mergeCell ref="B462:E462"/>
    <mergeCell ref="B455:E455"/>
    <mergeCell ref="B440:E440"/>
    <mergeCell ref="B433:E433"/>
    <mergeCell ref="B427:F427"/>
    <mergeCell ref="B428:F428"/>
    <mergeCell ref="B429:F429"/>
    <mergeCell ref="B421:F421"/>
    <mergeCell ref="B422:F422"/>
    <mergeCell ref="B423:F423"/>
    <mergeCell ref="B424:F424"/>
    <mergeCell ref="B425:F425"/>
    <mergeCell ref="B426:F426"/>
    <mergeCell ref="B414:E414"/>
    <mergeCell ref="B404:E404"/>
    <mergeCell ref="B379:F379"/>
    <mergeCell ref="B373:F373"/>
    <mergeCell ref="B374:F374"/>
    <mergeCell ref="B375:F375"/>
    <mergeCell ref="B376:F376"/>
    <mergeCell ref="B377:F377"/>
    <mergeCell ref="B378:F378"/>
    <mergeCell ref="B371:F371"/>
    <mergeCell ref="B372:F372"/>
    <mergeCell ref="B362:E362"/>
    <mergeCell ref="B358:E358"/>
    <mergeCell ref="B332:F332"/>
    <mergeCell ref="B330:E330"/>
    <mergeCell ref="B320:E320"/>
    <mergeCell ref="B315:E315"/>
    <mergeCell ref="B312:E312"/>
    <mergeCell ref="B301:E301"/>
    <mergeCell ref="B295:F295"/>
    <mergeCell ref="B299:E299"/>
    <mergeCell ref="B289:F289"/>
    <mergeCell ref="B290:F290"/>
    <mergeCell ref="B291:F291"/>
    <mergeCell ref="B292:F292"/>
    <mergeCell ref="B293:F293"/>
    <mergeCell ref="B294:F294"/>
    <mergeCell ref="B287:F287"/>
    <mergeCell ref="B288:F288"/>
    <mergeCell ref="B280:E280"/>
    <mergeCell ref="B276:E276"/>
    <mergeCell ref="B269:E269"/>
    <mergeCell ref="B247:E247"/>
    <mergeCell ref="B241:F241"/>
    <mergeCell ref="B242:F242"/>
    <mergeCell ref="B243:F243"/>
    <mergeCell ref="B244:F244"/>
    <mergeCell ref="B236:F236"/>
    <mergeCell ref="B237:F237"/>
    <mergeCell ref="B238:F238"/>
    <mergeCell ref="B239:F239"/>
    <mergeCell ref="B240:F240"/>
    <mergeCell ref="B233:E233"/>
    <mergeCell ref="B216:E216"/>
    <mergeCell ref="B208:E208"/>
    <mergeCell ref="B199:E199"/>
    <mergeCell ref="B193:F193"/>
    <mergeCell ref="B187:F187"/>
    <mergeCell ref="B188:F188"/>
    <mergeCell ref="B189:F189"/>
    <mergeCell ref="B190:F190"/>
    <mergeCell ref="B191:F191"/>
    <mergeCell ref="B192:F192"/>
    <mergeCell ref="B185:F185"/>
    <mergeCell ref="B186:F186"/>
    <mergeCell ref="B171:E171"/>
    <mergeCell ref="B145:F145"/>
    <mergeCell ref="B146:F146"/>
    <mergeCell ref="B147:F147"/>
    <mergeCell ref="B139:F139"/>
    <mergeCell ref="B140:F140"/>
    <mergeCell ref="B141:F141"/>
    <mergeCell ref="B142:F142"/>
    <mergeCell ref="B143:F143"/>
    <mergeCell ref="B144:F144"/>
    <mergeCell ref="B132:E132"/>
    <mergeCell ref="B119:E119"/>
    <mergeCell ref="B97:F97"/>
    <mergeCell ref="B98:F98"/>
    <mergeCell ref="B99:F99"/>
    <mergeCell ref="B100:F100"/>
    <mergeCell ref="B92:F92"/>
    <mergeCell ref="B93:F93"/>
    <mergeCell ref="B94:F94"/>
    <mergeCell ref="B95:F95"/>
    <mergeCell ref="B96:F96"/>
    <mergeCell ref="B88:E88"/>
    <mergeCell ref="B49:F49"/>
    <mergeCell ref="B50:F50"/>
    <mergeCell ref="B51:F51"/>
    <mergeCell ref="B52:F52"/>
    <mergeCell ref="B53:F53"/>
    <mergeCell ref="B43:E43"/>
    <mergeCell ref="B45:F45"/>
    <mergeCell ref="B46:F46"/>
    <mergeCell ref="B47:F47"/>
    <mergeCell ref="B48:F48"/>
    <mergeCell ref="B34:E34"/>
    <mergeCell ref="B29:E29"/>
    <mergeCell ref="B22:E22"/>
    <mergeCell ref="B1:F1"/>
    <mergeCell ref="B2:F2"/>
    <mergeCell ref="B3:F3"/>
    <mergeCell ref="B4:F4"/>
    <mergeCell ref="B6:E6"/>
    <mergeCell ref="B85:E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EDIT_NEW MASTER (2)</vt:lpstr>
      <vt:lpstr>Sheet 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Qholib Ginanjar</cp:lastModifiedBy>
  <dcterms:created xsi:type="dcterms:W3CDTF">2025-11-07T02:52:52Z</dcterms:created>
  <dcterms:modified xsi:type="dcterms:W3CDTF">2026-01-07T09:07:51Z</dcterms:modified>
</cp:coreProperties>
</file>